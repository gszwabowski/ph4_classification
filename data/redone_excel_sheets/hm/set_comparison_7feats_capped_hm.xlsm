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ivememphis-my.sharepoint.com/personal/gszwbwsk_memphis_edu/Documents/Machine Learning/ph4_classification/data/redone_excel_sheets/hm/"/>
    </mc:Choice>
  </mc:AlternateContent>
  <xr:revisionPtr revIDLastSave="17685" documentId="8_{47C3C333-5B8F-4DE5-91E2-91C1E121DC26}" xr6:coauthVersionLast="47" xr6:coauthVersionMax="47" xr10:uidLastSave="{DDD13960-3187-4C2B-BBF5-3CF260C0E29D}"/>
  <bookViews>
    <workbookView xWindow="2424" yWindow="2460" windowWidth="11460" windowHeight="9768" activeTab="4" xr2:uid="{713376E4-D4C3-4AD6-8C36-1D956A9FD668}"/>
  </bookViews>
  <sheets>
    <sheet name="moefrags" sheetId="12" r:id="rId1"/>
    <sheet name="ef" sheetId="13" r:id="rId2"/>
    <sheet name="gh" sheetId="14" r:id="rId3"/>
    <sheet name="rec_EF" sheetId="15" r:id="rId4"/>
    <sheet name="rec_GH" sheetId="1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D54" i="16" l="1"/>
  <c r="AD53" i="16"/>
  <c r="AD52" i="16"/>
  <c r="AD51" i="16"/>
  <c r="AD50" i="16"/>
  <c r="AD49" i="16"/>
  <c r="AD48" i="16"/>
  <c r="AD47" i="16"/>
  <c r="AD46" i="16"/>
  <c r="AD45" i="16"/>
  <c r="AD44" i="16"/>
  <c r="AD43" i="16"/>
  <c r="AD42" i="16"/>
  <c r="AD41" i="16"/>
  <c r="AD40" i="16"/>
  <c r="AD39" i="16"/>
  <c r="AD38" i="16"/>
  <c r="AD37" i="16"/>
  <c r="AD36" i="16"/>
  <c r="AD35" i="16"/>
  <c r="AD34" i="16"/>
  <c r="AD33" i="16"/>
  <c r="AD32" i="16"/>
  <c r="AD31" i="16"/>
  <c r="AD30" i="16"/>
  <c r="AD29" i="16"/>
  <c r="AD28" i="16"/>
  <c r="AD27" i="16"/>
  <c r="AD26" i="16"/>
  <c r="AD25" i="16"/>
  <c r="AD24" i="16"/>
  <c r="AD23" i="16"/>
  <c r="AD22" i="16"/>
  <c r="AD21" i="16"/>
  <c r="AD20" i="16"/>
  <c r="AD19" i="16"/>
  <c r="AD18" i="16"/>
  <c r="AD17" i="16"/>
  <c r="AD16" i="16"/>
  <c r="AD15" i="16"/>
  <c r="AD14" i="16"/>
  <c r="AD13" i="16"/>
  <c r="AD12" i="16"/>
  <c r="AD11" i="16"/>
  <c r="AD10" i="16"/>
  <c r="AD9" i="16"/>
  <c r="AD8" i="16"/>
  <c r="AD7" i="16"/>
  <c r="AD6" i="16"/>
  <c r="AD5" i="16"/>
  <c r="AD4" i="16"/>
  <c r="AD3" i="16"/>
  <c r="AD54" i="15"/>
  <c r="AD53" i="15"/>
  <c r="AD52" i="15"/>
  <c r="AD51" i="15"/>
  <c r="AD50" i="15"/>
  <c r="AD49" i="15"/>
  <c r="AD48" i="15"/>
  <c r="AD47" i="15"/>
  <c r="AD46" i="15"/>
  <c r="AD45" i="15"/>
  <c r="AD44" i="15"/>
  <c r="AD43" i="15"/>
  <c r="AD42" i="15"/>
  <c r="AD41" i="15"/>
  <c r="AD40" i="15"/>
  <c r="AD39" i="15"/>
  <c r="AD38" i="15"/>
  <c r="AD37" i="15"/>
  <c r="AD36" i="15"/>
  <c r="AD35" i="15"/>
  <c r="AD34" i="15"/>
  <c r="AD33" i="15"/>
  <c r="AD32" i="15"/>
  <c r="AD31" i="15"/>
  <c r="AD30" i="15"/>
  <c r="AD29" i="15"/>
  <c r="AD28" i="15"/>
  <c r="AD27" i="15"/>
  <c r="AD26" i="15"/>
  <c r="AD25" i="15"/>
  <c r="AD24" i="15"/>
  <c r="AD23" i="15"/>
  <c r="AD22" i="15"/>
  <c r="AD21" i="15"/>
  <c r="AD20" i="15"/>
  <c r="AD19" i="15"/>
  <c r="AD18" i="15"/>
  <c r="AD17" i="15"/>
  <c r="AD16" i="15"/>
  <c r="AD15" i="15"/>
  <c r="AD14" i="15"/>
  <c r="AD13" i="15"/>
  <c r="AD12" i="15"/>
  <c r="AD11" i="15"/>
  <c r="AD10" i="15"/>
  <c r="AD9" i="15"/>
  <c r="AD8" i="15"/>
  <c r="AD7" i="15"/>
  <c r="AD6" i="15"/>
  <c r="AD5" i="15"/>
  <c r="AD4" i="15"/>
  <c r="AD3" i="15"/>
  <c r="AE3" i="15"/>
  <c r="AE4" i="15"/>
  <c r="AE5" i="15"/>
  <c r="AE6" i="15"/>
  <c r="AE7" i="15"/>
  <c r="AE8" i="15"/>
  <c r="AE9" i="15"/>
  <c r="AE10" i="15"/>
  <c r="AE11" i="15"/>
  <c r="AE12" i="15"/>
  <c r="AE13" i="15"/>
  <c r="AE14" i="15"/>
  <c r="AE15" i="15"/>
  <c r="AE16" i="15"/>
  <c r="AE17" i="15"/>
  <c r="AE18" i="15"/>
  <c r="AE19" i="15"/>
  <c r="AE20" i="15"/>
  <c r="AE21" i="15"/>
  <c r="AE22" i="15"/>
  <c r="AE23" i="15"/>
  <c r="AE24" i="15"/>
  <c r="AE25" i="15"/>
  <c r="AE26" i="15"/>
  <c r="AE27" i="15"/>
  <c r="AE28" i="15"/>
  <c r="AE29" i="15"/>
  <c r="AE30" i="15"/>
  <c r="AE31" i="15"/>
  <c r="AE32" i="15"/>
  <c r="AE33" i="15"/>
  <c r="AE34" i="15"/>
  <c r="AE35" i="15"/>
  <c r="AE36" i="15"/>
  <c r="AE37" i="15"/>
  <c r="AE38" i="15"/>
  <c r="AE39" i="15"/>
  <c r="AE40" i="15"/>
  <c r="AE41" i="15"/>
  <c r="AE42" i="15"/>
  <c r="AE43" i="15"/>
  <c r="AE44" i="15"/>
  <c r="AE45" i="15"/>
  <c r="AE46" i="15"/>
  <c r="AE47" i="15"/>
  <c r="AE48" i="15"/>
  <c r="AE49" i="15"/>
  <c r="AE50" i="15"/>
  <c r="AE51" i="15"/>
  <c r="AE52" i="15"/>
  <c r="AE53" i="15"/>
  <c r="AD54" i="14"/>
  <c r="AD53" i="14"/>
  <c r="AD52" i="14"/>
  <c r="AD51" i="14"/>
  <c r="AD50" i="14"/>
  <c r="AD49" i="14"/>
  <c r="AD48" i="14"/>
  <c r="AD47" i="14"/>
  <c r="AD46" i="14"/>
  <c r="AD45" i="14"/>
  <c r="AD44" i="14"/>
  <c r="AD43" i="14"/>
  <c r="AD42" i="14"/>
  <c r="AD41" i="14"/>
  <c r="AD40" i="14"/>
  <c r="AD39" i="14"/>
  <c r="AD38" i="14"/>
  <c r="AD37" i="14"/>
  <c r="AD36" i="14"/>
  <c r="AD35" i="14"/>
  <c r="AD34" i="14"/>
  <c r="AD33" i="14"/>
  <c r="AD32" i="14"/>
  <c r="AD31" i="14"/>
  <c r="AD30" i="14"/>
  <c r="AD29" i="14"/>
  <c r="AD28" i="14"/>
  <c r="AD27" i="14"/>
  <c r="AD26" i="14"/>
  <c r="AD25" i="14"/>
  <c r="AD24" i="14"/>
  <c r="AD23" i="14"/>
  <c r="AD22" i="14"/>
  <c r="AD21" i="14"/>
  <c r="AD20" i="14"/>
  <c r="AD19" i="14"/>
  <c r="AD18" i="14"/>
  <c r="AD17" i="14"/>
  <c r="AD16" i="14"/>
  <c r="AD15" i="14"/>
  <c r="AD14" i="14"/>
  <c r="AD13" i="14"/>
  <c r="AD12" i="14"/>
  <c r="AD11" i="14"/>
  <c r="AD10" i="14"/>
  <c r="AD9" i="14"/>
  <c r="AD8" i="14"/>
  <c r="AD7" i="14"/>
  <c r="AD6" i="14"/>
  <c r="AD5" i="14"/>
  <c r="AD4" i="14"/>
  <c r="AD3" i="14"/>
  <c r="AD54" i="13"/>
  <c r="AD53" i="13"/>
  <c r="AD52" i="13"/>
  <c r="AD51" i="13"/>
  <c r="AD50" i="13"/>
  <c r="AD49" i="13"/>
  <c r="AD48" i="13"/>
  <c r="AD47" i="13"/>
  <c r="AD46" i="13"/>
  <c r="AD45" i="13"/>
  <c r="AD44" i="13"/>
  <c r="AD43" i="13"/>
  <c r="AD42" i="13"/>
  <c r="AD41" i="13"/>
  <c r="AD40" i="13"/>
  <c r="AD39" i="13"/>
  <c r="AD38" i="13"/>
  <c r="AD37" i="13"/>
  <c r="AD36" i="13"/>
  <c r="AD35" i="13"/>
  <c r="AD34" i="13"/>
  <c r="AD33" i="13"/>
  <c r="AD32" i="13"/>
  <c r="AD31" i="13"/>
  <c r="AD30" i="13"/>
  <c r="AD29" i="13"/>
  <c r="AD28" i="13"/>
  <c r="AD27" i="13"/>
  <c r="AD26" i="13"/>
  <c r="AD25" i="13"/>
  <c r="AD24" i="13"/>
  <c r="AD23" i="13"/>
  <c r="AD22" i="13"/>
  <c r="AD21" i="13"/>
  <c r="AD20" i="13"/>
  <c r="AD19" i="13"/>
  <c r="AD18" i="13"/>
  <c r="AD17" i="13"/>
  <c r="AD16" i="13"/>
  <c r="AD15" i="13"/>
  <c r="AD14" i="13"/>
  <c r="AD13" i="13"/>
  <c r="AD12" i="13"/>
  <c r="AD11" i="13"/>
  <c r="AD10" i="13"/>
  <c r="AD9" i="13"/>
  <c r="AD8" i="13"/>
  <c r="AD7" i="13"/>
  <c r="AD6" i="13"/>
  <c r="AD5" i="13"/>
  <c r="AD4" i="13"/>
  <c r="AD3" i="13"/>
  <c r="AD4" i="12"/>
  <c r="AD5" i="12"/>
  <c r="AD6" i="12"/>
  <c r="AD7" i="12"/>
  <c r="AD8" i="12"/>
  <c r="AD9" i="12"/>
  <c r="AD10" i="12"/>
  <c r="AD11" i="12"/>
  <c r="AD12" i="12"/>
  <c r="AD13" i="12"/>
  <c r="AD14" i="12"/>
  <c r="AD15" i="12"/>
  <c r="AD16" i="12"/>
  <c r="AD17" i="12"/>
  <c r="AD18" i="12"/>
  <c r="AD19" i="12"/>
  <c r="AD20" i="12"/>
  <c r="AD21" i="12"/>
  <c r="AD22" i="12"/>
  <c r="AD23" i="12"/>
  <c r="AD24" i="12"/>
  <c r="AD25" i="12"/>
  <c r="AD26" i="12"/>
  <c r="AD27" i="12"/>
  <c r="AD28" i="12"/>
  <c r="AD29" i="12"/>
  <c r="AD30" i="12"/>
  <c r="AD31" i="12"/>
  <c r="AD32" i="12"/>
  <c r="AD33" i="12"/>
  <c r="AD34" i="12"/>
  <c r="AD35" i="12"/>
  <c r="AD36" i="12"/>
  <c r="AD37" i="12"/>
  <c r="AD38" i="12"/>
  <c r="AD39" i="12"/>
  <c r="AD40" i="12"/>
  <c r="AD41" i="12"/>
  <c r="AD42" i="12"/>
  <c r="AD43" i="12"/>
  <c r="AD44" i="12"/>
  <c r="AD45" i="12"/>
  <c r="AD46" i="12"/>
  <c r="AD47" i="12"/>
  <c r="AD48" i="12"/>
  <c r="AD49" i="12"/>
  <c r="AD50" i="12"/>
  <c r="AD51" i="12"/>
  <c r="AD52" i="12"/>
  <c r="AD53" i="12"/>
  <c r="AD54" i="12"/>
  <c r="AD3" i="12"/>
  <c r="AI42" i="16" l="1"/>
  <c r="AH42" i="16"/>
  <c r="AG42" i="16"/>
  <c r="AF42" i="16"/>
  <c r="AE42" i="16"/>
  <c r="U42" i="16"/>
  <c r="S42" i="16"/>
  <c r="AA42" i="16" s="1"/>
  <c r="R42" i="16"/>
  <c r="Q42" i="16"/>
  <c r="Y42" i="16" s="1"/>
  <c r="P42" i="16"/>
  <c r="X42" i="16" s="1"/>
  <c r="O42" i="16"/>
  <c r="W42" i="16" s="1"/>
  <c r="AI41" i="16"/>
  <c r="AH41" i="16"/>
  <c r="AG41" i="16"/>
  <c r="AF41" i="16"/>
  <c r="AE41" i="16"/>
  <c r="U41" i="16"/>
  <c r="S41" i="16"/>
  <c r="AA41" i="16" s="1"/>
  <c r="R41" i="16"/>
  <c r="Z41" i="16" s="1"/>
  <c r="Q41" i="16"/>
  <c r="Y41" i="16" s="1"/>
  <c r="P41" i="16"/>
  <c r="X41" i="16" s="1"/>
  <c r="O41" i="16"/>
  <c r="W41" i="16" s="1"/>
  <c r="AI40" i="16"/>
  <c r="AH40" i="16"/>
  <c r="AG40" i="16"/>
  <c r="AF40" i="16"/>
  <c r="AE40" i="16"/>
  <c r="U40" i="16"/>
  <c r="S40" i="16"/>
  <c r="AA40" i="16" s="1"/>
  <c r="R40" i="16"/>
  <c r="Z40" i="16" s="1"/>
  <c r="Q40" i="16"/>
  <c r="Y40" i="16" s="1"/>
  <c r="P40" i="16"/>
  <c r="X40" i="16" s="1"/>
  <c r="O40" i="16"/>
  <c r="AI39" i="16"/>
  <c r="AH39" i="16"/>
  <c r="AG39" i="16"/>
  <c r="AF39" i="16"/>
  <c r="AE39" i="16"/>
  <c r="U39" i="16"/>
  <c r="S39" i="16"/>
  <c r="AA39" i="16" s="1"/>
  <c r="R39" i="16"/>
  <c r="Q39" i="16"/>
  <c r="Y39" i="16" s="1"/>
  <c r="P39" i="16"/>
  <c r="X39" i="16" s="1"/>
  <c r="O39" i="16"/>
  <c r="W39" i="16" s="1"/>
  <c r="AI38" i="16"/>
  <c r="AH38" i="16"/>
  <c r="AG38" i="16"/>
  <c r="AF38" i="16"/>
  <c r="AE38" i="16"/>
  <c r="U38" i="16"/>
  <c r="S38" i="16"/>
  <c r="R38" i="16"/>
  <c r="Q38" i="16"/>
  <c r="P38" i="16"/>
  <c r="O38" i="16"/>
  <c r="AI37" i="16"/>
  <c r="AH37" i="16"/>
  <c r="AG37" i="16"/>
  <c r="AF37" i="16"/>
  <c r="AE37" i="16"/>
  <c r="U37" i="16"/>
  <c r="S37" i="16"/>
  <c r="R37" i="16"/>
  <c r="Z37" i="16" s="1"/>
  <c r="Q37" i="16"/>
  <c r="P37" i="16"/>
  <c r="O37" i="16"/>
  <c r="AI36" i="16"/>
  <c r="AH36" i="16"/>
  <c r="AG36" i="16"/>
  <c r="AF36" i="16"/>
  <c r="AE36" i="16"/>
  <c r="U36" i="16"/>
  <c r="S36" i="16"/>
  <c r="AA36" i="16" s="1"/>
  <c r="R36" i="16"/>
  <c r="Z36" i="16" s="1"/>
  <c r="Q36" i="16"/>
  <c r="Y36" i="16" s="1"/>
  <c r="P36" i="16"/>
  <c r="X36" i="16" s="1"/>
  <c r="O36" i="16"/>
  <c r="W36" i="16" s="1"/>
  <c r="AI35" i="16"/>
  <c r="AH35" i="16"/>
  <c r="AG35" i="16"/>
  <c r="AF35" i="16"/>
  <c r="AE35" i="16"/>
  <c r="U35" i="16"/>
  <c r="S35" i="16"/>
  <c r="AA35" i="16" s="1"/>
  <c r="R35" i="16"/>
  <c r="Q35" i="16"/>
  <c r="Y35" i="16" s="1"/>
  <c r="P35" i="16"/>
  <c r="X35" i="16" s="1"/>
  <c r="O35" i="16"/>
  <c r="W35" i="16" s="1"/>
  <c r="AI22" i="16"/>
  <c r="AH22" i="16"/>
  <c r="AG22" i="16"/>
  <c r="AF22" i="16"/>
  <c r="AE22" i="16"/>
  <c r="U22" i="16"/>
  <c r="S22" i="16"/>
  <c r="R22" i="16"/>
  <c r="Q22" i="16"/>
  <c r="P22" i="16"/>
  <c r="O22" i="16"/>
  <c r="AI21" i="16"/>
  <c r="AH21" i="16"/>
  <c r="AG21" i="16"/>
  <c r="AF21" i="16"/>
  <c r="AE21" i="16"/>
  <c r="U21" i="16"/>
  <c r="S21" i="16"/>
  <c r="AA21" i="16" s="1"/>
  <c r="R21" i="16"/>
  <c r="Z21" i="16" s="1"/>
  <c r="Q21" i="16"/>
  <c r="Y21" i="16" s="1"/>
  <c r="P21" i="16"/>
  <c r="X21" i="16" s="1"/>
  <c r="O21" i="16"/>
  <c r="W21" i="16" s="1"/>
  <c r="AI20" i="16"/>
  <c r="AH20" i="16"/>
  <c r="AG20" i="16"/>
  <c r="AF20" i="16"/>
  <c r="AE20" i="16"/>
  <c r="U20" i="16"/>
  <c r="S20" i="16"/>
  <c r="AA20" i="16" s="1"/>
  <c r="R20" i="16"/>
  <c r="Z20" i="16" s="1"/>
  <c r="Q20" i="16"/>
  <c r="Y20" i="16" s="1"/>
  <c r="P20" i="16"/>
  <c r="X20" i="16" s="1"/>
  <c r="O20" i="16"/>
  <c r="W20" i="16" s="1"/>
  <c r="AI19" i="16"/>
  <c r="AH19" i="16"/>
  <c r="AG19" i="16"/>
  <c r="AF19" i="16"/>
  <c r="AE19" i="16"/>
  <c r="U19" i="16"/>
  <c r="S19" i="16"/>
  <c r="R19" i="16"/>
  <c r="Q19" i="16"/>
  <c r="P19" i="16"/>
  <c r="O19" i="16"/>
  <c r="AI14" i="16"/>
  <c r="AH14" i="16"/>
  <c r="AG14" i="16"/>
  <c r="AF14" i="16"/>
  <c r="AE14" i="16"/>
  <c r="U14" i="16"/>
  <c r="S14" i="16"/>
  <c r="R14" i="16"/>
  <c r="Q14" i="16"/>
  <c r="Y14" i="16" s="1"/>
  <c r="P14" i="16"/>
  <c r="X14" i="16" s="1"/>
  <c r="O14" i="16"/>
  <c r="AI13" i="16"/>
  <c r="AH13" i="16"/>
  <c r="AG13" i="16"/>
  <c r="AF13" i="16"/>
  <c r="AE13" i="16"/>
  <c r="U13" i="16"/>
  <c r="S13" i="16"/>
  <c r="AA13" i="16" s="1"/>
  <c r="R13" i="16"/>
  <c r="Z13" i="16" s="1"/>
  <c r="Q13" i="16"/>
  <c r="Y13" i="16" s="1"/>
  <c r="P13" i="16"/>
  <c r="X13" i="16" s="1"/>
  <c r="O13" i="16"/>
  <c r="W13" i="16" s="1"/>
  <c r="AI12" i="16"/>
  <c r="AH12" i="16"/>
  <c r="AG12" i="16"/>
  <c r="AF12" i="16"/>
  <c r="AE12" i="16"/>
  <c r="U12" i="16"/>
  <c r="S12" i="16"/>
  <c r="R12" i="16"/>
  <c r="Z12" i="16" s="1"/>
  <c r="Q12" i="16"/>
  <c r="Y12" i="16" s="1"/>
  <c r="P12" i="16"/>
  <c r="X12" i="16" s="1"/>
  <c r="O12" i="16"/>
  <c r="AI11" i="16"/>
  <c r="AH11" i="16"/>
  <c r="AG11" i="16"/>
  <c r="AF11" i="16"/>
  <c r="AE11" i="16"/>
  <c r="U11" i="16"/>
  <c r="S11" i="16"/>
  <c r="AA11" i="16" s="1"/>
  <c r="R11" i="16"/>
  <c r="Q11" i="16"/>
  <c r="Y11" i="16" s="1"/>
  <c r="P11" i="16"/>
  <c r="X11" i="16" s="1"/>
  <c r="O11" i="16"/>
  <c r="W11" i="16" s="1"/>
  <c r="AI6" i="16"/>
  <c r="AH6" i="16"/>
  <c r="AG6" i="16"/>
  <c r="AF6" i="16"/>
  <c r="AE6" i="16"/>
  <c r="U6" i="16"/>
  <c r="S6" i="16"/>
  <c r="R6" i="16"/>
  <c r="Q6" i="16"/>
  <c r="Y6" i="16" s="1"/>
  <c r="P6" i="16"/>
  <c r="X6" i="16" s="1"/>
  <c r="O6" i="16"/>
  <c r="AI5" i="16"/>
  <c r="AH5" i="16"/>
  <c r="AG5" i="16"/>
  <c r="AF5" i="16"/>
  <c r="AE5" i="16"/>
  <c r="U5" i="16"/>
  <c r="S5" i="16"/>
  <c r="R5" i="16"/>
  <c r="Q5" i="16"/>
  <c r="P5" i="16"/>
  <c r="O5" i="16"/>
  <c r="W5" i="16" s="1"/>
  <c r="AI4" i="16"/>
  <c r="AH4" i="16"/>
  <c r="AG4" i="16"/>
  <c r="AF4" i="16"/>
  <c r="AE4" i="16"/>
  <c r="U4" i="16"/>
  <c r="S4" i="16"/>
  <c r="AA4" i="16" s="1"/>
  <c r="R4" i="16"/>
  <c r="Z4" i="16" s="1"/>
  <c r="Q4" i="16"/>
  <c r="P4" i="16"/>
  <c r="O4" i="16"/>
  <c r="AI3" i="16"/>
  <c r="AH3" i="16"/>
  <c r="AG3" i="16"/>
  <c r="AF3" i="16"/>
  <c r="AE3" i="16"/>
  <c r="U3" i="16"/>
  <c r="S3" i="16"/>
  <c r="AA3" i="16" s="1"/>
  <c r="R3" i="16"/>
  <c r="Q3" i="16"/>
  <c r="Y3" i="16" s="1"/>
  <c r="P3" i="16"/>
  <c r="X3" i="16" s="1"/>
  <c r="O3" i="16"/>
  <c r="W3" i="16" s="1"/>
  <c r="AI42" i="15"/>
  <c r="AH42" i="15"/>
  <c r="AG42" i="15"/>
  <c r="AF42" i="15"/>
  <c r="U42" i="15"/>
  <c r="S42" i="15"/>
  <c r="AA42" i="15" s="1"/>
  <c r="R42" i="15"/>
  <c r="Q42" i="15"/>
  <c r="Y42" i="15" s="1"/>
  <c r="P42" i="15"/>
  <c r="X42" i="15" s="1"/>
  <c r="O42" i="15"/>
  <c r="W42" i="15" s="1"/>
  <c r="AI41" i="15"/>
  <c r="AH41" i="15"/>
  <c r="AG41" i="15"/>
  <c r="AF41" i="15"/>
  <c r="U41" i="15"/>
  <c r="S41" i="15"/>
  <c r="R41" i="15"/>
  <c r="Q41" i="15"/>
  <c r="Y41" i="15" s="1"/>
  <c r="P41" i="15"/>
  <c r="X41" i="15" s="1"/>
  <c r="O41" i="15"/>
  <c r="AI40" i="15"/>
  <c r="AH40" i="15"/>
  <c r="AG40" i="15"/>
  <c r="AF40" i="15"/>
  <c r="U40" i="15"/>
  <c r="S40" i="15"/>
  <c r="AA40" i="15" s="1"/>
  <c r="R40" i="15"/>
  <c r="Q40" i="15"/>
  <c r="P40" i="15"/>
  <c r="X40" i="15" s="1"/>
  <c r="O40" i="15"/>
  <c r="W40" i="15" s="1"/>
  <c r="AI39" i="15"/>
  <c r="AH39" i="15"/>
  <c r="AG39" i="15"/>
  <c r="AF39" i="15"/>
  <c r="U39" i="15"/>
  <c r="S39" i="15"/>
  <c r="R39" i="15"/>
  <c r="Q39" i="15"/>
  <c r="P39" i="15"/>
  <c r="O39" i="15"/>
  <c r="AI38" i="15"/>
  <c r="AH38" i="15"/>
  <c r="AG38" i="15"/>
  <c r="AF38" i="15"/>
  <c r="U38" i="15"/>
  <c r="S38" i="15"/>
  <c r="AA38" i="15" s="1"/>
  <c r="R38" i="15"/>
  <c r="Q38" i="15"/>
  <c r="P38" i="15"/>
  <c r="X38" i="15" s="1"/>
  <c r="O38" i="15"/>
  <c r="W38" i="15" s="1"/>
  <c r="AI37" i="15"/>
  <c r="AH37" i="15"/>
  <c r="AG37" i="15"/>
  <c r="AF37" i="15"/>
  <c r="U37" i="15"/>
  <c r="S37" i="15"/>
  <c r="R37" i="15"/>
  <c r="Q37" i="15"/>
  <c r="Y37" i="15" s="1"/>
  <c r="P37" i="15"/>
  <c r="O37" i="15"/>
  <c r="W37" i="15" s="1"/>
  <c r="AI36" i="15"/>
  <c r="AH36" i="15"/>
  <c r="AG36" i="15"/>
  <c r="AF36" i="15"/>
  <c r="U36" i="15"/>
  <c r="S36" i="15"/>
  <c r="AA36" i="15" s="1"/>
  <c r="R36" i="15"/>
  <c r="Z36" i="15" s="1"/>
  <c r="Q36" i="15"/>
  <c r="P36" i="15"/>
  <c r="O36" i="15"/>
  <c r="AI35" i="15"/>
  <c r="AH35" i="15"/>
  <c r="AG35" i="15"/>
  <c r="AF35" i="15"/>
  <c r="U35" i="15"/>
  <c r="S35" i="15"/>
  <c r="AA35" i="15" s="1"/>
  <c r="R35" i="15"/>
  <c r="Z35" i="15" s="1"/>
  <c r="Q35" i="15"/>
  <c r="Y35" i="15" s="1"/>
  <c r="P35" i="15"/>
  <c r="X35" i="15" s="1"/>
  <c r="O35" i="15"/>
  <c r="W35" i="15" s="1"/>
  <c r="AI22" i="15"/>
  <c r="AH22" i="15"/>
  <c r="AG22" i="15"/>
  <c r="AF22" i="15"/>
  <c r="U22" i="15"/>
  <c r="S22" i="15"/>
  <c r="AA22" i="15" s="1"/>
  <c r="R22" i="15"/>
  <c r="Q22" i="15"/>
  <c r="Y22" i="15" s="1"/>
  <c r="P22" i="15"/>
  <c r="X22" i="15" s="1"/>
  <c r="O22" i="15"/>
  <c r="W22" i="15" s="1"/>
  <c r="AI21" i="15"/>
  <c r="AH21" i="15"/>
  <c r="AG21" i="15"/>
  <c r="AF21" i="15"/>
  <c r="U21" i="15"/>
  <c r="S21" i="15"/>
  <c r="R21" i="15"/>
  <c r="Q21" i="15"/>
  <c r="Y21" i="15" s="1"/>
  <c r="P21" i="15"/>
  <c r="X21" i="15" s="1"/>
  <c r="O21" i="15"/>
  <c r="AI20" i="15"/>
  <c r="AH20" i="15"/>
  <c r="AG20" i="15"/>
  <c r="AF20" i="15"/>
  <c r="U20" i="15"/>
  <c r="S20" i="15"/>
  <c r="AA20" i="15" s="1"/>
  <c r="R20" i="15"/>
  <c r="Q20" i="15"/>
  <c r="P20" i="15"/>
  <c r="X20" i="15" s="1"/>
  <c r="O20" i="15"/>
  <c r="W20" i="15" s="1"/>
  <c r="AI19" i="15"/>
  <c r="AH19" i="15"/>
  <c r="AG19" i="15"/>
  <c r="AF19" i="15"/>
  <c r="U19" i="15"/>
  <c r="S19" i="15"/>
  <c r="R19" i="15"/>
  <c r="Q19" i="15"/>
  <c r="P19" i="15"/>
  <c r="O19" i="15"/>
  <c r="AI14" i="15"/>
  <c r="AH14" i="15"/>
  <c r="AG14" i="15"/>
  <c r="AF14" i="15"/>
  <c r="U14" i="15"/>
  <c r="S14" i="15"/>
  <c r="AA14" i="15" s="1"/>
  <c r="R14" i="15"/>
  <c r="Q14" i="15"/>
  <c r="Y14" i="15" s="1"/>
  <c r="P14" i="15"/>
  <c r="X14" i="15" s="1"/>
  <c r="O14" i="15"/>
  <c r="W14" i="15" s="1"/>
  <c r="AI13" i="15"/>
  <c r="AH13" i="15"/>
  <c r="AG13" i="15"/>
  <c r="AF13" i="15"/>
  <c r="U13" i="15"/>
  <c r="S13" i="15"/>
  <c r="R13" i="15"/>
  <c r="Q13" i="15"/>
  <c r="Y13" i="15" s="1"/>
  <c r="P13" i="15"/>
  <c r="O13" i="15"/>
  <c r="W13" i="15" s="1"/>
  <c r="AI12" i="15"/>
  <c r="AH12" i="15"/>
  <c r="AG12" i="15"/>
  <c r="AF12" i="15"/>
  <c r="U12" i="15"/>
  <c r="S12" i="15"/>
  <c r="AA12" i="15" s="1"/>
  <c r="R12" i="15"/>
  <c r="Z12" i="15" s="1"/>
  <c r="Q12" i="15"/>
  <c r="Y12" i="15" s="1"/>
  <c r="P12" i="15"/>
  <c r="X12" i="15" s="1"/>
  <c r="O12" i="15"/>
  <c r="AI11" i="15"/>
  <c r="AH11" i="15"/>
  <c r="AG11" i="15"/>
  <c r="AF11" i="15"/>
  <c r="U11" i="15"/>
  <c r="S11" i="15"/>
  <c r="AA11" i="15" s="1"/>
  <c r="R11" i="15"/>
  <c r="Q11" i="15"/>
  <c r="Y11" i="15" s="1"/>
  <c r="P11" i="15"/>
  <c r="X11" i="15" s="1"/>
  <c r="O11" i="15"/>
  <c r="W11" i="15" s="1"/>
  <c r="AI6" i="15"/>
  <c r="AH6" i="15"/>
  <c r="AG6" i="15"/>
  <c r="AF6" i="15"/>
  <c r="U6" i="15"/>
  <c r="S6" i="15"/>
  <c r="R6" i="15"/>
  <c r="Q6" i="15"/>
  <c r="Y6" i="15" s="1"/>
  <c r="P6" i="15"/>
  <c r="X6" i="15" s="1"/>
  <c r="O6" i="15"/>
  <c r="AI5" i="15"/>
  <c r="AH5" i="15"/>
  <c r="AG5" i="15"/>
  <c r="AF5" i="15"/>
  <c r="U5" i="15"/>
  <c r="S5" i="15"/>
  <c r="R5" i="15"/>
  <c r="Q5" i="15"/>
  <c r="Y5" i="15" s="1"/>
  <c r="P5" i="15"/>
  <c r="X5" i="15" s="1"/>
  <c r="O5" i="15"/>
  <c r="AI4" i="15"/>
  <c r="AH4" i="15"/>
  <c r="AG4" i="15"/>
  <c r="AF4" i="15"/>
  <c r="U4" i="15"/>
  <c r="S4" i="15"/>
  <c r="AA4" i="15" s="1"/>
  <c r="R4" i="15"/>
  <c r="Q4" i="15"/>
  <c r="P4" i="15"/>
  <c r="X4" i="15" s="1"/>
  <c r="O4" i="15"/>
  <c r="W4" i="15" s="1"/>
  <c r="AI3" i="15"/>
  <c r="AH3" i="15"/>
  <c r="AG3" i="15"/>
  <c r="AF3" i="15"/>
  <c r="U3" i="15"/>
  <c r="S3" i="15"/>
  <c r="R3" i="15"/>
  <c r="Q3" i="15"/>
  <c r="P3" i="15"/>
  <c r="O3" i="15"/>
  <c r="AI42" i="14"/>
  <c r="AH42" i="14"/>
  <c r="AG42" i="14"/>
  <c r="AF42" i="14"/>
  <c r="AE42" i="14"/>
  <c r="U42" i="14"/>
  <c r="S42" i="14"/>
  <c r="AA42" i="14" s="1"/>
  <c r="R42" i="14"/>
  <c r="Q42" i="14"/>
  <c r="P42" i="14"/>
  <c r="O42" i="14"/>
  <c r="AI41" i="14"/>
  <c r="AH41" i="14"/>
  <c r="AG41" i="14"/>
  <c r="AF41" i="14"/>
  <c r="AE41" i="14"/>
  <c r="U41" i="14"/>
  <c r="S41" i="14"/>
  <c r="AA41" i="14" s="1"/>
  <c r="R41" i="14"/>
  <c r="Z41" i="14" s="1"/>
  <c r="Q41" i="14"/>
  <c r="Y41" i="14" s="1"/>
  <c r="P41" i="14"/>
  <c r="X41" i="14" s="1"/>
  <c r="O41" i="14"/>
  <c r="W41" i="14" s="1"/>
  <c r="AI40" i="14"/>
  <c r="AH40" i="14"/>
  <c r="AG40" i="14"/>
  <c r="AF40" i="14"/>
  <c r="AE40" i="14"/>
  <c r="U40" i="14"/>
  <c r="S40" i="14"/>
  <c r="AA40" i="14" s="1"/>
  <c r="R40" i="14"/>
  <c r="Z40" i="14" s="1"/>
  <c r="Q40" i="14"/>
  <c r="P40" i="14"/>
  <c r="X40" i="14" s="1"/>
  <c r="O40" i="14"/>
  <c r="W40" i="14" s="1"/>
  <c r="AI39" i="14"/>
  <c r="AH39" i="14"/>
  <c r="AG39" i="14"/>
  <c r="AF39" i="14"/>
  <c r="AE39" i="14"/>
  <c r="U39" i="14"/>
  <c r="S39" i="14"/>
  <c r="R39" i="14"/>
  <c r="Q39" i="14"/>
  <c r="P39" i="14"/>
  <c r="O39" i="14"/>
  <c r="AI38" i="14"/>
  <c r="AH38" i="14"/>
  <c r="AG38" i="14"/>
  <c r="AF38" i="14"/>
  <c r="AE38" i="14"/>
  <c r="U38" i="14"/>
  <c r="S38" i="14"/>
  <c r="AA38" i="14" s="1"/>
  <c r="R38" i="14"/>
  <c r="Q38" i="14"/>
  <c r="Y38" i="14" s="1"/>
  <c r="P38" i="14"/>
  <c r="X38" i="14" s="1"/>
  <c r="O38" i="14"/>
  <c r="W38" i="14" s="1"/>
  <c r="AI37" i="14"/>
  <c r="AH37" i="14"/>
  <c r="AG37" i="14"/>
  <c r="AF37" i="14"/>
  <c r="AE37" i="14"/>
  <c r="U37" i="14"/>
  <c r="S37" i="14"/>
  <c r="AA37" i="14" s="1"/>
  <c r="R37" i="14"/>
  <c r="Z37" i="14" s="1"/>
  <c r="Q37" i="14"/>
  <c r="Y37" i="14" s="1"/>
  <c r="P37" i="14"/>
  <c r="X37" i="14" s="1"/>
  <c r="O37" i="14"/>
  <c r="W37" i="14" s="1"/>
  <c r="AI36" i="14"/>
  <c r="AH36" i="14"/>
  <c r="AG36" i="14"/>
  <c r="AF36" i="14"/>
  <c r="AE36" i="14"/>
  <c r="U36" i="14"/>
  <c r="S36" i="14"/>
  <c r="R36" i="14"/>
  <c r="Q36" i="14"/>
  <c r="P36" i="14"/>
  <c r="X36" i="14" s="1"/>
  <c r="O36" i="14"/>
  <c r="W36" i="14" s="1"/>
  <c r="AI35" i="14"/>
  <c r="AH35" i="14"/>
  <c r="AG35" i="14"/>
  <c r="AF35" i="14"/>
  <c r="AE35" i="14"/>
  <c r="U35" i="14"/>
  <c r="S35" i="14"/>
  <c r="AA35" i="14" s="1"/>
  <c r="R35" i="14"/>
  <c r="Q35" i="14"/>
  <c r="P35" i="14"/>
  <c r="O35" i="14"/>
  <c r="AI22" i="14"/>
  <c r="AH22" i="14"/>
  <c r="AG22" i="14"/>
  <c r="AF22" i="14"/>
  <c r="AE22" i="14"/>
  <c r="U22" i="14"/>
  <c r="S22" i="14"/>
  <c r="AA22" i="14" s="1"/>
  <c r="R22" i="14"/>
  <c r="Q22" i="14"/>
  <c r="Y22" i="14" s="1"/>
  <c r="P22" i="14"/>
  <c r="X22" i="14" s="1"/>
  <c r="O22" i="14"/>
  <c r="W22" i="14" s="1"/>
  <c r="AI21" i="14"/>
  <c r="AH21" i="14"/>
  <c r="AG21" i="14"/>
  <c r="AF21" i="14"/>
  <c r="AE21" i="14"/>
  <c r="U21" i="14"/>
  <c r="S21" i="14"/>
  <c r="AA21" i="14" s="1"/>
  <c r="R21" i="14"/>
  <c r="Z21" i="14" s="1"/>
  <c r="Q21" i="14"/>
  <c r="Y21" i="14" s="1"/>
  <c r="P21" i="14"/>
  <c r="X21" i="14" s="1"/>
  <c r="O21" i="14"/>
  <c r="W21" i="14" s="1"/>
  <c r="AI20" i="14"/>
  <c r="AH20" i="14"/>
  <c r="AG20" i="14"/>
  <c r="AF20" i="14"/>
  <c r="AE20" i="14"/>
  <c r="U20" i="14"/>
  <c r="S20" i="14"/>
  <c r="R20" i="14"/>
  <c r="Q20" i="14"/>
  <c r="P20" i="14"/>
  <c r="O20" i="14"/>
  <c r="AI19" i="14"/>
  <c r="AH19" i="14"/>
  <c r="AG19" i="14"/>
  <c r="AF19" i="14"/>
  <c r="AE19" i="14"/>
  <c r="U19" i="14"/>
  <c r="S19" i="14"/>
  <c r="AA19" i="14" s="1"/>
  <c r="R19" i="14"/>
  <c r="Z19" i="14" s="1"/>
  <c r="Q19" i="14"/>
  <c r="Y19" i="14" s="1"/>
  <c r="P19" i="14"/>
  <c r="X19" i="14" s="1"/>
  <c r="O19" i="14"/>
  <c r="W19" i="14" s="1"/>
  <c r="AI14" i="14"/>
  <c r="AH14" i="14"/>
  <c r="AG14" i="14"/>
  <c r="AF14" i="14"/>
  <c r="AE14" i="14"/>
  <c r="U14" i="14"/>
  <c r="S14" i="14"/>
  <c r="AA14" i="14" s="1"/>
  <c r="R14" i="14"/>
  <c r="Q14" i="14"/>
  <c r="Y14" i="14" s="1"/>
  <c r="P14" i="14"/>
  <c r="X14" i="14" s="1"/>
  <c r="O14" i="14"/>
  <c r="W14" i="14" s="1"/>
  <c r="AI13" i="14"/>
  <c r="AH13" i="14"/>
  <c r="AG13" i="14"/>
  <c r="AF13" i="14"/>
  <c r="AE13" i="14"/>
  <c r="U13" i="14"/>
  <c r="S13" i="14"/>
  <c r="AA13" i="14" s="1"/>
  <c r="R13" i="14"/>
  <c r="Q13" i="14"/>
  <c r="Y13" i="14" s="1"/>
  <c r="P13" i="14"/>
  <c r="X13" i="14" s="1"/>
  <c r="O13" i="14"/>
  <c r="W13" i="14" s="1"/>
  <c r="AI12" i="14"/>
  <c r="AH12" i="14"/>
  <c r="AG12" i="14"/>
  <c r="AF12" i="14"/>
  <c r="AE12" i="14"/>
  <c r="U12" i="14"/>
  <c r="S12" i="14"/>
  <c r="R12" i="14"/>
  <c r="Z12" i="14" s="1"/>
  <c r="Q12" i="14"/>
  <c r="Y12" i="14" s="1"/>
  <c r="P12" i="14"/>
  <c r="X12" i="14" s="1"/>
  <c r="O12" i="14"/>
  <c r="AI11" i="14"/>
  <c r="AH11" i="14"/>
  <c r="AG11" i="14"/>
  <c r="AF11" i="14"/>
  <c r="AE11" i="14"/>
  <c r="U11" i="14"/>
  <c r="S11" i="14"/>
  <c r="AA11" i="14" s="1"/>
  <c r="R11" i="14"/>
  <c r="Z11" i="14" s="1"/>
  <c r="Q11" i="14"/>
  <c r="Y11" i="14" s="1"/>
  <c r="P11" i="14"/>
  <c r="X11" i="14" s="1"/>
  <c r="O11" i="14"/>
  <c r="W11" i="14" s="1"/>
  <c r="AI6" i="14"/>
  <c r="AH6" i="14"/>
  <c r="AG6" i="14"/>
  <c r="AF6" i="14"/>
  <c r="AE6" i="14"/>
  <c r="U6" i="14"/>
  <c r="S6" i="14"/>
  <c r="AA6" i="14" s="1"/>
  <c r="R6" i="14"/>
  <c r="Q6" i="14"/>
  <c r="P6" i="14"/>
  <c r="X6" i="14" s="1"/>
  <c r="O6" i="14"/>
  <c r="W6" i="14" s="1"/>
  <c r="AI5" i="14"/>
  <c r="AH5" i="14"/>
  <c r="AG5" i="14"/>
  <c r="AF5" i="14"/>
  <c r="AE5" i="14"/>
  <c r="U5" i="14"/>
  <c r="S5" i="14"/>
  <c r="AA5" i="14" s="1"/>
  <c r="R5" i="14"/>
  <c r="Q5" i="14"/>
  <c r="Y5" i="14" s="1"/>
  <c r="P5" i="14"/>
  <c r="O5" i="14"/>
  <c r="AI4" i="14"/>
  <c r="AH4" i="14"/>
  <c r="AG4" i="14"/>
  <c r="AF4" i="14"/>
  <c r="AE4" i="14"/>
  <c r="U4" i="14"/>
  <c r="S4" i="14"/>
  <c r="R4" i="14"/>
  <c r="Z4" i="14" s="1"/>
  <c r="Q4" i="14"/>
  <c r="Y4" i="14" s="1"/>
  <c r="P4" i="14"/>
  <c r="X4" i="14" s="1"/>
  <c r="O4" i="14"/>
  <c r="AI3" i="14"/>
  <c r="AH3" i="14"/>
  <c r="AG3" i="14"/>
  <c r="AF3" i="14"/>
  <c r="AE3" i="14"/>
  <c r="U3" i="14"/>
  <c r="S3" i="14"/>
  <c r="AA3" i="14" s="1"/>
  <c r="R3" i="14"/>
  <c r="Z3" i="14" s="1"/>
  <c r="Q3" i="14"/>
  <c r="Y3" i="14" s="1"/>
  <c r="P3" i="14"/>
  <c r="X3" i="14" s="1"/>
  <c r="O3" i="14"/>
  <c r="W3" i="14" s="1"/>
  <c r="AI54" i="13"/>
  <c r="AH54" i="13"/>
  <c r="AG54" i="13"/>
  <c r="AF54" i="13"/>
  <c r="AE54" i="13"/>
  <c r="U54" i="13"/>
  <c r="S54" i="13"/>
  <c r="AA54" i="13" s="1"/>
  <c r="R54" i="13"/>
  <c r="Q54" i="13"/>
  <c r="P54" i="13"/>
  <c r="O54" i="13"/>
  <c r="AI41" i="13"/>
  <c r="AH41" i="13"/>
  <c r="AG41" i="13"/>
  <c r="AF41" i="13"/>
  <c r="AE41" i="13"/>
  <c r="U41" i="13"/>
  <c r="S41" i="13"/>
  <c r="AA41" i="13" s="1"/>
  <c r="R41" i="13"/>
  <c r="Z41" i="13" s="1"/>
  <c r="Q41" i="13"/>
  <c r="Y41" i="13" s="1"/>
  <c r="P41" i="13"/>
  <c r="X41" i="13" s="1"/>
  <c r="O41" i="13"/>
  <c r="W41" i="13" s="1"/>
  <c r="AI40" i="13"/>
  <c r="AH40" i="13"/>
  <c r="AG40" i="13"/>
  <c r="AF40" i="13"/>
  <c r="AE40" i="13"/>
  <c r="U40" i="13"/>
  <c r="S40" i="13"/>
  <c r="R40" i="13"/>
  <c r="Q40" i="13"/>
  <c r="P40" i="13"/>
  <c r="O40" i="13"/>
  <c r="AI39" i="13"/>
  <c r="AH39" i="13"/>
  <c r="AG39" i="13"/>
  <c r="AF39" i="13"/>
  <c r="AE39" i="13"/>
  <c r="U39" i="13"/>
  <c r="S39" i="13"/>
  <c r="AA39" i="13" s="1"/>
  <c r="R39" i="13"/>
  <c r="Q39" i="13"/>
  <c r="P39" i="13"/>
  <c r="O39" i="13"/>
  <c r="AI38" i="13"/>
  <c r="AH38" i="13"/>
  <c r="AG38" i="13"/>
  <c r="AF38" i="13"/>
  <c r="AE38" i="13"/>
  <c r="U38" i="13"/>
  <c r="S38" i="13"/>
  <c r="R38" i="13"/>
  <c r="Q38" i="13"/>
  <c r="Y38" i="13" s="1"/>
  <c r="P38" i="13"/>
  <c r="X38" i="13" s="1"/>
  <c r="O38" i="13"/>
  <c r="AI37" i="13"/>
  <c r="AH37" i="13"/>
  <c r="AG37" i="13"/>
  <c r="AF37" i="13"/>
  <c r="AE37" i="13"/>
  <c r="U37" i="13"/>
  <c r="S37" i="13"/>
  <c r="AA37" i="13" s="1"/>
  <c r="R37" i="13"/>
  <c r="Z37" i="13" s="1"/>
  <c r="Q37" i="13"/>
  <c r="Y37" i="13" s="1"/>
  <c r="P37" i="13"/>
  <c r="O37" i="13"/>
  <c r="AI36" i="13"/>
  <c r="AH36" i="13"/>
  <c r="AG36" i="13"/>
  <c r="AF36" i="13"/>
  <c r="AE36" i="13"/>
  <c r="U36" i="13"/>
  <c r="S36" i="13"/>
  <c r="R36" i="13"/>
  <c r="Q36" i="13"/>
  <c r="P36" i="13"/>
  <c r="O36" i="13"/>
  <c r="AI35" i="13"/>
  <c r="AH35" i="13"/>
  <c r="AG35" i="13"/>
  <c r="AF35" i="13"/>
  <c r="AE35" i="13"/>
  <c r="U35" i="13"/>
  <c r="S35" i="13"/>
  <c r="R35" i="13"/>
  <c r="Q35" i="13"/>
  <c r="Y35" i="13" s="1"/>
  <c r="P35" i="13"/>
  <c r="X35" i="13" s="1"/>
  <c r="O35" i="13"/>
  <c r="W35" i="13" s="1"/>
  <c r="AI22" i="13"/>
  <c r="AH22" i="13"/>
  <c r="AG22" i="13"/>
  <c r="AF22" i="13"/>
  <c r="AE22" i="13"/>
  <c r="U22" i="13"/>
  <c r="S22" i="13"/>
  <c r="R22" i="13"/>
  <c r="Q22" i="13"/>
  <c r="P22" i="13"/>
  <c r="O22" i="13"/>
  <c r="AI21" i="13"/>
  <c r="AH21" i="13"/>
  <c r="AG21" i="13"/>
  <c r="AF21" i="13"/>
  <c r="AE21" i="13"/>
  <c r="U21" i="13"/>
  <c r="S21" i="13"/>
  <c r="R21" i="13"/>
  <c r="Q21" i="13"/>
  <c r="P21" i="13"/>
  <c r="O21" i="13"/>
  <c r="AI20" i="13"/>
  <c r="AH20" i="13"/>
  <c r="AG20" i="13"/>
  <c r="AF20" i="13"/>
  <c r="AE20" i="13"/>
  <c r="U20" i="13"/>
  <c r="S20" i="13"/>
  <c r="AA20" i="13" s="1"/>
  <c r="R20" i="13"/>
  <c r="Z20" i="13" s="1"/>
  <c r="Q20" i="13"/>
  <c r="Y20" i="13" s="1"/>
  <c r="P20" i="13"/>
  <c r="X20" i="13" s="1"/>
  <c r="O20" i="13"/>
  <c r="AI19" i="13"/>
  <c r="AH19" i="13"/>
  <c r="AG19" i="13"/>
  <c r="AF19" i="13"/>
  <c r="AE19" i="13"/>
  <c r="U19" i="13"/>
  <c r="S19" i="13"/>
  <c r="R19" i="13"/>
  <c r="Q19" i="13"/>
  <c r="P19" i="13"/>
  <c r="O19" i="13"/>
  <c r="AI14" i="13"/>
  <c r="AH14" i="13"/>
  <c r="AG14" i="13"/>
  <c r="AF14" i="13"/>
  <c r="AE14" i="13"/>
  <c r="U14" i="13"/>
  <c r="S14" i="13"/>
  <c r="R14" i="13"/>
  <c r="Q14" i="13"/>
  <c r="Y14" i="13" s="1"/>
  <c r="P14" i="13"/>
  <c r="X14" i="13" s="1"/>
  <c r="O14" i="13"/>
  <c r="AI13" i="13"/>
  <c r="AH13" i="13"/>
  <c r="AG13" i="13"/>
  <c r="AF13" i="13"/>
  <c r="AE13" i="13"/>
  <c r="U13" i="13"/>
  <c r="S13" i="13"/>
  <c r="AA13" i="13" s="1"/>
  <c r="R13" i="13"/>
  <c r="Z13" i="13" s="1"/>
  <c r="Q13" i="13"/>
  <c r="Y13" i="13" s="1"/>
  <c r="P13" i="13"/>
  <c r="O13" i="13"/>
  <c r="AI12" i="13"/>
  <c r="AH12" i="13"/>
  <c r="AG12" i="13"/>
  <c r="AF12" i="13"/>
  <c r="AE12" i="13"/>
  <c r="U12" i="13"/>
  <c r="S12" i="13"/>
  <c r="R12" i="13"/>
  <c r="Q12" i="13"/>
  <c r="Y12" i="13" s="1"/>
  <c r="P12" i="13"/>
  <c r="X12" i="13" s="1"/>
  <c r="O12" i="13"/>
  <c r="W12" i="13" s="1"/>
  <c r="AI11" i="13"/>
  <c r="AH11" i="13"/>
  <c r="AG11" i="13"/>
  <c r="AF11" i="13"/>
  <c r="AE11" i="13"/>
  <c r="U11" i="13"/>
  <c r="S11" i="13"/>
  <c r="AA11" i="13" s="1"/>
  <c r="R11" i="13"/>
  <c r="Q11" i="13"/>
  <c r="Y11" i="13" s="1"/>
  <c r="P11" i="13"/>
  <c r="X11" i="13" s="1"/>
  <c r="O11" i="13"/>
  <c r="W11" i="13" s="1"/>
  <c r="AI6" i="13"/>
  <c r="AH6" i="13"/>
  <c r="AG6" i="13"/>
  <c r="AF6" i="13"/>
  <c r="AE6" i="13"/>
  <c r="U6" i="13"/>
  <c r="S6" i="13"/>
  <c r="R6" i="13"/>
  <c r="Q6" i="13"/>
  <c r="P6" i="13"/>
  <c r="O6" i="13"/>
  <c r="AI5" i="13"/>
  <c r="AH5" i="13"/>
  <c r="AG5" i="13"/>
  <c r="AF5" i="13"/>
  <c r="AE5" i="13"/>
  <c r="U5" i="13"/>
  <c r="S5" i="13"/>
  <c r="R5" i="13"/>
  <c r="Z5" i="13" s="1"/>
  <c r="Q5" i="13"/>
  <c r="Y5" i="13" s="1"/>
  <c r="P5" i="13"/>
  <c r="X5" i="13" s="1"/>
  <c r="O5" i="13"/>
  <c r="W5" i="13" s="1"/>
  <c r="AI4" i="13"/>
  <c r="AH4" i="13"/>
  <c r="AG4" i="13"/>
  <c r="AF4" i="13"/>
  <c r="AE4" i="13"/>
  <c r="U4" i="13"/>
  <c r="S4" i="13"/>
  <c r="AA4" i="13" s="1"/>
  <c r="R4" i="13"/>
  <c r="Z4" i="13" s="1"/>
  <c r="Q4" i="13"/>
  <c r="Y4" i="13" s="1"/>
  <c r="P4" i="13"/>
  <c r="O4" i="13"/>
  <c r="AI3" i="13"/>
  <c r="AH3" i="13"/>
  <c r="AG3" i="13"/>
  <c r="AF3" i="13"/>
  <c r="AE3" i="13"/>
  <c r="U3" i="13"/>
  <c r="S3" i="13"/>
  <c r="R3" i="13"/>
  <c r="Q3" i="13"/>
  <c r="P3" i="13"/>
  <c r="O3" i="13"/>
  <c r="AI42" i="12"/>
  <c r="AH42" i="12"/>
  <c r="AG42" i="12"/>
  <c r="AF42" i="12"/>
  <c r="AE42" i="12"/>
  <c r="U42" i="12"/>
  <c r="S42" i="12"/>
  <c r="R42" i="12"/>
  <c r="Q42" i="12"/>
  <c r="Y42" i="12" s="1"/>
  <c r="P42" i="12"/>
  <c r="X42" i="12" s="1"/>
  <c r="O42" i="12"/>
  <c r="AI41" i="12"/>
  <c r="AH41" i="12"/>
  <c r="AG41" i="12"/>
  <c r="AF41" i="12"/>
  <c r="AE41" i="12"/>
  <c r="U41" i="12"/>
  <c r="S41" i="12"/>
  <c r="AA41" i="12" s="1"/>
  <c r="R41" i="12"/>
  <c r="Z41" i="12" s="1"/>
  <c r="Q41" i="12"/>
  <c r="Y41" i="12" s="1"/>
  <c r="P41" i="12"/>
  <c r="X41" i="12" s="1"/>
  <c r="O41" i="12"/>
  <c r="W41" i="12" s="1"/>
  <c r="AI40" i="12"/>
  <c r="AH40" i="12"/>
  <c r="AG40" i="12"/>
  <c r="AF40" i="12"/>
  <c r="AE40" i="12"/>
  <c r="U40" i="12"/>
  <c r="S40" i="12"/>
  <c r="AA40" i="12" s="1"/>
  <c r="R40" i="12"/>
  <c r="Z40" i="12" s="1"/>
  <c r="Q40" i="12"/>
  <c r="Y40" i="12" s="1"/>
  <c r="P40" i="12"/>
  <c r="X40" i="12" s="1"/>
  <c r="O40" i="12"/>
  <c r="W40" i="12" s="1"/>
  <c r="AI39" i="12"/>
  <c r="AH39" i="12"/>
  <c r="AG39" i="12"/>
  <c r="AF39" i="12"/>
  <c r="AE39" i="12"/>
  <c r="U39" i="12"/>
  <c r="S39" i="12"/>
  <c r="AA39" i="12" s="1"/>
  <c r="R39" i="12"/>
  <c r="Q39" i="12"/>
  <c r="Y39" i="12" s="1"/>
  <c r="P39" i="12"/>
  <c r="X39" i="12" s="1"/>
  <c r="O39" i="12"/>
  <c r="AI38" i="12"/>
  <c r="AH38" i="12"/>
  <c r="AG38" i="12"/>
  <c r="AF38" i="12"/>
  <c r="AE38" i="12"/>
  <c r="U38" i="12"/>
  <c r="S38" i="12"/>
  <c r="R38" i="12"/>
  <c r="Q38" i="12"/>
  <c r="P38" i="12"/>
  <c r="X38" i="12" s="1"/>
  <c r="O38" i="12"/>
  <c r="AI37" i="12"/>
  <c r="AH37" i="12"/>
  <c r="AG37" i="12"/>
  <c r="AF37" i="12"/>
  <c r="AE37" i="12"/>
  <c r="U37" i="12"/>
  <c r="S37" i="12"/>
  <c r="AA37" i="12" s="1"/>
  <c r="R37" i="12"/>
  <c r="Z37" i="12" s="1"/>
  <c r="Q37" i="12"/>
  <c r="Y37" i="12" s="1"/>
  <c r="P37" i="12"/>
  <c r="X37" i="12" s="1"/>
  <c r="O37" i="12"/>
  <c r="W37" i="12" s="1"/>
  <c r="AI36" i="12"/>
  <c r="AH36" i="12"/>
  <c r="AG36" i="12"/>
  <c r="AF36" i="12"/>
  <c r="AE36" i="12"/>
  <c r="U36" i="12"/>
  <c r="S36" i="12"/>
  <c r="AA36" i="12" s="1"/>
  <c r="R36" i="12"/>
  <c r="Z36" i="12" s="1"/>
  <c r="Q36" i="12"/>
  <c r="Y36" i="12" s="1"/>
  <c r="P36" i="12"/>
  <c r="O36" i="12"/>
  <c r="AI35" i="12"/>
  <c r="AH35" i="12"/>
  <c r="AG35" i="12"/>
  <c r="AF35" i="12"/>
  <c r="AE35" i="12"/>
  <c r="U35" i="12"/>
  <c r="S35" i="12"/>
  <c r="R35" i="12"/>
  <c r="Q35" i="12"/>
  <c r="Y35" i="12" s="1"/>
  <c r="P35" i="12"/>
  <c r="X35" i="12" s="1"/>
  <c r="O35" i="12"/>
  <c r="W35" i="12" s="1"/>
  <c r="AI22" i="12"/>
  <c r="AH22" i="12"/>
  <c r="AG22" i="12"/>
  <c r="AF22" i="12"/>
  <c r="AE22" i="12"/>
  <c r="U22" i="12"/>
  <c r="S22" i="12"/>
  <c r="R22" i="12"/>
  <c r="Q22" i="12"/>
  <c r="P22" i="12"/>
  <c r="O22" i="12"/>
  <c r="AI21" i="12"/>
  <c r="AH21" i="12"/>
  <c r="AG21" i="12"/>
  <c r="AF21" i="12"/>
  <c r="AE21" i="12"/>
  <c r="U21" i="12"/>
  <c r="S21" i="12"/>
  <c r="AA21" i="12" s="1"/>
  <c r="R21" i="12"/>
  <c r="Q21" i="12"/>
  <c r="P21" i="12"/>
  <c r="O21" i="12"/>
  <c r="AI20" i="12"/>
  <c r="AH20" i="12"/>
  <c r="AG20" i="12"/>
  <c r="AF20" i="12"/>
  <c r="AE20" i="12"/>
  <c r="U20" i="12"/>
  <c r="S20" i="12"/>
  <c r="R20" i="12"/>
  <c r="Z20" i="12" s="1"/>
  <c r="Q20" i="12"/>
  <c r="Y20" i="12" s="1"/>
  <c r="P20" i="12"/>
  <c r="X20" i="12" s="1"/>
  <c r="O20" i="12"/>
  <c r="W20" i="12" s="1"/>
  <c r="AI19" i="12"/>
  <c r="AH19" i="12"/>
  <c r="AG19" i="12"/>
  <c r="AF19" i="12"/>
  <c r="AE19" i="12"/>
  <c r="U19" i="12"/>
  <c r="S19" i="12"/>
  <c r="R19" i="12"/>
  <c r="Q19" i="12"/>
  <c r="P19" i="12"/>
  <c r="O19" i="12"/>
  <c r="AI14" i="12"/>
  <c r="AH14" i="12"/>
  <c r="AG14" i="12"/>
  <c r="AF14" i="12"/>
  <c r="AE14" i="12"/>
  <c r="U14" i="12"/>
  <c r="S14" i="12"/>
  <c r="R14" i="12"/>
  <c r="Q14" i="12"/>
  <c r="Y14" i="12" s="1"/>
  <c r="P14" i="12"/>
  <c r="X14" i="12" s="1"/>
  <c r="O14" i="12"/>
  <c r="AI13" i="12"/>
  <c r="AH13" i="12"/>
  <c r="AG13" i="12"/>
  <c r="AF13" i="12"/>
  <c r="AE13" i="12"/>
  <c r="U13" i="12"/>
  <c r="S13" i="12"/>
  <c r="AA13" i="12" s="1"/>
  <c r="R13" i="12"/>
  <c r="Z13" i="12" s="1"/>
  <c r="Q13" i="12"/>
  <c r="Y13" i="12" s="1"/>
  <c r="P13" i="12"/>
  <c r="X13" i="12" s="1"/>
  <c r="O13" i="12"/>
  <c r="W13" i="12" s="1"/>
  <c r="AI12" i="12"/>
  <c r="AH12" i="12"/>
  <c r="AG12" i="12"/>
  <c r="AF12" i="12"/>
  <c r="AE12" i="12"/>
  <c r="U12" i="12"/>
  <c r="S12" i="12"/>
  <c r="R12" i="12"/>
  <c r="Q12" i="12"/>
  <c r="Y12" i="12" s="1"/>
  <c r="P12" i="12"/>
  <c r="O12" i="12"/>
  <c r="AI11" i="12"/>
  <c r="AH11" i="12"/>
  <c r="AG11" i="12"/>
  <c r="AF11" i="12"/>
  <c r="AE11" i="12"/>
  <c r="U11" i="12"/>
  <c r="S11" i="12"/>
  <c r="R11" i="12"/>
  <c r="Q11" i="12"/>
  <c r="P11" i="12"/>
  <c r="X11" i="12" s="1"/>
  <c r="O11" i="12"/>
  <c r="W11" i="12" s="1"/>
  <c r="AI6" i="12"/>
  <c r="AH6" i="12"/>
  <c r="AG6" i="12"/>
  <c r="AF6" i="12"/>
  <c r="AE6" i="12"/>
  <c r="U6" i="12"/>
  <c r="S6" i="12"/>
  <c r="R6" i="12"/>
  <c r="Q6" i="12"/>
  <c r="Y6" i="12" s="1"/>
  <c r="P6" i="12"/>
  <c r="X6" i="12" s="1"/>
  <c r="O6" i="12"/>
  <c r="AI5" i="12"/>
  <c r="AH5" i="12"/>
  <c r="AG5" i="12"/>
  <c r="AF5" i="12"/>
  <c r="AE5" i="12"/>
  <c r="U5" i="12"/>
  <c r="S5" i="12"/>
  <c r="AA5" i="12" s="1"/>
  <c r="R5" i="12"/>
  <c r="Z5" i="12" s="1"/>
  <c r="Q5" i="12"/>
  <c r="Y5" i="12" s="1"/>
  <c r="P5" i="12"/>
  <c r="X5" i="12" s="1"/>
  <c r="O5" i="12"/>
  <c r="W5" i="12" s="1"/>
  <c r="AI4" i="12"/>
  <c r="AH4" i="12"/>
  <c r="AG4" i="12"/>
  <c r="AF4" i="12"/>
  <c r="AE4" i="12"/>
  <c r="U4" i="12"/>
  <c r="S4" i="12"/>
  <c r="R4" i="12"/>
  <c r="Z4" i="12" s="1"/>
  <c r="Q4" i="12"/>
  <c r="Y4" i="12" s="1"/>
  <c r="P4" i="12"/>
  <c r="X4" i="12" s="1"/>
  <c r="O4" i="12"/>
  <c r="W4" i="12" s="1"/>
  <c r="AI3" i="12"/>
  <c r="AH3" i="12"/>
  <c r="AG3" i="12"/>
  <c r="AF3" i="12"/>
  <c r="AE3" i="12"/>
  <c r="U3" i="12"/>
  <c r="S3" i="12"/>
  <c r="AA3" i="12" s="1"/>
  <c r="R3" i="12"/>
  <c r="Q3" i="12"/>
  <c r="Y3" i="12" s="1"/>
  <c r="P3" i="12"/>
  <c r="X3" i="12" s="1"/>
  <c r="O3" i="12"/>
  <c r="Y4" i="16" l="1"/>
  <c r="AA19" i="16"/>
  <c r="Y37" i="16"/>
  <c r="AA37" i="16"/>
  <c r="X5" i="16"/>
  <c r="X38" i="16"/>
  <c r="Y5" i="16"/>
  <c r="W12" i="16"/>
  <c r="Y38" i="16"/>
  <c r="Z5" i="16"/>
  <c r="W19" i="16"/>
  <c r="AA5" i="16"/>
  <c r="X19" i="16"/>
  <c r="W4" i="16"/>
  <c r="Y19" i="16"/>
  <c r="X22" i="16"/>
  <c r="W37" i="16"/>
  <c r="X4" i="16"/>
  <c r="AA12" i="16"/>
  <c r="Y22" i="16"/>
  <c r="X37" i="16"/>
  <c r="W40" i="16"/>
  <c r="Z5" i="15"/>
  <c r="Z21" i="15"/>
  <c r="Z41" i="15"/>
  <c r="AA5" i="15"/>
  <c r="AA21" i="15"/>
  <c r="AA41" i="15"/>
  <c r="AB41" i="15" s="1"/>
  <c r="AC41" i="15" s="1"/>
  <c r="Z4" i="15"/>
  <c r="X13" i="15"/>
  <c r="Z20" i="15"/>
  <c r="X37" i="15"/>
  <c r="Z40" i="15"/>
  <c r="Y4" i="15"/>
  <c r="Z13" i="15"/>
  <c r="Z37" i="15"/>
  <c r="W3" i="15"/>
  <c r="AB3" i="15" s="1"/>
  <c r="AC3" i="15" s="1"/>
  <c r="AA13" i="15"/>
  <c r="W19" i="15"/>
  <c r="AA37" i="15"/>
  <c r="W39" i="15"/>
  <c r="X3" i="15"/>
  <c r="X19" i="15"/>
  <c r="AB19" i="15" s="1"/>
  <c r="AC19" i="15" s="1"/>
  <c r="X39" i="15"/>
  <c r="Y3" i="15"/>
  <c r="W12" i="15"/>
  <c r="Y19" i="15"/>
  <c r="W36" i="15"/>
  <c r="AB36" i="15" s="1"/>
  <c r="AC36" i="15" s="1"/>
  <c r="Y39" i="15"/>
  <c r="AB39" i="15" s="1"/>
  <c r="AC39" i="15" s="1"/>
  <c r="Z19" i="15"/>
  <c r="X36" i="15"/>
  <c r="AA3" i="15"/>
  <c r="W5" i="15"/>
  <c r="AB5" i="15" s="1"/>
  <c r="AC5" i="15" s="1"/>
  <c r="AA19" i="15"/>
  <c r="W21" i="15"/>
  <c r="AA39" i="15"/>
  <c r="W41" i="15"/>
  <c r="Y36" i="14"/>
  <c r="Z36" i="14"/>
  <c r="W20" i="14"/>
  <c r="AA36" i="14"/>
  <c r="W39" i="14"/>
  <c r="X20" i="14"/>
  <c r="W35" i="14"/>
  <c r="X39" i="14"/>
  <c r="W42" i="14"/>
  <c r="Y20" i="14"/>
  <c r="AB20" i="14" s="1"/>
  <c r="AC20" i="14" s="1"/>
  <c r="X35" i="14"/>
  <c r="AB35" i="14" s="1"/>
  <c r="AC35" i="14" s="1"/>
  <c r="Y39" i="14"/>
  <c r="X42" i="14"/>
  <c r="Z38" i="14"/>
  <c r="AB38" i="14" s="1"/>
  <c r="AC38" i="14" s="1"/>
  <c r="W5" i="14"/>
  <c r="Z20" i="14"/>
  <c r="Y35" i="14"/>
  <c r="Y42" i="14"/>
  <c r="X5" i="14"/>
  <c r="AA20" i="14"/>
  <c r="AA39" i="14"/>
  <c r="W37" i="13"/>
  <c r="W4" i="13"/>
  <c r="AA12" i="13"/>
  <c r="X37" i="13"/>
  <c r="X4" i="13"/>
  <c r="Y40" i="13"/>
  <c r="Z40" i="13"/>
  <c r="W19" i="13"/>
  <c r="X19" i="13"/>
  <c r="AA5" i="13"/>
  <c r="AB5" i="13" s="1"/>
  <c r="AC5" i="13" s="1"/>
  <c r="Y19" i="13"/>
  <c r="X22" i="13"/>
  <c r="Y22" i="13"/>
  <c r="W40" i="13"/>
  <c r="AA19" i="13"/>
  <c r="X40" i="13"/>
  <c r="W21" i="13"/>
  <c r="X21" i="13"/>
  <c r="AA40" i="13"/>
  <c r="Z21" i="13"/>
  <c r="Y21" i="13"/>
  <c r="Z14" i="13"/>
  <c r="AA21" i="13"/>
  <c r="AB21" i="13" s="1"/>
  <c r="AC21" i="13" s="1"/>
  <c r="Z54" i="13"/>
  <c r="AA35" i="13"/>
  <c r="Z35" i="13"/>
  <c r="Z12" i="13"/>
  <c r="AB12" i="13" s="1"/>
  <c r="AC12" i="13" s="1"/>
  <c r="W3" i="13"/>
  <c r="W36" i="13"/>
  <c r="AB36" i="13" s="1"/>
  <c r="AC36" i="13" s="1"/>
  <c r="X3" i="13"/>
  <c r="X36" i="13"/>
  <c r="W39" i="13"/>
  <c r="Y3" i="13"/>
  <c r="Y36" i="13"/>
  <c r="X39" i="13"/>
  <c r="X6" i="13"/>
  <c r="W13" i="13"/>
  <c r="Z36" i="13"/>
  <c r="Y39" i="13"/>
  <c r="X54" i="13"/>
  <c r="AA3" i="13"/>
  <c r="Y6" i="13"/>
  <c r="X13" i="13"/>
  <c r="W20" i="13"/>
  <c r="AB20" i="13" s="1"/>
  <c r="AC20" i="13" s="1"/>
  <c r="AA36" i="13"/>
  <c r="Y54" i="13"/>
  <c r="Z21" i="12"/>
  <c r="W12" i="12"/>
  <c r="AA20" i="12"/>
  <c r="Y38" i="12"/>
  <c r="X12" i="12"/>
  <c r="W19" i="12"/>
  <c r="AA35" i="12"/>
  <c r="X19" i="12"/>
  <c r="Z12" i="12"/>
  <c r="Y19" i="12"/>
  <c r="X22" i="12"/>
  <c r="AA12" i="12"/>
  <c r="Y22" i="12"/>
  <c r="AA19" i="12"/>
  <c r="Y11" i="12"/>
  <c r="W21" i="12"/>
  <c r="AA4" i="12"/>
  <c r="X21" i="12"/>
  <c r="W36" i="12"/>
  <c r="W3" i="12"/>
  <c r="AA11" i="12"/>
  <c r="Y21" i="12"/>
  <c r="X36" i="12"/>
  <c r="W39" i="12"/>
  <c r="Z38" i="16"/>
  <c r="AA14" i="16"/>
  <c r="Z22" i="14"/>
  <c r="AB22" i="14" s="1"/>
  <c r="AC22" i="14" s="1"/>
  <c r="AA42" i="12"/>
  <c r="AA14" i="12"/>
  <c r="Z42" i="15"/>
  <c r="Z11" i="16"/>
  <c r="AB11" i="16" s="1"/>
  <c r="AC11" i="16" s="1"/>
  <c r="Z35" i="16"/>
  <c r="AB35" i="16" s="1"/>
  <c r="AC35" i="16" s="1"/>
  <c r="Z3" i="15"/>
  <c r="Z11" i="15"/>
  <c r="AB11" i="15" s="1"/>
  <c r="AC11" i="15" s="1"/>
  <c r="AA12" i="14"/>
  <c r="Z14" i="14"/>
  <c r="AB14" i="14" s="1"/>
  <c r="AC14" i="14" s="1"/>
  <c r="Z11" i="13"/>
  <c r="Z38" i="13"/>
  <c r="AB12" i="16"/>
  <c r="AC12" i="16" s="1"/>
  <c r="Z6" i="16"/>
  <c r="Z22" i="16"/>
  <c r="Z42" i="16"/>
  <c r="AB42" i="16" s="1"/>
  <c r="AC42" i="16" s="1"/>
  <c r="AB36" i="16"/>
  <c r="AC36" i="16" s="1"/>
  <c r="Z3" i="16"/>
  <c r="AB3" i="16" s="1"/>
  <c r="AC3" i="16" s="1"/>
  <c r="Z19" i="16"/>
  <c r="Z39" i="16"/>
  <c r="AB39" i="16" s="1"/>
  <c r="AC39" i="16" s="1"/>
  <c r="Z6" i="15"/>
  <c r="Y20" i="15"/>
  <c r="AB20" i="15" s="1"/>
  <c r="AC20" i="15" s="1"/>
  <c r="Y36" i="15"/>
  <c r="Z39" i="15"/>
  <c r="Y40" i="15"/>
  <c r="AB40" i="15" s="1"/>
  <c r="AC40" i="15" s="1"/>
  <c r="Z14" i="15"/>
  <c r="AB14" i="15" s="1"/>
  <c r="AC14" i="15" s="1"/>
  <c r="Z22" i="15"/>
  <c r="AB22" i="15" s="1"/>
  <c r="AC22" i="15" s="1"/>
  <c r="Y38" i="15"/>
  <c r="AB42" i="15"/>
  <c r="AC42" i="15" s="1"/>
  <c r="Z42" i="14"/>
  <c r="AB42" i="14" s="1"/>
  <c r="AC42" i="14" s="1"/>
  <c r="AA4" i="14"/>
  <c r="Z5" i="14"/>
  <c r="AB5" i="14" s="1"/>
  <c r="AC5" i="14" s="1"/>
  <c r="Y6" i="14"/>
  <c r="Z13" i="14"/>
  <c r="Z35" i="14"/>
  <c r="Z39" i="14"/>
  <c r="Y40" i="14"/>
  <c r="AB40" i="14" s="1"/>
  <c r="AC40" i="14" s="1"/>
  <c r="AB11" i="13"/>
  <c r="AC11" i="13" s="1"/>
  <c r="AA6" i="13"/>
  <c r="AA22" i="13"/>
  <c r="AB35" i="13"/>
  <c r="AC35" i="13" s="1"/>
  <c r="Z3" i="13"/>
  <c r="Z19" i="13"/>
  <c r="Z39" i="13"/>
  <c r="Z3" i="12"/>
  <c r="Z22" i="12"/>
  <c r="AA6" i="12"/>
  <c r="AB3" i="12"/>
  <c r="AB4" i="12"/>
  <c r="AC4" i="12" s="1"/>
  <c r="Z19" i="12"/>
  <c r="AB19" i="12" s="1"/>
  <c r="AC19" i="12" s="1"/>
  <c r="Z39" i="12"/>
  <c r="AB39" i="12" s="1"/>
  <c r="AC39" i="12" s="1"/>
  <c r="AB12" i="12"/>
  <c r="AC12" i="12" s="1"/>
  <c r="AB36" i="12"/>
  <c r="AC36" i="12" s="1"/>
  <c r="Z38" i="12"/>
  <c r="Z11" i="12"/>
  <c r="AB11" i="12" s="1"/>
  <c r="AC11" i="12" s="1"/>
  <c r="Z35" i="12"/>
  <c r="AB35" i="12" s="1"/>
  <c r="AC35" i="12" s="1"/>
  <c r="AB5" i="16"/>
  <c r="AC5" i="16" s="1"/>
  <c r="AB21" i="16"/>
  <c r="AC21" i="16" s="1"/>
  <c r="AB41" i="16"/>
  <c r="AC41" i="16" s="1"/>
  <c r="AB4" i="16"/>
  <c r="AC4" i="16" s="1"/>
  <c r="AB20" i="16"/>
  <c r="AC20" i="16" s="1"/>
  <c r="AB40" i="16"/>
  <c r="AC40" i="16" s="1"/>
  <c r="AB13" i="16"/>
  <c r="AC13" i="16" s="1"/>
  <c r="AB37" i="16"/>
  <c r="AC37" i="16" s="1"/>
  <c r="Z14" i="16"/>
  <c r="W6" i="16"/>
  <c r="AA6" i="16"/>
  <c r="W14" i="16"/>
  <c r="W22" i="16"/>
  <c r="AA22" i="16"/>
  <c r="W38" i="16"/>
  <c r="AA38" i="16"/>
  <c r="AB21" i="15"/>
  <c r="AC21" i="15" s="1"/>
  <c r="AB37" i="15"/>
  <c r="AC37" i="15" s="1"/>
  <c r="AB12" i="15"/>
  <c r="AC12" i="15" s="1"/>
  <c r="AB4" i="15"/>
  <c r="AC4" i="15" s="1"/>
  <c r="AB13" i="15"/>
  <c r="AC13" i="15" s="1"/>
  <c r="AB35" i="15"/>
  <c r="AC35" i="15" s="1"/>
  <c r="Z38" i="15"/>
  <c r="W6" i="15"/>
  <c r="AA6" i="15"/>
  <c r="AB3" i="14"/>
  <c r="AC3" i="14" s="1"/>
  <c r="AB13" i="14"/>
  <c r="AC13" i="14" s="1"/>
  <c r="AB11" i="14"/>
  <c r="AC11" i="14" s="1"/>
  <c r="AB21" i="14"/>
  <c r="AC21" i="14" s="1"/>
  <c r="AB37" i="14"/>
  <c r="AC37" i="14" s="1"/>
  <c r="AB41" i="14"/>
  <c r="AC41" i="14" s="1"/>
  <c r="AB19" i="14"/>
  <c r="AC19" i="14" s="1"/>
  <c r="AB36" i="14"/>
  <c r="AC36" i="14" s="1"/>
  <c r="Z6" i="14"/>
  <c r="AB6" i="14" s="1"/>
  <c r="AC6" i="14" s="1"/>
  <c r="W4" i="14"/>
  <c r="W12" i="14"/>
  <c r="AB12" i="14" s="1"/>
  <c r="AC12" i="14" s="1"/>
  <c r="AB41" i="13"/>
  <c r="AC41" i="13" s="1"/>
  <c r="AB4" i="13"/>
  <c r="AC4" i="13" s="1"/>
  <c r="AB37" i="13"/>
  <c r="AC37" i="13" s="1"/>
  <c r="Z22" i="13"/>
  <c r="W14" i="13"/>
  <c r="AA14" i="13"/>
  <c r="W22" i="13"/>
  <c r="W38" i="13"/>
  <c r="AA38" i="13"/>
  <c r="W54" i="13"/>
  <c r="W6" i="13"/>
  <c r="Z6" i="13"/>
  <c r="AB5" i="12"/>
  <c r="AC5" i="12" s="1"/>
  <c r="AB21" i="12"/>
  <c r="AC21" i="12" s="1"/>
  <c r="AB41" i="12"/>
  <c r="AC41" i="12" s="1"/>
  <c r="AB20" i="12"/>
  <c r="AC20" i="12" s="1"/>
  <c r="AB40" i="12"/>
  <c r="AC40" i="12" s="1"/>
  <c r="AB13" i="12"/>
  <c r="AC13" i="12" s="1"/>
  <c r="AB37" i="12"/>
  <c r="AC37" i="12" s="1"/>
  <c r="Z6" i="12"/>
  <c r="Z14" i="12"/>
  <c r="Z42" i="12"/>
  <c r="W6" i="12"/>
  <c r="W14" i="12"/>
  <c r="W22" i="12"/>
  <c r="AA22" i="12"/>
  <c r="W38" i="12"/>
  <c r="AA38" i="12"/>
  <c r="W42" i="12"/>
  <c r="AB19" i="16" l="1"/>
  <c r="AC19" i="16" s="1"/>
  <c r="AB39" i="14"/>
  <c r="AC39" i="14" s="1"/>
  <c r="AB4" i="14"/>
  <c r="AC4" i="14" s="1"/>
  <c r="AB19" i="13"/>
  <c r="AC19" i="13" s="1"/>
  <c r="AB13" i="13"/>
  <c r="AC13" i="13" s="1"/>
  <c r="AB40" i="13"/>
  <c r="AC40" i="13" s="1"/>
  <c r="AB54" i="13"/>
  <c r="AC54" i="13" s="1"/>
  <c r="AB39" i="13"/>
  <c r="AC39" i="13" s="1"/>
  <c r="AB3" i="13"/>
  <c r="AC3" i="13" s="1"/>
  <c r="H13" i="12"/>
  <c r="AC3" i="12"/>
  <c r="AB14" i="16"/>
  <c r="AC14" i="16" s="1"/>
  <c r="AB6" i="15"/>
  <c r="AC6" i="15" s="1"/>
  <c r="AB38" i="15"/>
  <c r="AC38" i="15" s="1"/>
  <c r="AB38" i="13"/>
  <c r="AC38" i="13" s="1"/>
  <c r="AB14" i="12"/>
  <c r="AC14" i="12" s="1"/>
  <c r="AB42" i="12"/>
  <c r="AC42" i="12" s="1"/>
  <c r="AB22" i="12"/>
  <c r="AC22" i="12" s="1"/>
  <c r="AB38" i="16"/>
  <c r="AC38" i="16" s="1"/>
  <c r="AB6" i="16"/>
  <c r="AC6" i="16" s="1"/>
  <c r="AB22" i="16"/>
  <c r="AC22" i="16" s="1"/>
  <c r="AB6" i="13"/>
  <c r="AC6" i="13" s="1"/>
  <c r="AB22" i="13"/>
  <c r="AC22" i="13" s="1"/>
  <c r="AB14" i="13"/>
  <c r="AC14" i="13" s="1"/>
  <c r="AB38" i="12"/>
  <c r="AC38" i="12" s="1"/>
  <c r="AB6" i="12"/>
  <c r="AC6" i="12" s="1"/>
  <c r="AI54" i="16" l="1"/>
  <c r="AH54" i="16"/>
  <c r="AG54" i="16"/>
  <c r="AF54" i="16"/>
  <c r="AE54" i="16"/>
  <c r="U54" i="16"/>
  <c r="S54" i="16"/>
  <c r="R54" i="16"/>
  <c r="Z54" i="16" s="1"/>
  <c r="Q54" i="16"/>
  <c r="Y54" i="16" s="1"/>
  <c r="P54" i="16"/>
  <c r="X54" i="16" s="1"/>
  <c r="O54" i="16"/>
  <c r="W54" i="16" s="1"/>
  <c r="AI53" i="16"/>
  <c r="AH53" i="16"/>
  <c r="AG53" i="16"/>
  <c r="AF53" i="16"/>
  <c r="AE53" i="16"/>
  <c r="U53" i="16"/>
  <c r="S53" i="16"/>
  <c r="AA53" i="16" s="1"/>
  <c r="R53" i="16"/>
  <c r="Z53" i="16" s="1"/>
  <c r="Q53" i="16"/>
  <c r="Y53" i="16" s="1"/>
  <c r="P53" i="16"/>
  <c r="X53" i="16" s="1"/>
  <c r="O53" i="16"/>
  <c r="W53" i="16" s="1"/>
  <c r="AI52" i="16"/>
  <c r="AH52" i="16"/>
  <c r="AG52" i="16"/>
  <c r="AF52" i="16"/>
  <c r="AE52" i="16"/>
  <c r="U52" i="16"/>
  <c r="S52" i="16"/>
  <c r="AA52" i="16" s="1"/>
  <c r="R52" i="16"/>
  <c r="Q52" i="16"/>
  <c r="Y52" i="16" s="1"/>
  <c r="P52" i="16"/>
  <c r="O52" i="16"/>
  <c r="AI51" i="16"/>
  <c r="AH51" i="16"/>
  <c r="AG51" i="16"/>
  <c r="AF51" i="16"/>
  <c r="AE51" i="16"/>
  <c r="U51" i="16"/>
  <c r="S51" i="16"/>
  <c r="AA51" i="16" s="1"/>
  <c r="R51" i="16"/>
  <c r="Z51" i="16" s="1"/>
  <c r="Q51" i="16"/>
  <c r="Y51" i="16" s="1"/>
  <c r="P51" i="16"/>
  <c r="X51" i="16" s="1"/>
  <c r="O51" i="16"/>
  <c r="W51" i="16" s="1"/>
  <c r="AI50" i="16"/>
  <c r="AH50" i="16"/>
  <c r="AG50" i="16"/>
  <c r="AF50" i="16"/>
  <c r="AE50" i="16"/>
  <c r="U50" i="16"/>
  <c r="S50" i="16"/>
  <c r="AA50" i="16" s="1"/>
  <c r="R50" i="16"/>
  <c r="Z50" i="16" s="1"/>
  <c r="Q50" i="16"/>
  <c r="Y50" i="16" s="1"/>
  <c r="P50" i="16"/>
  <c r="X50" i="16" s="1"/>
  <c r="O50" i="16"/>
  <c r="W50" i="16" s="1"/>
  <c r="AI49" i="16"/>
  <c r="AH49" i="16"/>
  <c r="AG49" i="16"/>
  <c r="AF49" i="16"/>
  <c r="AE49" i="16"/>
  <c r="U49" i="16"/>
  <c r="S49" i="16"/>
  <c r="AA49" i="16" s="1"/>
  <c r="R49" i="16"/>
  <c r="Z49" i="16" s="1"/>
  <c r="Q49" i="16"/>
  <c r="P49" i="16"/>
  <c r="O49" i="16"/>
  <c r="AI48" i="16"/>
  <c r="AH48" i="16"/>
  <c r="AG48" i="16"/>
  <c r="AF48" i="16"/>
  <c r="AE48" i="16"/>
  <c r="U48" i="16"/>
  <c r="S48" i="16"/>
  <c r="AA48" i="16" s="1"/>
  <c r="R48" i="16"/>
  <c r="Q48" i="16"/>
  <c r="P48" i="16"/>
  <c r="X48" i="16" s="1"/>
  <c r="O48" i="16"/>
  <c r="W48" i="16" s="1"/>
  <c r="AI47" i="16"/>
  <c r="AH47" i="16"/>
  <c r="AG47" i="16"/>
  <c r="AF47" i="16"/>
  <c r="AE47" i="16"/>
  <c r="U47" i="16"/>
  <c r="S47" i="16"/>
  <c r="AA47" i="16" s="1"/>
  <c r="R47" i="16"/>
  <c r="Z47" i="16" s="1"/>
  <c r="Q47" i="16"/>
  <c r="Y47" i="16" s="1"/>
  <c r="P47" i="16"/>
  <c r="X47" i="16" s="1"/>
  <c r="O47" i="16"/>
  <c r="W47" i="16" s="1"/>
  <c r="AI46" i="16"/>
  <c r="AH46" i="16"/>
  <c r="AG46" i="16"/>
  <c r="AF46" i="16"/>
  <c r="AE46" i="16"/>
  <c r="U46" i="16"/>
  <c r="S46" i="16"/>
  <c r="R46" i="16"/>
  <c r="Q46" i="16"/>
  <c r="P46" i="16"/>
  <c r="O46" i="16"/>
  <c r="AI45" i="16"/>
  <c r="AH45" i="16"/>
  <c r="AG45" i="16"/>
  <c r="AF45" i="16"/>
  <c r="AE45" i="16"/>
  <c r="U45" i="16"/>
  <c r="S45" i="16"/>
  <c r="AA45" i="16" s="1"/>
  <c r="R45" i="16"/>
  <c r="Z45" i="16" s="1"/>
  <c r="Q45" i="16"/>
  <c r="Y45" i="16" s="1"/>
  <c r="P45" i="16"/>
  <c r="X45" i="16" s="1"/>
  <c r="O45" i="16"/>
  <c r="W45" i="16" s="1"/>
  <c r="AI44" i="16"/>
  <c r="AH44" i="16"/>
  <c r="AG44" i="16"/>
  <c r="AF44" i="16"/>
  <c r="AE44" i="16"/>
  <c r="U44" i="16"/>
  <c r="S44" i="16"/>
  <c r="R44" i="16"/>
  <c r="Z44" i="16" s="1"/>
  <c r="Q44" i="16"/>
  <c r="Y44" i="16" s="1"/>
  <c r="P44" i="16"/>
  <c r="X44" i="16" s="1"/>
  <c r="O44" i="16"/>
  <c r="AI43" i="16"/>
  <c r="AH43" i="16"/>
  <c r="AG43" i="16"/>
  <c r="AF43" i="16"/>
  <c r="AE43" i="16"/>
  <c r="U43" i="16"/>
  <c r="S43" i="16"/>
  <c r="R43" i="16"/>
  <c r="Q43" i="16"/>
  <c r="P43" i="16"/>
  <c r="O43" i="16"/>
  <c r="AI34" i="16"/>
  <c r="AH34" i="16"/>
  <c r="AG34" i="16"/>
  <c r="AF34" i="16"/>
  <c r="AE34" i="16"/>
  <c r="U34" i="16"/>
  <c r="S34" i="16"/>
  <c r="AA34" i="16" s="1"/>
  <c r="R34" i="16"/>
  <c r="Z34" i="16" s="1"/>
  <c r="Q34" i="16"/>
  <c r="P34" i="16"/>
  <c r="X34" i="16" s="1"/>
  <c r="O34" i="16"/>
  <c r="AI33" i="16"/>
  <c r="AH33" i="16"/>
  <c r="AG33" i="16"/>
  <c r="AF33" i="16"/>
  <c r="AE33" i="16"/>
  <c r="U33" i="16"/>
  <c r="S33" i="16"/>
  <c r="R33" i="16"/>
  <c r="Z33" i="16" s="1"/>
  <c r="Q33" i="16"/>
  <c r="Y33" i="16" s="1"/>
  <c r="P33" i="16"/>
  <c r="X33" i="16" s="1"/>
  <c r="O33" i="16"/>
  <c r="W33" i="16" s="1"/>
  <c r="AI32" i="16"/>
  <c r="AH32" i="16"/>
  <c r="AG32" i="16"/>
  <c r="AF32" i="16"/>
  <c r="AE32" i="16"/>
  <c r="U32" i="16"/>
  <c r="S32" i="16"/>
  <c r="AA32" i="16" s="1"/>
  <c r="R32" i="16"/>
  <c r="Q32" i="16"/>
  <c r="P32" i="16"/>
  <c r="X32" i="16" s="1"/>
  <c r="O32" i="16"/>
  <c r="W32" i="16" s="1"/>
  <c r="AI31" i="16"/>
  <c r="AH31" i="16"/>
  <c r="AG31" i="16"/>
  <c r="AF31" i="16"/>
  <c r="AE31" i="16"/>
  <c r="U31" i="16"/>
  <c r="S31" i="16"/>
  <c r="AA31" i="16" s="1"/>
  <c r="R31" i="16"/>
  <c r="Q31" i="16"/>
  <c r="Y31" i="16" s="1"/>
  <c r="P31" i="16"/>
  <c r="O31" i="16"/>
  <c r="AI30" i="16"/>
  <c r="AH30" i="16"/>
  <c r="AG30" i="16"/>
  <c r="AF30" i="16"/>
  <c r="AE30" i="16"/>
  <c r="U30" i="16"/>
  <c r="S30" i="16"/>
  <c r="AA30" i="16" s="1"/>
  <c r="R30" i="16"/>
  <c r="Z30" i="16" s="1"/>
  <c r="Q30" i="16"/>
  <c r="Y30" i="16" s="1"/>
  <c r="P30" i="16"/>
  <c r="X30" i="16" s="1"/>
  <c r="O30" i="16"/>
  <c r="W30" i="16" s="1"/>
  <c r="AI29" i="16"/>
  <c r="AH29" i="16"/>
  <c r="AG29" i="16"/>
  <c r="AF29" i="16"/>
  <c r="AE29" i="16"/>
  <c r="U29" i="16"/>
  <c r="S29" i="16"/>
  <c r="AA29" i="16" s="1"/>
  <c r="R29" i="16"/>
  <c r="Z29" i="16" s="1"/>
  <c r="Q29" i="16"/>
  <c r="Y29" i="16" s="1"/>
  <c r="P29" i="16"/>
  <c r="X29" i="16" s="1"/>
  <c r="O29" i="16"/>
  <c r="W29" i="16" s="1"/>
  <c r="AI28" i="16"/>
  <c r="AH28" i="16"/>
  <c r="AG28" i="16"/>
  <c r="AF28" i="16"/>
  <c r="AE28" i="16"/>
  <c r="U28" i="16"/>
  <c r="S28" i="16"/>
  <c r="R28" i="16"/>
  <c r="Z28" i="16" s="1"/>
  <c r="Q28" i="16"/>
  <c r="P28" i="16"/>
  <c r="O28" i="16"/>
  <c r="AI27" i="16"/>
  <c r="AH27" i="16"/>
  <c r="AG27" i="16"/>
  <c r="AF27" i="16"/>
  <c r="AE27" i="16"/>
  <c r="U27" i="16"/>
  <c r="S27" i="16"/>
  <c r="AA27" i="16" s="1"/>
  <c r="R27" i="16"/>
  <c r="Z27" i="16" s="1"/>
  <c r="Q27" i="16"/>
  <c r="Y27" i="16" s="1"/>
  <c r="P27" i="16"/>
  <c r="X27" i="16" s="1"/>
  <c r="O27" i="16"/>
  <c r="W27" i="16" s="1"/>
  <c r="AI26" i="16"/>
  <c r="AH26" i="16"/>
  <c r="AG26" i="16"/>
  <c r="AF26" i="16"/>
  <c r="AE26" i="16"/>
  <c r="U26" i="16"/>
  <c r="S26" i="16"/>
  <c r="AA26" i="16" s="1"/>
  <c r="R26" i="16"/>
  <c r="Z26" i="16" s="1"/>
  <c r="Q26" i="16"/>
  <c r="Y26" i="16" s="1"/>
  <c r="P26" i="16"/>
  <c r="X26" i="16" s="1"/>
  <c r="O26" i="16"/>
  <c r="W26" i="16" s="1"/>
  <c r="AI25" i="16"/>
  <c r="AH25" i="16"/>
  <c r="AG25" i="16"/>
  <c r="AF25" i="16"/>
  <c r="AE25" i="16"/>
  <c r="U25" i="16"/>
  <c r="S25" i="16"/>
  <c r="AA25" i="16" s="1"/>
  <c r="R25" i="16"/>
  <c r="Z25" i="16" s="1"/>
  <c r="Q25" i="16"/>
  <c r="P25" i="16"/>
  <c r="O25" i="16"/>
  <c r="AI24" i="16"/>
  <c r="AH24" i="16"/>
  <c r="AG24" i="16"/>
  <c r="AF24" i="16"/>
  <c r="AE24" i="16"/>
  <c r="U24" i="16"/>
  <c r="S24" i="16"/>
  <c r="AA24" i="16" s="1"/>
  <c r="R24" i="16"/>
  <c r="Z24" i="16" s="1"/>
  <c r="Q24" i="16"/>
  <c r="Y24" i="16" s="1"/>
  <c r="P24" i="16"/>
  <c r="X24" i="16" s="1"/>
  <c r="O24" i="16"/>
  <c r="W24" i="16" s="1"/>
  <c r="AI23" i="16"/>
  <c r="AH23" i="16"/>
  <c r="AG23" i="16"/>
  <c r="AF23" i="16"/>
  <c r="AE23" i="16"/>
  <c r="U23" i="16"/>
  <c r="S23" i="16"/>
  <c r="AA23" i="16" s="1"/>
  <c r="R23" i="16"/>
  <c r="Z23" i="16" s="1"/>
  <c r="Q23" i="16"/>
  <c r="Y23" i="16" s="1"/>
  <c r="P23" i="16"/>
  <c r="X23" i="16" s="1"/>
  <c r="O23" i="16"/>
  <c r="W23" i="16" s="1"/>
  <c r="AI18" i="16"/>
  <c r="AH18" i="16"/>
  <c r="AG18" i="16"/>
  <c r="AF18" i="16"/>
  <c r="AE18" i="16"/>
  <c r="U18" i="16"/>
  <c r="S18" i="16"/>
  <c r="R18" i="16"/>
  <c r="Q18" i="16"/>
  <c r="Y18" i="16" s="1"/>
  <c r="P18" i="16"/>
  <c r="O18" i="16"/>
  <c r="AI17" i="16"/>
  <c r="AH17" i="16"/>
  <c r="AG17" i="16"/>
  <c r="AF17" i="16"/>
  <c r="AE17" i="16"/>
  <c r="U17" i="16"/>
  <c r="S17" i="16"/>
  <c r="AA17" i="16" s="1"/>
  <c r="R17" i="16"/>
  <c r="Z17" i="16" s="1"/>
  <c r="Q17" i="16"/>
  <c r="P17" i="16"/>
  <c r="X17" i="16" s="1"/>
  <c r="O17" i="16"/>
  <c r="W17" i="16" s="1"/>
  <c r="AI16" i="16"/>
  <c r="AH16" i="16"/>
  <c r="AG16" i="16"/>
  <c r="AF16" i="16"/>
  <c r="AE16" i="16"/>
  <c r="U16" i="16"/>
  <c r="S16" i="16"/>
  <c r="R16" i="16"/>
  <c r="Q16" i="16"/>
  <c r="Y16" i="16" s="1"/>
  <c r="P16" i="16"/>
  <c r="X16" i="16" s="1"/>
  <c r="O16" i="16"/>
  <c r="W16" i="16" s="1"/>
  <c r="AI15" i="16"/>
  <c r="AH15" i="16"/>
  <c r="AG15" i="16"/>
  <c r="AF15" i="16"/>
  <c r="AE15" i="16"/>
  <c r="U15" i="16"/>
  <c r="S15" i="16"/>
  <c r="R15" i="16"/>
  <c r="Q15" i="16"/>
  <c r="P15" i="16"/>
  <c r="O15" i="16"/>
  <c r="AI10" i="16"/>
  <c r="AH10" i="16"/>
  <c r="AG10" i="16"/>
  <c r="AF10" i="16"/>
  <c r="AE10" i="16"/>
  <c r="U10" i="16"/>
  <c r="S10" i="16"/>
  <c r="AA10" i="16" s="1"/>
  <c r="R10" i="16"/>
  <c r="Z10" i="16" s="1"/>
  <c r="Q10" i="16"/>
  <c r="P10" i="16"/>
  <c r="X10" i="16" s="1"/>
  <c r="O10" i="16"/>
  <c r="W10" i="16" s="1"/>
  <c r="AI9" i="16"/>
  <c r="AH9" i="16"/>
  <c r="AG9" i="16"/>
  <c r="AF9" i="16"/>
  <c r="AE9" i="16"/>
  <c r="U9" i="16"/>
  <c r="S9" i="16"/>
  <c r="R9" i="16"/>
  <c r="Z9" i="16" s="1"/>
  <c r="Q9" i="16"/>
  <c r="Y9" i="16" s="1"/>
  <c r="P9" i="16"/>
  <c r="X9" i="16" s="1"/>
  <c r="O9" i="16"/>
  <c r="W9" i="16" s="1"/>
  <c r="AI8" i="16"/>
  <c r="AH8" i="16"/>
  <c r="AG8" i="16"/>
  <c r="AF8" i="16"/>
  <c r="AE8" i="16"/>
  <c r="U8" i="16"/>
  <c r="S8" i="16"/>
  <c r="AA8" i="16" s="1"/>
  <c r="R8" i="16"/>
  <c r="Q8" i="16"/>
  <c r="Y8" i="16" s="1"/>
  <c r="P8" i="16"/>
  <c r="X8" i="16" s="1"/>
  <c r="O8" i="16"/>
  <c r="W8" i="16" s="1"/>
  <c r="AI7" i="16"/>
  <c r="AH7" i="16"/>
  <c r="AG7" i="16"/>
  <c r="AF7" i="16"/>
  <c r="AE7" i="16"/>
  <c r="U7" i="16"/>
  <c r="S7" i="16"/>
  <c r="R7" i="16"/>
  <c r="Q7" i="16"/>
  <c r="P7" i="16"/>
  <c r="O7" i="16"/>
  <c r="AI54" i="15"/>
  <c r="AH54" i="15"/>
  <c r="AG54" i="15"/>
  <c r="AF54" i="15"/>
  <c r="AE54" i="15"/>
  <c r="U54" i="15"/>
  <c r="S54" i="15"/>
  <c r="AA54" i="15" s="1"/>
  <c r="R54" i="15"/>
  <c r="Q54" i="15"/>
  <c r="P54" i="15"/>
  <c r="X54" i="15" s="1"/>
  <c r="O54" i="15"/>
  <c r="W54" i="15" s="1"/>
  <c r="AI53" i="15"/>
  <c r="AH53" i="15"/>
  <c r="AG53" i="15"/>
  <c r="AF53" i="15"/>
  <c r="U53" i="15"/>
  <c r="S53" i="15"/>
  <c r="AA53" i="15" s="1"/>
  <c r="R53" i="15"/>
  <c r="Q53" i="15"/>
  <c r="Y53" i="15" s="1"/>
  <c r="P53" i="15"/>
  <c r="X53" i="15" s="1"/>
  <c r="O53" i="15"/>
  <c r="W53" i="15" s="1"/>
  <c r="AI52" i="15"/>
  <c r="AH52" i="15"/>
  <c r="AG52" i="15"/>
  <c r="AF52" i="15"/>
  <c r="U52" i="15"/>
  <c r="S52" i="15"/>
  <c r="R52" i="15"/>
  <c r="Q52" i="15"/>
  <c r="Y52" i="15" s="1"/>
  <c r="P52" i="15"/>
  <c r="X52" i="15" s="1"/>
  <c r="O52" i="15"/>
  <c r="W52" i="15" s="1"/>
  <c r="AI51" i="15"/>
  <c r="AH51" i="15"/>
  <c r="AG51" i="15"/>
  <c r="AF51" i="15"/>
  <c r="U51" i="15"/>
  <c r="S51" i="15"/>
  <c r="AA51" i="15" s="1"/>
  <c r="R51" i="15"/>
  <c r="Z51" i="15" s="1"/>
  <c r="Q51" i="15"/>
  <c r="Y51" i="15" s="1"/>
  <c r="P51" i="15"/>
  <c r="X51" i="15" s="1"/>
  <c r="O51" i="15"/>
  <c r="W51" i="15" s="1"/>
  <c r="AI50" i="15"/>
  <c r="AH50" i="15"/>
  <c r="AG50" i="15"/>
  <c r="AF50" i="15"/>
  <c r="U50" i="15"/>
  <c r="S50" i="15"/>
  <c r="AA50" i="15" s="1"/>
  <c r="R50" i="15"/>
  <c r="Q50" i="15"/>
  <c r="P50" i="15"/>
  <c r="O50" i="15"/>
  <c r="AI49" i="15"/>
  <c r="AH49" i="15"/>
  <c r="AG49" i="15"/>
  <c r="AF49" i="15"/>
  <c r="U49" i="15"/>
  <c r="S49" i="15"/>
  <c r="R49" i="15"/>
  <c r="Q49" i="15"/>
  <c r="Y49" i="15" s="1"/>
  <c r="P49" i="15"/>
  <c r="X49" i="15" s="1"/>
  <c r="O49" i="15"/>
  <c r="AI48" i="15"/>
  <c r="AH48" i="15"/>
  <c r="AG48" i="15"/>
  <c r="AF48" i="15"/>
  <c r="U48" i="15"/>
  <c r="S48" i="15"/>
  <c r="AA48" i="15" s="1"/>
  <c r="R48" i="15"/>
  <c r="Z48" i="15" s="1"/>
  <c r="Q48" i="15"/>
  <c r="Y48" i="15" s="1"/>
  <c r="P48" i="15"/>
  <c r="X48" i="15" s="1"/>
  <c r="O48" i="15"/>
  <c r="W48" i="15" s="1"/>
  <c r="AI47" i="15"/>
  <c r="AH47" i="15"/>
  <c r="AG47" i="15"/>
  <c r="AF47" i="15"/>
  <c r="U47" i="15"/>
  <c r="S47" i="15"/>
  <c r="AA47" i="15" s="1"/>
  <c r="R47" i="15"/>
  <c r="Z47" i="15" s="1"/>
  <c r="Q47" i="15"/>
  <c r="Y47" i="15" s="1"/>
  <c r="P47" i="15"/>
  <c r="O47" i="15"/>
  <c r="AI46" i="15"/>
  <c r="AH46" i="15"/>
  <c r="AG46" i="15"/>
  <c r="AF46" i="15"/>
  <c r="U46" i="15"/>
  <c r="S46" i="15"/>
  <c r="AA46" i="15" s="1"/>
  <c r="R46" i="15"/>
  <c r="Q46" i="15"/>
  <c r="Y46" i="15" s="1"/>
  <c r="P46" i="15"/>
  <c r="X46" i="15" s="1"/>
  <c r="O46" i="15"/>
  <c r="W46" i="15" s="1"/>
  <c r="AI45" i="15"/>
  <c r="AH45" i="15"/>
  <c r="AG45" i="15"/>
  <c r="AF45" i="15"/>
  <c r="U45" i="15"/>
  <c r="S45" i="15"/>
  <c r="R45" i="15"/>
  <c r="Q45" i="15"/>
  <c r="Y45" i="15" s="1"/>
  <c r="P45" i="15"/>
  <c r="X45" i="15" s="1"/>
  <c r="O45" i="15"/>
  <c r="AI44" i="15"/>
  <c r="AH44" i="15"/>
  <c r="AG44" i="15"/>
  <c r="AF44" i="15"/>
  <c r="U44" i="15"/>
  <c r="S44" i="15"/>
  <c r="R44" i="15"/>
  <c r="Q44" i="15"/>
  <c r="Y44" i="15" s="1"/>
  <c r="P44" i="15"/>
  <c r="X44" i="15" s="1"/>
  <c r="O44" i="15"/>
  <c r="W44" i="15" s="1"/>
  <c r="AI43" i="15"/>
  <c r="AH43" i="15"/>
  <c r="AG43" i="15"/>
  <c r="AF43" i="15"/>
  <c r="U43" i="15"/>
  <c r="S43" i="15"/>
  <c r="R43" i="15"/>
  <c r="Q43" i="15"/>
  <c r="P43" i="15"/>
  <c r="O43" i="15"/>
  <c r="W43" i="15" s="1"/>
  <c r="AI34" i="15"/>
  <c r="AH34" i="15"/>
  <c r="AG34" i="15"/>
  <c r="AF34" i="15"/>
  <c r="U34" i="15"/>
  <c r="S34" i="15"/>
  <c r="AA34" i="15" s="1"/>
  <c r="R34" i="15"/>
  <c r="Q34" i="15"/>
  <c r="P34" i="15"/>
  <c r="O34" i="15"/>
  <c r="AI33" i="15"/>
  <c r="AH33" i="15"/>
  <c r="AG33" i="15"/>
  <c r="AF33" i="15"/>
  <c r="U33" i="15"/>
  <c r="S33" i="15"/>
  <c r="R33" i="15"/>
  <c r="Q33" i="15"/>
  <c r="Y33" i="15" s="1"/>
  <c r="P33" i="15"/>
  <c r="X33" i="15" s="1"/>
  <c r="O33" i="15"/>
  <c r="AI32" i="15"/>
  <c r="AH32" i="15"/>
  <c r="AG32" i="15"/>
  <c r="AF32" i="15"/>
  <c r="U32" i="15"/>
  <c r="S32" i="15"/>
  <c r="AA32" i="15" s="1"/>
  <c r="R32" i="15"/>
  <c r="Z32" i="15" s="1"/>
  <c r="Q32" i="15"/>
  <c r="Y32" i="15" s="1"/>
  <c r="P32" i="15"/>
  <c r="X32" i="15" s="1"/>
  <c r="O32" i="15"/>
  <c r="W32" i="15" s="1"/>
  <c r="AI31" i="15"/>
  <c r="AH31" i="15"/>
  <c r="AG31" i="15"/>
  <c r="AF31" i="15"/>
  <c r="U31" i="15"/>
  <c r="S31" i="15"/>
  <c r="AA31" i="15" s="1"/>
  <c r="R31" i="15"/>
  <c r="Z31" i="15" s="1"/>
  <c r="Q31" i="15"/>
  <c r="Y31" i="15" s="1"/>
  <c r="P31" i="15"/>
  <c r="O31" i="15"/>
  <c r="AI30" i="15"/>
  <c r="AH30" i="15"/>
  <c r="AG30" i="15"/>
  <c r="AF30" i="15"/>
  <c r="U30" i="15"/>
  <c r="S30" i="15"/>
  <c r="AA30" i="15" s="1"/>
  <c r="R30" i="15"/>
  <c r="Q30" i="15"/>
  <c r="Y30" i="15" s="1"/>
  <c r="P30" i="15"/>
  <c r="X30" i="15" s="1"/>
  <c r="O30" i="15"/>
  <c r="W30" i="15" s="1"/>
  <c r="AI29" i="15"/>
  <c r="AH29" i="15"/>
  <c r="AG29" i="15"/>
  <c r="AF29" i="15"/>
  <c r="U29" i="15"/>
  <c r="S29" i="15"/>
  <c r="R29" i="15"/>
  <c r="Q29" i="15"/>
  <c r="Y29" i="15" s="1"/>
  <c r="P29" i="15"/>
  <c r="X29" i="15" s="1"/>
  <c r="O29" i="15"/>
  <c r="AI28" i="15"/>
  <c r="AH28" i="15"/>
  <c r="AG28" i="15"/>
  <c r="AF28" i="15"/>
  <c r="U28" i="15"/>
  <c r="S28" i="15"/>
  <c r="R28" i="15"/>
  <c r="Q28" i="15"/>
  <c r="Y28" i="15" s="1"/>
  <c r="P28" i="15"/>
  <c r="X28" i="15" s="1"/>
  <c r="O28" i="15"/>
  <c r="W28" i="15" s="1"/>
  <c r="AI27" i="15"/>
  <c r="AH27" i="15"/>
  <c r="AG27" i="15"/>
  <c r="AF27" i="15"/>
  <c r="U27" i="15"/>
  <c r="S27" i="15"/>
  <c r="R27" i="15"/>
  <c r="Q27" i="15"/>
  <c r="Y27" i="15" s="1"/>
  <c r="P27" i="15"/>
  <c r="O27" i="15"/>
  <c r="W27" i="15" s="1"/>
  <c r="AI26" i="15"/>
  <c r="AH26" i="15"/>
  <c r="AG26" i="15"/>
  <c r="AF26" i="15"/>
  <c r="U26" i="15"/>
  <c r="S26" i="15"/>
  <c r="R26" i="15"/>
  <c r="Q26" i="15"/>
  <c r="P26" i="15"/>
  <c r="O26" i="15"/>
  <c r="AI25" i="15"/>
  <c r="AH25" i="15"/>
  <c r="AG25" i="15"/>
  <c r="AF25" i="15"/>
  <c r="U25" i="15"/>
  <c r="S25" i="15"/>
  <c r="AA25" i="15" s="1"/>
  <c r="R25" i="15"/>
  <c r="Z25" i="15" s="1"/>
  <c r="Q25" i="15"/>
  <c r="Y25" i="15" s="1"/>
  <c r="P25" i="15"/>
  <c r="X25" i="15" s="1"/>
  <c r="O25" i="15"/>
  <c r="W25" i="15" s="1"/>
  <c r="AI24" i="15"/>
  <c r="AH24" i="15"/>
  <c r="AG24" i="15"/>
  <c r="AF24" i="15"/>
  <c r="U24" i="15"/>
  <c r="S24" i="15"/>
  <c r="AA24" i="15" s="1"/>
  <c r="R24" i="15"/>
  <c r="Z24" i="15" s="1"/>
  <c r="Q24" i="15"/>
  <c r="Y24" i="15" s="1"/>
  <c r="P24" i="15"/>
  <c r="X24" i="15" s="1"/>
  <c r="O24" i="15"/>
  <c r="W24" i="15" s="1"/>
  <c r="AI23" i="15"/>
  <c r="AH23" i="15"/>
  <c r="AG23" i="15"/>
  <c r="AF23" i="15"/>
  <c r="U23" i="15"/>
  <c r="S23" i="15"/>
  <c r="AA23" i="15" s="1"/>
  <c r="R23" i="15"/>
  <c r="Z23" i="15" s="1"/>
  <c r="Q23" i="15"/>
  <c r="Y23" i="15" s="1"/>
  <c r="P23" i="15"/>
  <c r="O23" i="15"/>
  <c r="AI18" i="15"/>
  <c r="AH18" i="15"/>
  <c r="AG18" i="15"/>
  <c r="AF18" i="15"/>
  <c r="U18" i="15"/>
  <c r="S18" i="15"/>
  <c r="AA18" i="15" s="1"/>
  <c r="R18" i="15"/>
  <c r="Q18" i="15"/>
  <c r="Y18" i="15" s="1"/>
  <c r="P18" i="15"/>
  <c r="X18" i="15" s="1"/>
  <c r="O18" i="15"/>
  <c r="W18" i="15" s="1"/>
  <c r="AI17" i="15"/>
  <c r="AH17" i="15"/>
  <c r="AG17" i="15"/>
  <c r="AF17" i="15"/>
  <c r="U17" i="15"/>
  <c r="S17" i="15"/>
  <c r="AA17" i="15" s="1"/>
  <c r="R17" i="15"/>
  <c r="Q17" i="15"/>
  <c r="Y17" i="15" s="1"/>
  <c r="P17" i="15"/>
  <c r="X17" i="15" s="1"/>
  <c r="O17" i="15"/>
  <c r="W17" i="15" s="1"/>
  <c r="AI16" i="15"/>
  <c r="AH16" i="15"/>
  <c r="AG16" i="15"/>
  <c r="AF16" i="15"/>
  <c r="U16" i="15"/>
  <c r="S16" i="15"/>
  <c r="R16" i="15"/>
  <c r="Q16" i="15"/>
  <c r="Y16" i="15" s="1"/>
  <c r="P16" i="15"/>
  <c r="X16" i="15" s="1"/>
  <c r="O16" i="15"/>
  <c r="W16" i="15" s="1"/>
  <c r="AI15" i="15"/>
  <c r="AH15" i="15"/>
  <c r="AG15" i="15"/>
  <c r="AF15" i="15"/>
  <c r="U15" i="15"/>
  <c r="S15" i="15"/>
  <c r="AA15" i="15" s="1"/>
  <c r="R15" i="15"/>
  <c r="Z15" i="15" s="1"/>
  <c r="Q15" i="15"/>
  <c r="Y15" i="15" s="1"/>
  <c r="P15" i="15"/>
  <c r="O15" i="15"/>
  <c r="W15" i="15" s="1"/>
  <c r="AI10" i="15"/>
  <c r="AH10" i="15"/>
  <c r="AG10" i="15"/>
  <c r="AF10" i="15"/>
  <c r="U10" i="15"/>
  <c r="S10" i="15"/>
  <c r="AA10" i="15" s="1"/>
  <c r="R10" i="15"/>
  <c r="Q10" i="15"/>
  <c r="P10" i="15"/>
  <c r="O10" i="15"/>
  <c r="AI9" i="15"/>
  <c r="AH9" i="15"/>
  <c r="AG9" i="15"/>
  <c r="AF9" i="15"/>
  <c r="U9" i="15"/>
  <c r="S9" i="15"/>
  <c r="AA9" i="15" s="1"/>
  <c r="R9" i="15"/>
  <c r="Q9" i="15"/>
  <c r="P9" i="15"/>
  <c r="X9" i="15" s="1"/>
  <c r="O9" i="15"/>
  <c r="W9" i="15" s="1"/>
  <c r="AI8" i="15"/>
  <c r="AH8" i="15"/>
  <c r="AG8" i="15"/>
  <c r="AF8" i="15"/>
  <c r="U8" i="15"/>
  <c r="S8" i="15"/>
  <c r="AA8" i="15" s="1"/>
  <c r="R8" i="15"/>
  <c r="Q8" i="15"/>
  <c r="Y8" i="15" s="1"/>
  <c r="P8" i="15"/>
  <c r="X8" i="15" s="1"/>
  <c r="O8" i="15"/>
  <c r="W8" i="15" s="1"/>
  <c r="AI7" i="15"/>
  <c r="AH7" i="15"/>
  <c r="AG7" i="15"/>
  <c r="AF7" i="15"/>
  <c r="U7" i="15"/>
  <c r="S7" i="15"/>
  <c r="AA7" i="15" s="1"/>
  <c r="R7" i="15"/>
  <c r="Z7" i="15" s="1"/>
  <c r="Q7" i="15"/>
  <c r="Y7" i="15" s="1"/>
  <c r="P7" i="15"/>
  <c r="O7" i="15"/>
  <c r="X7" i="16" l="1"/>
  <c r="AA18" i="16"/>
  <c r="Y28" i="16"/>
  <c r="X31" i="16"/>
  <c r="W34" i="16"/>
  <c r="AB34" i="16" s="1"/>
  <c r="AC34" i="16" s="1"/>
  <c r="AA46" i="16"/>
  <c r="X52" i="16"/>
  <c r="Y10" i="16"/>
  <c r="Z31" i="16"/>
  <c r="BF34" i="16" s="1"/>
  <c r="BG34" i="16" s="1"/>
  <c r="Y34" i="16"/>
  <c r="Z52" i="16"/>
  <c r="AA9" i="16"/>
  <c r="AA33" i="16"/>
  <c r="BN34" i="16" s="1"/>
  <c r="BO34" i="16" s="1"/>
  <c r="AA54" i="16"/>
  <c r="AB54" i="16" s="1"/>
  <c r="AC54" i="16" s="1"/>
  <c r="W15" i="16"/>
  <c r="W43" i="16"/>
  <c r="AB43" i="16" s="1"/>
  <c r="AC43" i="16" s="1"/>
  <c r="X15" i="16"/>
  <c r="W18" i="16"/>
  <c r="AB18" i="16" s="1"/>
  <c r="AC18" i="16" s="1"/>
  <c r="X43" i="16"/>
  <c r="W46" i="16"/>
  <c r="AB46" i="16" s="1"/>
  <c r="AC46" i="16" s="1"/>
  <c r="Y15" i="16"/>
  <c r="X18" i="16"/>
  <c r="W25" i="16"/>
  <c r="Y43" i="16"/>
  <c r="X46" i="16"/>
  <c r="W49" i="16"/>
  <c r="X25" i="16"/>
  <c r="Z43" i="16"/>
  <c r="Y46" i="16"/>
  <c r="X49" i="16"/>
  <c r="AB49" i="16" s="1"/>
  <c r="AC49" i="16" s="1"/>
  <c r="Z18" i="16"/>
  <c r="AV30" i="16" s="1"/>
  <c r="Y25" i="16"/>
  <c r="AU5" i="16" s="1"/>
  <c r="X28" i="16"/>
  <c r="W31" i="16"/>
  <c r="AA43" i="16"/>
  <c r="Z46" i="16"/>
  <c r="Y49" i="16"/>
  <c r="W52" i="16"/>
  <c r="Z28" i="15"/>
  <c r="Z44" i="15"/>
  <c r="AA16" i="15"/>
  <c r="AA28" i="15"/>
  <c r="AA44" i="15"/>
  <c r="AA52" i="15"/>
  <c r="Z18" i="15"/>
  <c r="X27" i="15"/>
  <c r="Z30" i="15"/>
  <c r="AV6" i="15" s="1"/>
  <c r="X43" i="15"/>
  <c r="AB43" i="15" s="1"/>
  <c r="AC43" i="15" s="1"/>
  <c r="Z46" i="15"/>
  <c r="Z54" i="15"/>
  <c r="Y43" i="15"/>
  <c r="Z27" i="15"/>
  <c r="AB27" i="15" s="1"/>
  <c r="AC27" i="15" s="1"/>
  <c r="Z43" i="15"/>
  <c r="AA27" i="15"/>
  <c r="AW3" i="15" s="1"/>
  <c r="AA43" i="15"/>
  <c r="W10" i="15"/>
  <c r="W34" i="15"/>
  <c r="W50" i="15"/>
  <c r="X10" i="15"/>
  <c r="Z17" i="15"/>
  <c r="X26" i="15"/>
  <c r="X34" i="15"/>
  <c r="X50" i="15"/>
  <c r="W31" i="15"/>
  <c r="Y34" i="15"/>
  <c r="W47" i="15"/>
  <c r="AB47" i="15" s="1"/>
  <c r="AC47" i="15" s="1"/>
  <c r="Y50" i="15"/>
  <c r="W7" i="15"/>
  <c r="Y10" i="15"/>
  <c r="AU14" i="15" s="1"/>
  <c r="W23" i="15"/>
  <c r="AS3" i="15" s="1"/>
  <c r="Y26" i="15"/>
  <c r="X7" i="15"/>
  <c r="Z10" i="15"/>
  <c r="X23" i="15"/>
  <c r="Z26" i="15"/>
  <c r="X31" i="15"/>
  <c r="Z34" i="15"/>
  <c r="X47" i="15"/>
  <c r="Z50" i="15"/>
  <c r="AO3" i="16"/>
  <c r="AM3" i="15"/>
  <c r="AM6" i="16"/>
  <c r="BG5" i="16"/>
  <c r="BH6" i="16"/>
  <c r="BC34" i="16"/>
  <c r="Z52" i="15"/>
  <c r="BC5" i="16"/>
  <c r="BR33" i="16"/>
  <c r="BS33" i="16" s="1"/>
  <c r="Y48" i="16"/>
  <c r="Z49" i="15"/>
  <c r="AP5" i="15"/>
  <c r="AL5" i="15"/>
  <c r="BC33" i="15"/>
  <c r="BG4" i="16"/>
  <c r="AM5" i="16"/>
  <c r="BC32" i="16"/>
  <c r="AP4" i="16"/>
  <c r="Z45" i="15"/>
  <c r="BF4" i="15"/>
  <c r="AO4" i="15"/>
  <c r="AN3" i="15"/>
  <c r="BG6" i="15"/>
  <c r="AM6" i="15"/>
  <c r="BG5" i="15"/>
  <c r="AY3" i="15"/>
  <c r="BI3" i="15"/>
  <c r="BH6" i="15"/>
  <c r="AZ5" i="15"/>
  <c r="Z29" i="15"/>
  <c r="Z32" i="16"/>
  <c r="AB30" i="16"/>
  <c r="AC30" i="16" s="1"/>
  <c r="AZ4" i="16"/>
  <c r="BF6" i="16"/>
  <c r="AZ3" i="16"/>
  <c r="BC30" i="16"/>
  <c r="AO4" i="16"/>
  <c r="AP3" i="16"/>
  <c r="BF5" i="16"/>
  <c r="BA6" i="16"/>
  <c r="AN5" i="16"/>
  <c r="BC29" i="16"/>
  <c r="AN5" i="15"/>
  <c r="BH4" i="15"/>
  <c r="AO5" i="15"/>
  <c r="BE4" i="15"/>
  <c r="BI4" i="15"/>
  <c r="Y17" i="16"/>
  <c r="AB17" i="16" s="1"/>
  <c r="AC17" i="16" s="1"/>
  <c r="BG3" i="16"/>
  <c r="BH4" i="16"/>
  <c r="BH3" i="16"/>
  <c r="AL3" i="15"/>
  <c r="AN6" i="15"/>
  <c r="BG3" i="15"/>
  <c r="BH5" i="15"/>
  <c r="AO6" i="15"/>
  <c r="BB3" i="15"/>
  <c r="AP3" i="15"/>
  <c r="AM4" i="15"/>
  <c r="BE5" i="15"/>
  <c r="BI5" i="15"/>
  <c r="BF6" i="15"/>
  <c r="AL6" i="15"/>
  <c r="AP6" i="15"/>
  <c r="AY6" i="15"/>
  <c r="BC6" i="15"/>
  <c r="Z16" i="15"/>
  <c r="AW34" i="15"/>
  <c r="BA4" i="15"/>
  <c r="X15" i="15"/>
  <c r="BF3" i="15"/>
  <c r="AS34" i="15"/>
  <c r="AM5" i="15"/>
  <c r="AT5" i="16"/>
  <c r="AL3" i="16"/>
  <c r="AN4" i="16"/>
  <c r="AN6" i="16"/>
  <c r="AY4" i="16"/>
  <c r="BC4" i="16"/>
  <c r="BF4" i="16"/>
  <c r="BB5" i="16"/>
  <c r="BE6" i="16"/>
  <c r="BI6" i="16"/>
  <c r="AA15" i="16"/>
  <c r="Z16" i="16"/>
  <c r="AY3" i="16"/>
  <c r="BI3" i="16"/>
  <c r="BE5" i="16"/>
  <c r="BI5" i="16"/>
  <c r="BA4" i="16"/>
  <c r="BB3" i="16"/>
  <c r="BE4" i="16"/>
  <c r="AY6" i="16"/>
  <c r="Z8" i="16"/>
  <c r="AB8" i="16" s="1"/>
  <c r="AC8" i="16" s="1"/>
  <c r="BI4" i="16"/>
  <c r="AY5" i="16"/>
  <c r="BB6" i="16"/>
  <c r="BA3" i="16"/>
  <c r="AZ5" i="16"/>
  <c r="BC6" i="16"/>
  <c r="BN28" i="16"/>
  <c r="BO28" i="16" s="1"/>
  <c r="AA7" i="16"/>
  <c r="W7" i="16"/>
  <c r="AV35" i="16"/>
  <c r="AV13" i="16"/>
  <c r="AV5" i="16"/>
  <c r="AV29" i="16"/>
  <c r="BJ27" i="16"/>
  <c r="AT12" i="16"/>
  <c r="AT34" i="16"/>
  <c r="AT28" i="16"/>
  <c r="AT4" i="16"/>
  <c r="AT33" i="16"/>
  <c r="AT3" i="16"/>
  <c r="AT27" i="16"/>
  <c r="AT11" i="16"/>
  <c r="Y7" i="16"/>
  <c r="Z7" i="16"/>
  <c r="BF3" i="16"/>
  <c r="BN27" i="16"/>
  <c r="AS13" i="16"/>
  <c r="AS29" i="16"/>
  <c r="AS5" i="16"/>
  <c r="AS35" i="16"/>
  <c r="AB9" i="16"/>
  <c r="AC9" i="16" s="1"/>
  <c r="AU36" i="16"/>
  <c r="AU14" i="16"/>
  <c r="AU30" i="16"/>
  <c r="AU6" i="16"/>
  <c r="AS30" i="16"/>
  <c r="AS36" i="16"/>
  <c r="BR27" i="16"/>
  <c r="AS14" i="16"/>
  <c r="AS6" i="16"/>
  <c r="Z15" i="16"/>
  <c r="BR29" i="16"/>
  <c r="BS29" i="16" s="1"/>
  <c r="AB26" i="16"/>
  <c r="AC26" i="16" s="1"/>
  <c r="BN33" i="16"/>
  <c r="BO33" i="16" s="1"/>
  <c r="BR31" i="16"/>
  <c r="BS31" i="16" s="1"/>
  <c r="BR32" i="16"/>
  <c r="BS32" i="16" s="1"/>
  <c r="AM3" i="16"/>
  <c r="AL4" i="16"/>
  <c r="AU13" i="16"/>
  <c r="AO5" i="16"/>
  <c r="AT30" i="16"/>
  <c r="AT36" i="16"/>
  <c r="AT14" i="16"/>
  <c r="AZ29" i="16"/>
  <c r="BF29" i="16"/>
  <c r="BG29" i="16" s="1"/>
  <c r="AB23" i="16"/>
  <c r="AC23" i="16" s="1"/>
  <c r="BJ29" i="16"/>
  <c r="BK29" i="16" s="1"/>
  <c r="AB24" i="16"/>
  <c r="AC24" i="16" s="1"/>
  <c r="BF31" i="16"/>
  <c r="BG31" i="16" s="1"/>
  <c r="AB31" i="16"/>
  <c r="AC31" i="16" s="1"/>
  <c r="BF33" i="16"/>
  <c r="BG33" i="16" s="1"/>
  <c r="AB47" i="16"/>
  <c r="AC47" i="16" s="1"/>
  <c r="AN3" i="16"/>
  <c r="BC3" i="16"/>
  <c r="AM4" i="16"/>
  <c r="BB4" i="16"/>
  <c r="AL5" i="16"/>
  <c r="AP5" i="16"/>
  <c r="BA5" i="16"/>
  <c r="AO6" i="16"/>
  <c r="AZ6" i="16"/>
  <c r="AA16" i="16"/>
  <c r="BR28" i="16"/>
  <c r="BS28" i="16" s="1"/>
  <c r="W28" i="16"/>
  <c r="AA28" i="16"/>
  <c r="AB29" i="16"/>
  <c r="AC29" i="16" s="1"/>
  <c r="BN30" i="16"/>
  <c r="BO30" i="16" s="1"/>
  <c r="Y32" i="16"/>
  <c r="AU4" i="16" s="1"/>
  <c r="W44" i="16"/>
  <c r="AA44" i="16"/>
  <c r="AB45" i="16"/>
  <c r="AC45" i="16" s="1"/>
  <c r="Z48" i="16"/>
  <c r="AV12" i="16" s="1"/>
  <c r="BR34" i="16"/>
  <c r="BS34" i="16" s="1"/>
  <c r="AT29" i="16"/>
  <c r="AT35" i="16"/>
  <c r="BH5" i="16"/>
  <c r="AW30" i="16"/>
  <c r="AW36" i="16"/>
  <c r="AW14" i="16"/>
  <c r="AW6" i="16"/>
  <c r="BG6" i="16"/>
  <c r="BN29" i="16"/>
  <c r="BO29" i="16" s="1"/>
  <c r="AB33" i="16"/>
  <c r="AC33" i="16" s="1"/>
  <c r="BN31" i="16"/>
  <c r="BO31" i="16" s="1"/>
  <c r="AB10" i="16"/>
  <c r="AC10" i="16" s="1"/>
  <c r="AT6" i="16"/>
  <c r="BC27" i="16"/>
  <c r="BE3" i="16"/>
  <c r="AL6" i="16"/>
  <c r="AP6" i="16"/>
  <c r="BC28" i="16"/>
  <c r="AT13" i="16"/>
  <c r="AB27" i="16"/>
  <c r="AC27" i="16" s="1"/>
  <c r="BC31" i="16"/>
  <c r="BF32" i="16"/>
  <c r="BG32" i="16" s="1"/>
  <c r="BC33" i="16"/>
  <c r="AB50" i="16"/>
  <c r="AC50" i="16" s="1"/>
  <c r="AB51" i="16"/>
  <c r="AC51" i="16" s="1"/>
  <c r="AB52" i="16"/>
  <c r="AC52" i="16" s="1"/>
  <c r="AB53" i="16"/>
  <c r="AC53" i="16" s="1"/>
  <c r="AB25" i="15"/>
  <c r="AC25" i="15" s="1"/>
  <c r="BR31" i="15"/>
  <c r="BS31" i="15" s="1"/>
  <c r="AB31" i="15"/>
  <c r="AC31" i="15" s="1"/>
  <c r="Z8" i="15"/>
  <c r="Y9" i="15"/>
  <c r="AU13" i="15" s="1"/>
  <c r="BC29" i="15"/>
  <c r="Z33" i="15"/>
  <c r="AB46" i="15"/>
  <c r="AC46" i="15" s="1"/>
  <c r="Z53" i="15"/>
  <c r="AB53" i="15" s="1"/>
  <c r="AC53" i="15" s="1"/>
  <c r="AB17" i="15"/>
  <c r="AC17" i="15" s="1"/>
  <c r="BR33" i="15"/>
  <c r="BS33" i="15" s="1"/>
  <c r="Y54" i="15"/>
  <c r="AB54" i="15" s="1"/>
  <c r="AC54" i="15" s="1"/>
  <c r="BC3" i="15"/>
  <c r="BB4" i="15"/>
  <c r="AZ6" i="15"/>
  <c r="AB30" i="15"/>
  <c r="AC30" i="15" s="1"/>
  <c r="BR30" i="15"/>
  <c r="BS30" i="15" s="1"/>
  <c r="BF34" i="15"/>
  <c r="BG34" i="15" s="1"/>
  <c r="BA5" i="15"/>
  <c r="AB34" i="15"/>
  <c r="AC34" i="15" s="1"/>
  <c r="AT12" i="15"/>
  <c r="AT34" i="15"/>
  <c r="AT28" i="15"/>
  <c r="AT4" i="15"/>
  <c r="BR27" i="15"/>
  <c r="BF28" i="15"/>
  <c r="BG28" i="15" s="1"/>
  <c r="AT29" i="15"/>
  <c r="AT35" i="15"/>
  <c r="AT13" i="15"/>
  <c r="AT5" i="15"/>
  <c r="AU33" i="15"/>
  <c r="AU11" i="15"/>
  <c r="AU27" i="15"/>
  <c r="AU3" i="15"/>
  <c r="AV33" i="15"/>
  <c r="AV27" i="15"/>
  <c r="AV11" i="15"/>
  <c r="AV3" i="15"/>
  <c r="AU12" i="15"/>
  <c r="AU34" i="15"/>
  <c r="AU28" i="15"/>
  <c r="AU4" i="15"/>
  <c r="AV30" i="15"/>
  <c r="AV14" i="15"/>
  <c r="AV36" i="15"/>
  <c r="AB7" i="15"/>
  <c r="AC7" i="15" s="1"/>
  <c r="AW4" i="15"/>
  <c r="Z9" i="15"/>
  <c r="BF5" i="15"/>
  <c r="BE6" i="15"/>
  <c r="BJ29" i="15"/>
  <c r="BK29" i="15" s="1"/>
  <c r="AB24" i="15"/>
  <c r="AC24" i="15" s="1"/>
  <c r="AW28" i="15"/>
  <c r="BC27" i="15"/>
  <c r="AO3" i="15"/>
  <c r="AZ3" i="15"/>
  <c r="BE3" i="15"/>
  <c r="AB8" i="15"/>
  <c r="AC8" i="15" s="1"/>
  <c r="AN4" i="15"/>
  <c r="AY4" i="15"/>
  <c r="BC4" i="15"/>
  <c r="BB5" i="15"/>
  <c r="BA6" i="15"/>
  <c r="BC28" i="15"/>
  <c r="AB18" i="15"/>
  <c r="AC18" i="15" s="1"/>
  <c r="BF29" i="15"/>
  <c r="BG29" i="15" s="1"/>
  <c r="AS12" i="15"/>
  <c r="W26" i="15"/>
  <c r="AS36" i="15" s="1"/>
  <c r="AA26" i="15"/>
  <c r="AW14" i="15" s="1"/>
  <c r="BC34" i="15"/>
  <c r="AS4" i="15"/>
  <c r="BG4" i="15"/>
  <c r="BA3" i="15"/>
  <c r="AZ4" i="15"/>
  <c r="AY5" i="15"/>
  <c r="BC5" i="15"/>
  <c r="BB6" i="15"/>
  <c r="BN29" i="15"/>
  <c r="BO29" i="15" s="1"/>
  <c r="AB28" i="15"/>
  <c r="AC28" i="15" s="1"/>
  <c r="W29" i="15"/>
  <c r="AA29" i="15"/>
  <c r="AB32" i="15"/>
  <c r="AC32" i="15" s="1"/>
  <c r="W33" i="15"/>
  <c r="AA33" i="15"/>
  <c r="AB44" i="15"/>
  <c r="AC44" i="15" s="1"/>
  <c r="W45" i="15"/>
  <c r="AA45" i="15"/>
  <c r="AB48" i="15"/>
  <c r="AC48" i="15" s="1"/>
  <c r="BJ33" i="15"/>
  <c r="BK33" i="15" s="1"/>
  <c r="AS28" i="15"/>
  <c r="W49" i="15"/>
  <c r="AA49" i="15"/>
  <c r="BR34" i="15"/>
  <c r="BS34" i="15" s="1"/>
  <c r="BH3" i="15"/>
  <c r="BI6" i="15"/>
  <c r="BF27" i="15"/>
  <c r="AW11" i="15"/>
  <c r="AL4" i="15"/>
  <c r="AP4" i="15"/>
  <c r="AT30" i="15"/>
  <c r="AT36" i="15"/>
  <c r="AT14" i="15"/>
  <c r="AT6" i="15"/>
  <c r="AW12" i="15"/>
  <c r="BC30" i="15"/>
  <c r="BF31" i="15"/>
  <c r="BG31" i="15" s="1"/>
  <c r="BC31" i="15"/>
  <c r="BC32" i="15"/>
  <c r="AB50" i="15"/>
  <c r="AC50" i="15" s="1"/>
  <c r="BJ30" i="15"/>
  <c r="BK30" i="15" s="1"/>
  <c r="AB51" i="15"/>
  <c r="AC51" i="15" s="1"/>
  <c r="BJ31" i="15"/>
  <c r="BK31" i="15" s="1"/>
  <c r="BJ34" i="15"/>
  <c r="BK34" i="15" s="1"/>
  <c r="AB52" i="15"/>
  <c r="AC52" i="15" s="1"/>
  <c r="BJ32" i="15"/>
  <c r="BK32" i="15" s="1"/>
  <c r="AI54" i="14"/>
  <c r="AH54" i="14"/>
  <c r="AG54" i="14"/>
  <c r="AF54" i="14"/>
  <c r="AE54" i="14"/>
  <c r="U54" i="14"/>
  <c r="S54" i="14"/>
  <c r="AA54" i="14" s="1"/>
  <c r="R54" i="14"/>
  <c r="Z54" i="14" s="1"/>
  <c r="Q54" i="14"/>
  <c r="P54" i="14"/>
  <c r="X54" i="14" s="1"/>
  <c r="O54" i="14"/>
  <c r="W54" i="14" s="1"/>
  <c r="AI53" i="14"/>
  <c r="AH53" i="14"/>
  <c r="AG53" i="14"/>
  <c r="AF53" i="14"/>
  <c r="AE53" i="14"/>
  <c r="U53" i="14"/>
  <c r="S53" i="14"/>
  <c r="AA53" i="14" s="1"/>
  <c r="R53" i="14"/>
  <c r="Q53" i="14"/>
  <c r="P53" i="14"/>
  <c r="O53" i="14"/>
  <c r="AI52" i="14"/>
  <c r="AH52" i="14"/>
  <c r="AG52" i="14"/>
  <c r="AF52" i="14"/>
  <c r="AE52" i="14"/>
  <c r="U52" i="14"/>
  <c r="S52" i="14"/>
  <c r="AA52" i="14" s="1"/>
  <c r="R52" i="14"/>
  <c r="Q52" i="14"/>
  <c r="Y52" i="14" s="1"/>
  <c r="P52" i="14"/>
  <c r="X52" i="14" s="1"/>
  <c r="O52" i="14"/>
  <c r="W52" i="14" s="1"/>
  <c r="AI51" i="14"/>
  <c r="AH51" i="14"/>
  <c r="AG51" i="14"/>
  <c r="AF51" i="14"/>
  <c r="AE51" i="14"/>
  <c r="U51" i="14"/>
  <c r="S51" i="14"/>
  <c r="AA51" i="14" s="1"/>
  <c r="R51" i="14"/>
  <c r="Q51" i="14"/>
  <c r="Y51" i="14" s="1"/>
  <c r="P51" i="14"/>
  <c r="X51" i="14" s="1"/>
  <c r="O51" i="14"/>
  <c r="W51" i="14" s="1"/>
  <c r="AI50" i="14"/>
  <c r="AH50" i="14"/>
  <c r="AG50" i="14"/>
  <c r="AF50" i="14"/>
  <c r="AE50" i="14"/>
  <c r="U50" i="14"/>
  <c r="S50" i="14"/>
  <c r="AA50" i="14" s="1"/>
  <c r="R50" i="14"/>
  <c r="Q50" i="14"/>
  <c r="P50" i="14"/>
  <c r="O50" i="14"/>
  <c r="AI49" i="14"/>
  <c r="AH49" i="14"/>
  <c r="AG49" i="14"/>
  <c r="AF49" i="14"/>
  <c r="AE49" i="14"/>
  <c r="U49" i="14"/>
  <c r="S49" i="14"/>
  <c r="AA49" i="14" s="1"/>
  <c r="R49" i="14"/>
  <c r="Z49" i="14" s="1"/>
  <c r="Q49" i="14"/>
  <c r="Y49" i="14" s="1"/>
  <c r="P49" i="14"/>
  <c r="X49" i="14" s="1"/>
  <c r="O49" i="14"/>
  <c r="W49" i="14" s="1"/>
  <c r="AI48" i="14"/>
  <c r="AH48" i="14"/>
  <c r="AG48" i="14"/>
  <c r="AF48" i="14"/>
  <c r="AE48" i="14"/>
  <c r="U48" i="14"/>
  <c r="S48" i="14"/>
  <c r="AA48" i="14" s="1"/>
  <c r="R48" i="14"/>
  <c r="Z48" i="14" s="1"/>
  <c r="Q48" i="14"/>
  <c r="P48" i="14"/>
  <c r="X48" i="14" s="1"/>
  <c r="O48" i="14"/>
  <c r="W48" i="14" s="1"/>
  <c r="AI47" i="14"/>
  <c r="AH47" i="14"/>
  <c r="AG47" i="14"/>
  <c r="AF47" i="14"/>
  <c r="AE47" i="14"/>
  <c r="U47" i="14"/>
  <c r="S47" i="14"/>
  <c r="R47" i="14"/>
  <c r="Q47" i="14"/>
  <c r="P47" i="14"/>
  <c r="O47" i="14"/>
  <c r="AI46" i="14"/>
  <c r="AH46" i="14"/>
  <c r="AG46" i="14"/>
  <c r="AF46" i="14"/>
  <c r="AE46" i="14"/>
  <c r="U46" i="14"/>
  <c r="S46" i="14"/>
  <c r="AA46" i="14" s="1"/>
  <c r="R46" i="14"/>
  <c r="Z46" i="14" s="1"/>
  <c r="Q46" i="14"/>
  <c r="Y46" i="14" s="1"/>
  <c r="P46" i="14"/>
  <c r="X46" i="14" s="1"/>
  <c r="O46" i="14"/>
  <c r="W46" i="14" s="1"/>
  <c r="AI45" i="14"/>
  <c r="AH45" i="14"/>
  <c r="AG45" i="14"/>
  <c r="AF45" i="14"/>
  <c r="AE45" i="14"/>
  <c r="U45" i="14"/>
  <c r="S45" i="14"/>
  <c r="R45" i="14"/>
  <c r="Q45" i="14"/>
  <c r="Y45" i="14" s="1"/>
  <c r="P45" i="14"/>
  <c r="X45" i="14" s="1"/>
  <c r="O45" i="14"/>
  <c r="W45" i="14" s="1"/>
  <c r="AI44" i="14"/>
  <c r="AH44" i="14"/>
  <c r="AG44" i="14"/>
  <c r="AF44" i="14"/>
  <c r="AE44" i="14"/>
  <c r="U44" i="14"/>
  <c r="S44" i="14"/>
  <c r="AA44" i="14" s="1"/>
  <c r="R44" i="14"/>
  <c r="Q44" i="14"/>
  <c r="P44" i="14"/>
  <c r="X44" i="14" s="1"/>
  <c r="O44" i="14"/>
  <c r="W44" i="14" s="1"/>
  <c r="AI43" i="14"/>
  <c r="AH43" i="14"/>
  <c r="AG43" i="14"/>
  <c r="AF43" i="14"/>
  <c r="AE43" i="14"/>
  <c r="U43" i="14"/>
  <c r="S43" i="14"/>
  <c r="R43" i="14"/>
  <c r="Z43" i="14" s="1"/>
  <c r="Q43" i="14"/>
  <c r="Y43" i="14" s="1"/>
  <c r="P43" i="14"/>
  <c r="X43" i="14" s="1"/>
  <c r="O43" i="14"/>
  <c r="AI34" i="14"/>
  <c r="AH34" i="14"/>
  <c r="AG34" i="14"/>
  <c r="AF34" i="14"/>
  <c r="AE34" i="14"/>
  <c r="U34" i="14"/>
  <c r="S34" i="14"/>
  <c r="AA34" i="14" s="1"/>
  <c r="R34" i="14"/>
  <c r="Z34" i="14" s="1"/>
  <c r="Q34" i="14"/>
  <c r="Y34" i="14" s="1"/>
  <c r="P34" i="14"/>
  <c r="X34" i="14" s="1"/>
  <c r="O34" i="14"/>
  <c r="W34" i="14" s="1"/>
  <c r="AI33" i="14"/>
  <c r="AH33" i="14"/>
  <c r="AG33" i="14"/>
  <c r="AF33" i="14"/>
  <c r="AE33" i="14"/>
  <c r="U33" i="14"/>
  <c r="S33" i="14"/>
  <c r="R33" i="14"/>
  <c r="Q33" i="14"/>
  <c r="Y33" i="14" s="1"/>
  <c r="P33" i="14"/>
  <c r="X33" i="14" s="1"/>
  <c r="O33" i="14"/>
  <c r="W33" i="14" s="1"/>
  <c r="AI32" i="14"/>
  <c r="AH32" i="14"/>
  <c r="AG32" i="14"/>
  <c r="AF32" i="14"/>
  <c r="AE32" i="14"/>
  <c r="U32" i="14"/>
  <c r="S32" i="14"/>
  <c r="AA32" i="14" s="1"/>
  <c r="R32" i="14"/>
  <c r="Q32" i="14"/>
  <c r="P32" i="14"/>
  <c r="O32" i="14"/>
  <c r="AI31" i="14"/>
  <c r="AH31" i="14"/>
  <c r="AG31" i="14"/>
  <c r="AF31" i="14"/>
  <c r="AE31" i="14"/>
  <c r="U31" i="14"/>
  <c r="S31" i="14"/>
  <c r="R31" i="14"/>
  <c r="Z31" i="14" s="1"/>
  <c r="Q31" i="14"/>
  <c r="Y31" i="14" s="1"/>
  <c r="P31" i="14"/>
  <c r="X31" i="14" s="1"/>
  <c r="O31" i="14"/>
  <c r="W31" i="14" s="1"/>
  <c r="AI30" i="14"/>
  <c r="AH30" i="14"/>
  <c r="AG30" i="14"/>
  <c r="AF30" i="14"/>
  <c r="AE30" i="14"/>
  <c r="U30" i="14"/>
  <c r="S30" i="14"/>
  <c r="AA30" i="14" s="1"/>
  <c r="R30" i="14"/>
  <c r="Z30" i="14" s="1"/>
  <c r="Q30" i="14"/>
  <c r="Y30" i="14" s="1"/>
  <c r="P30" i="14"/>
  <c r="X30" i="14" s="1"/>
  <c r="O30" i="14"/>
  <c r="W30" i="14" s="1"/>
  <c r="AI29" i="14"/>
  <c r="AH29" i="14"/>
  <c r="AG29" i="14"/>
  <c r="AF29" i="14"/>
  <c r="AE29" i="14"/>
  <c r="U29" i="14"/>
  <c r="S29" i="14"/>
  <c r="AA29" i="14" s="1"/>
  <c r="R29" i="14"/>
  <c r="Z29" i="14" s="1"/>
  <c r="Q29" i="14"/>
  <c r="P29" i="14"/>
  <c r="O29" i="14"/>
  <c r="AI28" i="14"/>
  <c r="AH28" i="14"/>
  <c r="AG28" i="14"/>
  <c r="AF28" i="14"/>
  <c r="AE28" i="14"/>
  <c r="U28" i="14"/>
  <c r="S28" i="14"/>
  <c r="AA28" i="14" s="1"/>
  <c r="R28" i="14"/>
  <c r="Q28" i="14"/>
  <c r="P28" i="14"/>
  <c r="X28" i="14" s="1"/>
  <c r="O28" i="14"/>
  <c r="W28" i="14" s="1"/>
  <c r="AI27" i="14"/>
  <c r="AH27" i="14"/>
  <c r="AG27" i="14"/>
  <c r="AF27" i="14"/>
  <c r="AE27" i="14"/>
  <c r="U27" i="14"/>
  <c r="S27" i="14"/>
  <c r="R27" i="14"/>
  <c r="Z27" i="14" s="1"/>
  <c r="Q27" i="14"/>
  <c r="Y27" i="14" s="1"/>
  <c r="P27" i="14"/>
  <c r="X27" i="14" s="1"/>
  <c r="O27" i="14"/>
  <c r="W27" i="14" s="1"/>
  <c r="AI26" i="14"/>
  <c r="AH26" i="14"/>
  <c r="AG26" i="14"/>
  <c r="AF26" i="14"/>
  <c r="AE26" i="14"/>
  <c r="U26" i="14"/>
  <c r="S26" i="14"/>
  <c r="AA26" i="14" s="1"/>
  <c r="R26" i="14"/>
  <c r="Q26" i="14"/>
  <c r="P26" i="14"/>
  <c r="O26" i="14"/>
  <c r="AI25" i="14"/>
  <c r="AH25" i="14"/>
  <c r="AG25" i="14"/>
  <c r="AF25" i="14"/>
  <c r="AE25" i="14"/>
  <c r="U25" i="14"/>
  <c r="S25" i="14"/>
  <c r="AA25" i="14" s="1"/>
  <c r="R25" i="14"/>
  <c r="Z25" i="14" s="1"/>
  <c r="Q25" i="14"/>
  <c r="Y25" i="14" s="1"/>
  <c r="P25" i="14"/>
  <c r="X25" i="14" s="1"/>
  <c r="O25" i="14"/>
  <c r="W25" i="14" s="1"/>
  <c r="AI24" i="14"/>
  <c r="AH24" i="14"/>
  <c r="AG24" i="14"/>
  <c r="AF24" i="14"/>
  <c r="AE24" i="14"/>
  <c r="U24" i="14"/>
  <c r="S24" i="14"/>
  <c r="AA24" i="14" s="1"/>
  <c r="R24" i="14"/>
  <c r="Z24" i="14" s="1"/>
  <c r="Q24" i="14"/>
  <c r="P24" i="14"/>
  <c r="X24" i="14" s="1"/>
  <c r="O24" i="14"/>
  <c r="W24" i="14" s="1"/>
  <c r="AI23" i="14"/>
  <c r="AH23" i="14"/>
  <c r="AG23" i="14"/>
  <c r="AF23" i="14"/>
  <c r="AE23" i="14"/>
  <c r="U23" i="14"/>
  <c r="S23" i="14"/>
  <c r="R23" i="14"/>
  <c r="Q23" i="14"/>
  <c r="P23" i="14"/>
  <c r="O23" i="14"/>
  <c r="AI18" i="14"/>
  <c r="AH18" i="14"/>
  <c r="AG18" i="14"/>
  <c r="AF18" i="14"/>
  <c r="AE18" i="14"/>
  <c r="U18" i="14"/>
  <c r="S18" i="14"/>
  <c r="AA18" i="14" s="1"/>
  <c r="R18" i="14"/>
  <c r="Z18" i="14" s="1"/>
  <c r="Q18" i="14"/>
  <c r="Y18" i="14" s="1"/>
  <c r="P18" i="14"/>
  <c r="X18" i="14" s="1"/>
  <c r="O18" i="14"/>
  <c r="W18" i="14" s="1"/>
  <c r="AI17" i="14"/>
  <c r="AH17" i="14"/>
  <c r="AG17" i="14"/>
  <c r="AF17" i="14"/>
  <c r="AE17" i="14"/>
  <c r="U17" i="14"/>
  <c r="S17" i="14"/>
  <c r="R17" i="14"/>
  <c r="Q17" i="14"/>
  <c r="Y17" i="14" s="1"/>
  <c r="P17" i="14"/>
  <c r="X17" i="14" s="1"/>
  <c r="O17" i="14"/>
  <c r="W17" i="14" s="1"/>
  <c r="AI16" i="14"/>
  <c r="AH16" i="14"/>
  <c r="AG16" i="14"/>
  <c r="AF16" i="14"/>
  <c r="AE16" i="14"/>
  <c r="U16" i="14"/>
  <c r="S16" i="14"/>
  <c r="R16" i="14"/>
  <c r="Q16" i="14"/>
  <c r="Y16" i="14" s="1"/>
  <c r="P16" i="14"/>
  <c r="X16" i="14" s="1"/>
  <c r="O16" i="14"/>
  <c r="W16" i="14" s="1"/>
  <c r="AI15" i="14"/>
  <c r="AH15" i="14"/>
  <c r="AG15" i="14"/>
  <c r="AF15" i="14"/>
  <c r="AE15" i="14"/>
  <c r="U15" i="14"/>
  <c r="S15" i="14"/>
  <c r="AA15" i="14" s="1"/>
  <c r="R15" i="14"/>
  <c r="Z15" i="14" s="1"/>
  <c r="Q15" i="14"/>
  <c r="Y15" i="14" s="1"/>
  <c r="P15" i="14"/>
  <c r="X15" i="14" s="1"/>
  <c r="O15" i="14"/>
  <c r="AI10" i="14"/>
  <c r="AH10" i="14"/>
  <c r="AG10" i="14"/>
  <c r="AF10" i="14"/>
  <c r="AE10" i="14"/>
  <c r="U10" i="14"/>
  <c r="S10" i="14"/>
  <c r="AA10" i="14" s="1"/>
  <c r="R10" i="14"/>
  <c r="Z10" i="14" s="1"/>
  <c r="Q10" i="14"/>
  <c r="Y10" i="14" s="1"/>
  <c r="P10" i="14"/>
  <c r="X10" i="14" s="1"/>
  <c r="O10" i="14"/>
  <c r="W10" i="14" s="1"/>
  <c r="AI9" i="14"/>
  <c r="AH9" i="14"/>
  <c r="AG9" i="14"/>
  <c r="AF9" i="14"/>
  <c r="AE9" i="14"/>
  <c r="U9" i="14"/>
  <c r="S9" i="14"/>
  <c r="AA9" i="14" s="1"/>
  <c r="R9" i="14"/>
  <c r="Q9" i="14"/>
  <c r="P9" i="14"/>
  <c r="X9" i="14" s="1"/>
  <c r="O9" i="14"/>
  <c r="W9" i="14" s="1"/>
  <c r="AI8" i="14"/>
  <c r="AH8" i="14"/>
  <c r="AG8" i="14"/>
  <c r="AF8" i="14"/>
  <c r="AE8" i="14"/>
  <c r="U8" i="14"/>
  <c r="S8" i="14"/>
  <c r="AA8" i="14" s="1"/>
  <c r="R8" i="14"/>
  <c r="Q8" i="14"/>
  <c r="Y8" i="14" s="1"/>
  <c r="P8" i="14"/>
  <c r="O8" i="14"/>
  <c r="AI7" i="14"/>
  <c r="AH7" i="14"/>
  <c r="AG7" i="14"/>
  <c r="AF7" i="14"/>
  <c r="AE7" i="14"/>
  <c r="U7" i="14"/>
  <c r="S7" i="14"/>
  <c r="AA7" i="14" s="1"/>
  <c r="R7" i="14"/>
  <c r="Z7" i="14" s="1"/>
  <c r="Q7" i="14"/>
  <c r="Y7" i="14" s="1"/>
  <c r="P7" i="14"/>
  <c r="X7" i="14" s="1"/>
  <c r="O7" i="14"/>
  <c r="W7" i="14" s="1"/>
  <c r="AI53" i="13"/>
  <c r="AH53" i="13"/>
  <c r="AG53" i="13"/>
  <c r="AF53" i="13"/>
  <c r="AE53" i="13"/>
  <c r="U53" i="13"/>
  <c r="S53" i="13"/>
  <c r="AA53" i="13" s="1"/>
  <c r="R53" i="13"/>
  <c r="Z53" i="13" s="1"/>
  <c r="Q53" i="13"/>
  <c r="P53" i="13"/>
  <c r="X53" i="13" s="1"/>
  <c r="O53" i="13"/>
  <c r="W53" i="13" s="1"/>
  <c r="AI52" i="13"/>
  <c r="AH52" i="13"/>
  <c r="AG52" i="13"/>
  <c r="AF52" i="13"/>
  <c r="AE52" i="13"/>
  <c r="U52" i="13"/>
  <c r="S52" i="13"/>
  <c r="R52" i="13"/>
  <c r="Q52" i="13"/>
  <c r="P52" i="13"/>
  <c r="O52" i="13"/>
  <c r="AI51" i="13"/>
  <c r="AH51" i="13"/>
  <c r="AG51" i="13"/>
  <c r="AF51" i="13"/>
  <c r="AE51" i="13"/>
  <c r="U51" i="13"/>
  <c r="S51" i="13"/>
  <c r="R51" i="13"/>
  <c r="Q51" i="13"/>
  <c r="P51" i="13"/>
  <c r="O51" i="13"/>
  <c r="AI50" i="13"/>
  <c r="AH50" i="13"/>
  <c r="AG50" i="13"/>
  <c r="AF50" i="13"/>
  <c r="AE50" i="13"/>
  <c r="U50" i="13"/>
  <c r="S50" i="13"/>
  <c r="R50" i="13"/>
  <c r="Q50" i="13"/>
  <c r="P50" i="13"/>
  <c r="O50" i="13"/>
  <c r="AI49" i="13"/>
  <c r="AH49" i="13"/>
  <c r="AG49" i="13"/>
  <c r="AF49" i="13"/>
  <c r="AE49" i="13"/>
  <c r="U49" i="13"/>
  <c r="S49" i="13"/>
  <c r="AA49" i="13" s="1"/>
  <c r="R49" i="13"/>
  <c r="Q49" i="13"/>
  <c r="P49" i="13"/>
  <c r="O49" i="13"/>
  <c r="AI48" i="13"/>
  <c r="AH48" i="13"/>
  <c r="AG48" i="13"/>
  <c r="AF48" i="13"/>
  <c r="AE48" i="13"/>
  <c r="U48" i="13"/>
  <c r="S48" i="13"/>
  <c r="AA48" i="13" s="1"/>
  <c r="R48" i="13"/>
  <c r="Q48" i="13"/>
  <c r="Y48" i="13" s="1"/>
  <c r="P48" i="13"/>
  <c r="X48" i="13" s="1"/>
  <c r="O48" i="13"/>
  <c r="W48" i="13" s="1"/>
  <c r="AI47" i="13"/>
  <c r="AH47" i="13"/>
  <c r="AG47" i="13"/>
  <c r="AF47" i="13"/>
  <c r="AE47" i="13"/>
  <c r="U47" i="13"/>
  <c r="S47" i="13"/>
  <c r="R47" i="13"/>
  <c r="Z47" i="13" s="1"/>
  <c r="Q47" i="13"/>
  <c r="P47" i="13"/>
  <c r="O47" i="13"/>
  <c r="AI46" i="13"/>
  <c r="AH46" i="13"/>
  <c r="AG46" i="13"/>
  <c r="AF46" i="13"/>
  <c r="AE46" i="13"/>
  <c r="U46" i="13"/>
  <c r="S46" i="13"/>
  <c r="R46" i="13"/>
  <c r="Q46" i="13"/>
  <c r="P46" i="13"/>
  <c r="O46" i="13"/>
  <c r="AI45" i="13"/>
  <c r="AH45" i="13"/>
  <c r="AG45" i="13"/>
  <c r="AF45" i="13"/>
  <c r="AE45" i="13"/>
  <c r="U45" i="13"/>
  <c r="S45" i="13"/>
  <c r="R45" i="13"/>
  <c r="Z45" i="13" s="1"/>
  <c r="Q45" i="13"/>
  <c r="Y45" i="13" s="1"/>
  <c r="P45" i="13"/>
  <c r="X45" i="13" s="1"/>
  <c r="O45" i="13"/>
  <c r="W45" i="13" s="1"/>
  <c r="AI44" i="13"/>
  <c r="AH44" i="13"/>
  <c r="AG44" i="13"/>
  <c r="AF44" i="13"/>
  <c r="AE44" i="13"/>
  <c r="U44" i="13"/>
  <c r="S44" i="13"/>
  <c r="AA44" i="13" s="1"/>
  <c r="R44" i="13"/>
  <c r="Z44" i="13" s="1"/>
  <c r="Q44" i="13"/>
  <c r="Y44" i="13" s="1"/>
  <c r="P44" i="13"/>
  <c r="X44" i="13" s="1"/>
  <c r="O44" i="13"/>
  <c r="W44" i="13" s="1"/>
  <c r="AI43" i="13"/>
  <c r="AH43" i="13"/>
  <c r="AG43" i="13"/>
  <c r="AF43" i="13"/>
  <c r="AE43" i="13"/>
  <c r="U43" i="13"/>
  <c r="S43" i="13"/>
  <c r="R43" i="13"/>
  <c r="Z43" i="13" s="1"/>
  <c r="Q43" i="13"/>
  <c r="P43" i="13"/>
  <c r="O43" i="13"/>
  <c r="AI42" i="13"/>
  <c r="AH42" i="13"/>
  <c r="AG42" i="13"/>
  <c r="AF42" i="13"/>
  <c r="AE42" i="13"/>
  <c r="U42" i="13"/>
  <c r="S42" i="13"/>
  <c r="R42" i="13"/>
  <c r="Q42" i="13"/>
  <c r="P42" i="13"/>
  <c r="X42" i="13" s="1"/>
  <c r="O42" i="13"/>
  <c r="AI34" i="13"/>
  <c r="AH34" i="13"/>
  <c r="AG34" i="13"/>
  <c r="AF34" i="13"/>
  <c r="AE34" i="13"/>
  <c r="U34" i="13"/>
  <c r="S34" i="13"/>
  <c r="AA34" i="13" s="1"/>
  <c r="R34" i="13"/>
  <c r="Z34" i="13" s="1"/>
  <c r="Q34" i="13"/>
  <c r="Y34" i="13" s="1"/>
  <c r="P34" i="13"/>
  <c r="X34" i="13" s="1"/>
  <c r="O34" i="13"/>
  <c r="AI33" i="13"/>
  <c r="AH33" i="13"/>
  <c r="AG33" i="13"/>
  <c r="AF33" i="13"/>
  <c r="AE33" i="13"/>
  <c r="U33" i="13"/>
  <c r="S33" i="13"/>
  <c r="R33" i="13"/>
  <c r="Q33" i="13"/>
  <c r="P33" i="13"/>
  <c r="O33" i="13"/>
  <c r="W33" i="13" s="1"/>
  <c r="AI32" i="13"/>
  <c r="AH32" i="13"/>
  <c r="AG32" i="13"/>
  <c r="AF32" i="13"/>
  <c r="AE32" i="13"/>
  <c r="U32" i="13"/>
  <c r="S32" i="13"/>
  <c r="R32" i="13"/>
  <c r="Z32" i="13" s="1"/>
  <c r="Q32" i="13"/>
  <c r="P32" i="13"/>
  <c r="O32" i="13"/>
  <c r="AI31" i="13"/>
  <c r="AH31" i="13"/>
  <c r="AG31" i="13"/>
  <c r="AF31" i="13"/>
  <c r="AE31" i="13"/>
  <c r="U31" i="13"/>
  <c r="S31" i="13"/>
  <c r="R31" i="13"/>
  <c r="Q31" i="13"/>
  <c r="P31" i="13"/>
  <c r="O31" i="13"/>
  <c r="AI30" i="13"/>
  <c r="AH30" i="13"/>
  <c r="AG30" i="13"/>
  <c r="AF30" i="13"/>
  <c r="AE30" i="13"/>
  <c r="U30" i="13"/>
  <c r="S30" i="13"/>
  <c r="AA30" i="13" s="1"/>
  <c r="R30" i="13"/>
  <c r="Z30" i="13" s="1"/>
  <c r="Q30" i="13"/>
  <c r="Y30" i="13" s="1"/>
  <c r="P30" i="13"/>
  <c r="X30" i="13" s="1"/>
  <c r="O30" i="13"/>
  <c r="W30" i="13" s="1"/>
  <c r="AI29" i="13"/>
  <c r="AH29" i="13"/>
  <c r="AG29" i="13"/>
  <c r="AF29" i="13"/>
  <c r="AE29" i="13"/>
  <c r="U29" i="13"/>
  <c r="S29" i="13"/>
  <c r="AA29" i="13" s="1"/>
  <c r="R29" i="13"/>
  <c r="Z29" i="13" s="1"/>
  <c r="Q29" i="13"/>
  <c r="P29" i="13"/>
  <c r="O29" i="13"/>
  <c r="AI28" i="13"/>
  <c r="AH28" i="13"/>
  <c r="AG28" i="13"/>
  <c r="AF28" i="13"/>
  <c r="AE28" i="13"/>
  <c r="U28" i="13"/>
  <c r="S28" i="13"/>
  <c r="R28" i="13"/>
  <c r="Z28" i="13" s="1"/>
  <c r="Q28" i="13"/>
  <c r="P28" i="13"/>
  <c r="X28" i="13" s="1"/>
  <c r="O28" i="13"/>
  <c r="AI27" i="13"/>
  <c r="AH27" i="13"/>
  <c r="AG27" i="13"/>
  <c r="AF27" i="13"/>
  <c r="AE27" i="13"/>
  <c r="U27" i="13"/>
  <c r="S27" i="13"/>
  <c r="R27" i="13"/>
  <c r="Q27" i="13"/>
  <c r="P27" i="13"/>
  <c r="X27" i="13" s="1"/>
  <c r="O27" i="13"/>
  <c r="AI26" i="13"/>
  <c r="AH26" i="13"/>
  <c r="AG26" i="13"/>
  <c r="AF26" i="13"/>
  <c r="AE26" i="13"/>
  <c r="U26" i="13"/>
  <c r="S26" i="13"/>
  <c r="AA26" i="13" s="1"/>
  <c r="R26" i="13"/>
  <c r="Q26" i="13"/>
  <c r="P26" i="13"/>
  <c r="O26" i="13"/>
  <c r="AI25" i="13"/>
  <c r="AH25" i="13"/>
  <c r="AG25" i="13"/>
  <c r="AF25" i="13"/>
  <c r="AE25" i="13"/>
  <c r="U25" i="13"/>
  <c r="S25" i="13"/>
  <c r="R25" i="13"/>
  <c r="Q25" i="13"/>
  <c r="Y25" i="13" s="1"/>
  <c r="P25" i="13"/>
  <c r="X25" i="13" s="1"/>
  <c r="O25" i="13"/>
  <c r="W25" i="13" s="1"/>
  <c r="AI24" i="13"/>
  <c r="AH24" i="13"/>
  <c r="AG24" i="13"/>
  <c r="AF24" i="13"/>
  <c r="AE24" i="13"/>
  <c r="U24" i="13"/>
  <c r="S24" i="13"/>
  <c r="R24" i="13"/>
  <c r="Z24" i="13" s="1"/>
  <c r="Q24" i="13"/>
  <c r="Y24" i="13" s="1"/>
  <c r="P24" i="13"/>
  <c r="X24" i="13" s="1"/>
  <c r="O24" i="13"/>
  <c r="W24" i="13" s="1"/>
  <c r="AI23" i="13"/>
  <c r="AH23" i="13"/>
  <c r="AG23" i="13"/>
  <c r="AF23" i="13"/>
  <c r="AE23" i="13"/>
  <c r="U23" i="13"/>
  <c r="S23" i="13"/>
  <c r="R23" i="13"/>
  <c r="Q23" i="13"/>
  <c r="P23" i="13"/>
  <c r="O23" i="13"/>
  <c r="AI18" i="13"/>
  <c r="AH18" i="13"/>
  <c r="AG18" i="13"/>
  <c r="AF18" i="13"/>
  <c r="AE18" i="13"/>
  <c r="U18" i="13"/>
  <c r="S18" i="13"/>
  <c r="R18" i="13"/>
  <c r="Z18" i="13" s="1"/>
  <c r="Q18" i="13"/>
  <c r="P18" i="13"/>
  <c r="X18" i="13" s="1"/>
  <c r="O18" i="13"/>
  <c r="AI17" i="13"/>
  <c r="AH17" i="13"/>
  <c r="AG17" i="13"/>
  <c r="AF17" i="13"/>
  <c r="AE17" i="13"/>
  <c r="U17" i="13"/>
  <c r="S17" i="13"/>
  <c r="AA17" i="13" s="1"/>
  <c r="R17" i="13"/>
  <c r="Q17" i="13"/>
  <c r="Y17" i="13" s="1"/>
  <c r="P17" i="13"/>
  <c r="O17" i="13"/>
  <c r="W17" i="13" s="1"/>
  <c r="AI16" i="13"/>
  <c r="AH16" i="13"/>
  <c r="AG16" i="13"/>
  <c r="AF16" i="13"/>
  <c r="AE16" i="13"/>
  <c r="U16" i="13"/>
  <c r="S16" i="13"/>
  <c r="R16" i="13"/>
  <c r="Q16" i="13"/>
  <c r="P16" i="13"/>
  <c r="X16" i="13" s="1"/>
  <c r="O16" i="13"/>
  <c r="AI15" i="13"/>
  <c r="AH15" i="13"/>
  <c r="AG15" i="13"/>
  <c r="AF15" i="13"/>
  <c r="AE15" i="13"/>
  <c r="U15" i="13"/>
  <c r="S15" i="13"/>
  <c r="R15" i="13"/>
  <c r="Q15" i="13"/>
  <c r="Y15" i="13" s="1"/>
  <c r="P15" i="13"/>
  <c r="O15" i="13"/>
  <c r="AI10" i="13"/>
  <c r="AH10" i="13"/>
  <c r="AG10" i="13"/>
  <c r="AF10" i="13"/>
  <c r="AE10" i="13"/>
  <c r="U10" i="13"/>
  <c r="S10" i="13"/>
  <c r="AA10" i="13" s="1"/>
  <c r="R10" i="13"/>
  <c r="Z10" i="13" s="1"/>
  <c r="Q10" i="13"/>
  <c r="Y10" i="13" s="1"/>
  <c r="P10" i="13"/>
  <c r="X10" i="13" s="1"/>
  <c r="O10" i="13"/>
  <c r="AI9" i="13"/>
  <c r="AH9" i="13"/>
  <c r="AG9" i="13"/>
  <c r="AF9" i="13"/>
  <c r="AE9" i="13"/>
  <c r="U9" i="13"/>
  <c r="S9" i="13"/>
  <c r="R9" i="13"/>
  <c r="Q9" i="13"/>
  <c r="P9" i="13"/>
  <c r="O9" i="13"/>
  <c r="AI8" i="13"/>
  <c r="AH8" i="13"/>
  <c r="AG8" i="13"/>
  <c r="AF8" i="13"/>
  <c r="AE8" i="13"/>
  <c r="U8" i="13"/>
  <c r="S8" i="13"/>
  <c r="AA8" i="13" s="1"/>
  <c r="R8" i="13"/>
  <c r="Q8" i="13"/>
  <c r="Y8" i="13" s="1"/>
  <c r="P8" i="13"/>
  <c r="O8" i="13"/>
  <c r="AI7" i="13"/>
  <c r="AH7" i="13"/>
  <c r="AG7" i="13"/>
  <c r="AF7" i="13"/>
  <c r="AE7" i="13"/>
  <c r="U7" i="13"/>
  <c r="S7" i="13"/>
  <c r="R7" i="13"/>
  <c r="Q7" i="13"/>
  <c r="P7" i="13"/>
  <c r="O7" i="13"/>
  <c r="AU29" i="16" l="1"/>
  <c r="AZ32" i="16"/>
  <c r="AU35" i="16"/>
  <c r="AW5" i="16"/>
  <c r="BR30" i="16"/>
  <c r="BS30" i="16" s="1"/>
  <c r="AW35" i="16"/>
  <c r="AW29" i="16"/>
  <c r="AW13" i="16"/>
  <c r="AB25" i="16"/>
  <c r="AC25" i="16" s="1"/>
  <c r="AV14" i="16"/>
  <c r="AV36" i="16"/>
  <c r="BJ34" i="16"/>
  <c r="BK34" i="16" s="1"/>
  <c r="AV6" i="16"/>
  <c r="BN32" i="16"/>
  <c r="BO32" i="16" s="1"/>
  <c r="AZ34" i="16"/>
  <c r="AZ47" i="16" s="1"/>
  <c r="AW33" i="15"/>
  <c r="AB10" i="15"/>
  <c r="AC10" i="15" s="1"/>
  <c r="AS27" i="15"/>
  <c r="AB23" i="15"/>
  <c r="AC23" i="15" s="1"/>
  <c r="AS33" i="15"/>
  <c r="AW27" i="15"/>
  <c r="AU6" i="15"/>
  <c r="BF33" i="15"/>
  <c r="BG33" i="15" s="1"/>
  <c r="BR28" i="15"/>
  <c r="BS28" i="15" s="1"/>
  <c r="AU36" i="15"/>
  <c r="AU30" i="15"/>
  <c r="AS11" i="15"/>
  <c r="BF32" i="15"/>
  <c r="BG32" i="15" s="1"/>
  <c r="Z45" i="14"/>
  <c r="AA17" i="14"/>
  <c r="AA45" i="14"/>
  <c r="W47" i="14"/>
  <c r="X23" i="14"/>
  <c r="W26" i="14"/>
  <c r="AB26" i="14" s="1"/>
  <c r="AC26" i="14" s="1"/>
  <c r="Z33" i="14"/>
  <c r="X47" i="14"/>
  <c r="W50" i="14"/>
  <c r="X26" i="14"/>
  <c r="AT30" i="14" s="1"/>
  <c r="W29" i="14"/>
  <c r="BN33" i="14" s="1"/>
  <c r="BO33" i="14" s="1"/>
  <c r="AA33" i="14"/>
  <c r="Y47" i="14"/>
  <c r="W53" i="14"/>
  <c r="W8" i="14"/>
  <c r="AS28" i="14" s="1"/>
  <c r="Y26" i="14"/>
  <c r="AU14" i="14" s="1"/>
  <c r="X29" i="14"/>
  <c r="W32" i="14"/>
  <c r="Z47" i="14"/>
  <c r="Y50" i="14"/>
  <c r="X53" i="14"/>
  <c r="X8" i="14"/>
  <c r="AT12" i="14" s="1"/>
  <c r="W15" i="14"/>
  <c r="BF30" i="14" s="1"/>
  <c r="BG30" i="14" s="1"/>
  <c r="AA23" i="14"/>
  <c r="Z26" i="14"/>
  <c r="Y29" i="14"/>
  <c r="X32" i="14"/>
  <c r="AT28" i="14" s="1"/>
  <c r="W43" i="14"/>
  <c r="Z50" i="14"/>
  <c r="Y53" i="14"/>
  <c r="AA24" i="13"/>
  <c r="X50" i="13"/>
  <c r="X7" i="13"/>
  <c r="W10" i="13"/>
  <c r="Z25" i="13"/>
  <c r="X31" i="13"/>
  <c r="W34" i="13"/>
  <c r="AA45" i="13"/>
  <c r="Z48" i="13"/>
  <c r="W9" i="13"/>
  <c r="X9" i="13"/>
  <c r="X33" i="13"/>
  <c r="Y33" i="13"/>
  <c r="Z9" i="13"/>
  <c r="X23" i="13"/>
  <c r="W26" i="13"/>
  <c r="AS36" i="13" s="1"/>
  <c r="Z33" i="13"/>
  <c r="X46" i="13"/>
  <c r="W49" i="13"/>
  <c r="AA9" i="13"/>
  <c r="W29" i="13"/>
  <c r="AA33" i="13"/>
  <c r="X49" i="13"/>
  <c r="Z23" i="13"/>
  <c r="Y49" i="13"/>
  <c r="X52" i="13"/>
  <c r="W8" i="13"/>
  <c r="Y26" i="13"/>
  <c r="X29" i="13"/>
  <c r="X8" i="13"/>
  <c r="W15" i="13"/>
  <c r="Z26" i="13"/>
  <c r="AV6" i="13" s="1"/>
  <c r="Y29" i="13"/>
  <c r="X32" i="13"/>
  <c r="Z49" i="13"/>
  <c r="BF30" i="16"/>
  <c r="BG30" i="16" s="1"/>
  <c r="AZ30" i="16"/>
  <c r="AZ43" i="16" s="1"/>
  <c r="BN28" i="15"/>
  <c r="BO28" i="15" s="1"/>
  <c r="AZ34" i="15"/>
  <c r="BN34" i="15"/>
  <c r="BO34" i="15" s="1"/>
  <c r="AZ28" i="15"/>
  <c r="BA28" i="15" s="1"/>
  <c r="BB41" i="15" s="1"/>
  <c r="AT33" i="15"/>
  <c r="AT11" i="15"/>
  <c r="AT27" i="15"/>
  <c r="AB15" i="15"/>
  <c r="AZ32" i="15"/>
  <c r="BF30" i="15"/>
  <c r="BG30" i="15" s="1"/>
  <c r="BR32" i="15"/>
  <c r="BS32" i="15" s="1"/>
  <c r="AT3" i="15"/>
  <c r="AV4" i="15"/>
  <c r="AA27" i="14"/>
  <c r="Z52" i="14"/>
  <c r="AB52" i="14" s="1"/>
  <c r="AC52" i="14" s="1"/>
  <c r="AU28" i="16"/>
  <c r="AZ30" i="15"/>
  <c r="AW13" i="15"/>
  <c r="BJ31" i="16"/>
  <c r="BK31" i="16" s="1"/>
  <c r="AW4" i="16"/>
  <c r="AB15" i="16"/>
  <c r="AC15" i="16" s="1"/>
  <c r="AV34" i="15"/>
  <c r="BJ28" i="15"/>
  <c r="BK28" i="15" s="1"/>
  <c r="AV12" i="15"/>
  <c r="AB16" i="15"/>
  <c r="AW28" i="16"/>
  <c r="BF28" i="16"/>
  <c r="BG28" i="16" s="1"/>
  <c r="AZ28" i="16"/>
  <c r="AB16" i="16"/>
  <c r="AC16" i="16" s="1"/>
  <c r="AU5" i="15"/>
  <c r="AV28" i="15"/>
  <c r="BJ27" i="15"/>
  <c r="AZ27" i="15"/>
  <c r="AU35" i="15"/>
  <c r="AU29" i="15"/>
  <c r="BJ33" i="16"/>
  <c r="BK33" i="16" s="1"/>
  <c r="BR37" i="16"/>
  <c r="BR36" i="16"/>
  <c r="BS27" i="16"/>
  <c r="AV4" i="16"/>
  <c r="AZ33" i="16"/>
  <c r="AB28" i="16"/>
  <c r="AC28" i="16" s="1"/>
  <c r="BJ30" i="16"/>
  <c r="BK30" i="16" s="1"/>
  <c r="AB48" i="16"/>
  <c r="AC48" i="16" s="1"/>
  <c r="AU34" i="16"/>
  <c r="AS33" i="16"/>
  <c r="BF27" i="16"/>
  <c r="AS27" i="16"/>
  <c r="AS11" i="16"/>
  <c r="AS3" i="16"/>
  <c r="AB7" i="16"/>
  <c r="AC7" i="16" s="1"/>
  <c r="AZ27" i="16"/>
  <c r="AW34" i="16"/>
  <c r="AZ31" i="16"/>
  <c r="AB32" i="16"/>
  <c r="AC32" i="16" s="1"/>
  <c r="AV33" i="16"/>
  <c r="AV27" i="16"/>
  <c r="AV11" i="16"/>
  <c r="AV3" i="16"/>
  <c r="AU12" i="16"/>
  <c r="AW33" i="16"/>
  <c r="AW27" i="16"/>
  <c r="AW11" i="16"/>
  <c r="AW3" i="16"/>
  <c r="AV34" i="16"/>
  <c r="BJ28" i="16"/>
  <c r="BK28" i="16" s="1"/>
  <c r="AW12" i="16"/>
  <c r="AZ45" i="16"/>
  <c r="BA32" i="16"/>
  <c r="BB45" i="16" s="1"/>
  <c r="BA59" i="16"/>
  <c r="AZ59" i="16"/>
  <c r="AB44" i="16"/>
  <c r="AC44" i="16" s="1"/>
  <c r="BJ32" i="16"/>
  <c r="BK32" i="16" s="1"/>
  <c r="BA28" i="16"/>
  <c r="BN37" i="16"/>
  <c r="BN36" i="16"/>
  <c r="BO27" i="16"/>
  <c r="AS4" i="16"/>
  <c r="BK27" i="16"/>
  <c r="AS34" i="16"/>
  <c r="AV28" i="16"/>
  <c r="BA29" i="16"/>
  <c r="BB42" i="16" s="1"/>
  <c r="AZ42" i="16"/>
  <c r="BA58" i="16"/>
  <c r="AZ58" i="16"/>
  <c r="AU33" i="16"/>
  <c r="AU27" i="16"/>
  <c r="AU11" i="16"/>
  <c r="AU3" i="16"/>
  <c r="AS28" i="16"/>
  <c r="AS12" i="16"/>
  <c r="AW29" i="15"/>
  <c r="AS13" i="15"/>
  <c r="AW36" i="15"/>
  <c r="AS29" i="15"/>
  <c r="AZ45" i="15"/>
  <c r="BA32" i="15"/>
  <c r="AZ40" i="15"/>
  <c r="BG27" i="15"/>
  <c r="AB45" i="15"/>
  <c r="AC45" i="15" s="1"/>
  <c r="BN32" i="15"/>
  <c r="BO32" i="15" s="1"/>
  <c r="AW5" i="15"/>
  <c r="AS5" i="15"/>
  <c r="AW30" i="15"/>
  <c r="BS27" i="15"/>
  <c r="BN33" i="15"/>
  <c r="BO33" i="15" s="1"/>
  <c r="AB49" i="15"/>
  <c r="AC49" i="15" s="1"/>
  <c r="AB33" i="15"/>
  <c r="AC33" i="15" s="1"/>
  <c r="BN31" i="15"/>
  <c r="BO31" i="15" s="1"/>
  <c r="BA56" i="15"/>
  <c r="AZ47" i="15"/>
  <c r="BA34" i="15"/>
  <c r="BB47" i="15" s="1"/>
  <c r="AZ43" i="15"/>
  <c r="BA30" i="15"/>
  <c r="AZ29" i="15"/>
  <c r="AV35" i="15"/>
  <c r="AV13" i="15"/>
  <c r="AV29" i="15"/>
  <c r="AV5" i="15"/>
  <c r="AW35" i="15"/>
  <c r="AB9" i="15"/>
  <c r="AC9" i="15" s="1"/>
  <c r="BN27" i="15"/>
  <c r="AW6" i="15"/>
  <c r="AS6" i="15"/>
  <c r="AZ33" i="15"/>
  <c r="AZ31" i="15"/>
  <c r="AB29" i="15"/>
  <c r="AC29" i="15" s="1"/>
  <c r="BN30" i="15"/>
  <c r="BO30" i="15" s="1"/>
  <c r="BR29" i="15"/>
  <c r="BS29" i="15" s="1"/>
  <c r="AB26" i="15"/>
  <c r="AS35" i="15"/>
  <c r="AS14" i="15"/>
  <c r="AS30" i="15"/>
  <c r="AA47" i="14"/>
  <c r="AB47" i="14" s="1"/>
  <c r="AC47" i="14" s="1"/>
  <c r="Z28" i="14"/>
  <c r="AL5" i="13"/>
  <c r="AA15" i="13"/>
  <c r="AP3" i="13"/>
  <c r="AL3" i="13"/>
  <c r="Y9" i="13"/>
  <c r="BN27" i="13" s="1"/>
  <c r="AZ6" i="14"/>
  <c r="AM5" i="14"/>
  <c r="AM6" i="14"/>
  <c r="Y53" i="13"/>
  <c r="BC34" i="13"/>
  <c r="Z51" i="14"/>
  <c r="AB51" i="14" s="1"/>
  <c r="AC51" i="14" s="1"/>
  <c r="AL3" i="14"/>
  <c r="AM4" i="14"/>
  <c r="BA3" i="14"/>
  <c r="BB6" i="14"/>
  <c r="Z53" i="14"/>
  <c r="BN34" i="14" s="1"/>
  <c r="BO34" i="14" s="1"/>
  <c r="BE4" i="14"/>
  <c r="BI4" i="14"/>
  <c r="Y54" i="14"/>
  <c r="X50" i="14"/>
  <c r="AN3" i="14"/>
  <c r="BG5" i="14"/>
  <c r="Y48" i="14"/>
  <c r="AB48" i="14" s="1"/>
  <c r="AC48" i="14" s="1"/>
  <c r="AZ4" i="14"/>
  <c r="AL5" i="14"/>
  <c r="AB49" i="13"/>
  <c r="AC49" i="13" s="1"/>
  <c r="AN4" i="13"/>
  <c r="Y47" i="13"/>
  <c r="AN4" i="14"/>
  <c r="AO5" i="14"/>
  <c r="AB46" i="14"/>
  <c r="AC46" i="14" s="1"/>
  <c r="AP4" i="14"/>
  <c r="Z44" i="14"/>
  <c r="AA43" i="14"/>
  <c r="AP5" i="13"/>
  <c r="BC32" i="13"/>
  <c r="Y43" i="13"/>
  <c r="AP5" i="14"/>
  <c r="BR31" i="14"/>
  <c r="BS31" i="14" s="1"/>
  <c r="AB34" i="14"/>
  <c r="AC34" i="14" s="1"/>
  <c r="AA31" i="14"/>
  <c r="AB31" i="14" s="1"/>
  <c r="AC31" i="14" s="1"/>
  <c r="Z32" i="14"/>
  <c r="Y32" i="13"/>
  <c r="AM6" i="13"/>
  <c r="BB5" i="13"/>
  <c r="BR30" i="14"/>
  <c r="BS30" i="14" s="1"/>
  <c r="AB30" i="14"/>
  <c r="AC30" i="14" s="1"/>
  <c r="BF3" i="14"/>
  <c r="BG6" i="14"/>
  <c r="BG4" i="14"/>
  <c r="BI3" i="13"/>
  <c r="AY3" i="13"/>
  <c r="BF4" i="13"/>
  <c r="BA6" i="13"/>
  <c r="Y28" i="13"/>
  <c r="BF3" i="13"/>
  <c r="BC30" i="13"/>
  <c r="Y24" i="14"/>
  <c r="BJ29" i="14" s="1"/>
  <c r="BK29" i="14" s="1"/>
  <c r="BH3" i="14"/>
  <c r="AY3" i="14"/>
  <c r="BI3" i="14"/>
  <c r="BH4" i="14"/>
  <c r="AO4" i="14"/>
  <c r="BF5" i="14"/>
  <c r="AL6" i="14"/>
  <c r="BC29" i="14"/>
  <c r="Z23" i="14"/>
  <c r="AV11" i="14" s="1"/>
  <c r="AN5" i="14"/>
  <c r="AP6" i="14"/>
  <c r="BG4" i="13"/>
  <c r="BG3" i="13"/>
  <c r="BH6" i="13"/>
  <c r="AM5" i="13"/>
  <c r="AB24" i="13"/>
  <c r="AC24" i="13" s="1"/>
  <c r="X26" i="13"/>
  <c r="BR29" i="13" s="1"/>
  <c r="BS29" i="13" s="1"/>
  <c r="AO4" i="13"/>
  <c r="BE6" i="13"/>
  <c r="BI6" i="13"/>
  <c r="AL6" i="13"/>
  <c r="AP6" i="13"/>
  <c r="W23" i="13"/>
  <c r="AA25" i="13"/>
  <c r="BN29" i="13" s="1"/>
  <c r="BO29" i="13" s="1"/>
  <c r="BG5" i="13"/>
  <c r="BF6" i="13"/>
  <c r="AO3" i="13"/>
  <c r="BJ29" i="13"/>
  <c r="BK29" i="13" s="1"/>
  <c r="AN6" i="14"/>
  <c r="BH5" i="14"/>
  <c r="AO3" i="14"/>
  <c r="AY5" i="14"/>
  <c r="BC5" i="14"/>
  <c r="BE6" i="14"/>
  <c r="BI6" i="14"/>
  <c r="AO6" i="14"/>
  <c r="AP3" i="14"/>
  <c r="AL4" i="14"/>
  <c r="BF6" i="14"/>
  <c r="BC28" i="14"/>
  <c r="AM3" i="14"/>
  <c r="AA16" i="14"/>
  <c r="AW4" i="14" s="1"/>
  <c r="Z17" i="14"/>
  <c r="AT11" i="14"/>
  <c r="AO6" i="13"/>
  <c r="BE4" i="13"/>
  <c r="BI4" i="13"/>
  <c r="BE5" i="13"/>
  <c r="BI5" i="13"/>
  <c r="Z16" i="13"/>
  <c r="X17" i="13"/>
  <c r="AT5" i="13" s="1"/>
  <c r="Y16" i="13"/>
  <c r="BH4" i="13"/>
  <c r="W18" i="13"/>
  <c r="AN3" i="13"/>
  <c r="BC28" i="13"/>
  <c r="BH3" i="13"/>
  <c r="Z9" i="14"/>
  <c r="AT3" i="14"/>
  <c r="Z8" i="14"/>
  <c r="BJ27" i="14" s="1"/>
  <c r="BB4" i="14"/>
  <c r="BC3" i="14"/>
  <c r="BA5" i="14"/>
  <c r="BA3" i="13"/>
  <c r="AZ6" i="13"/>
  <c r="Z8" i="13"/>
  <c r="BB4" i="13"/>
  <c r="BC3" i="13"/>
  <c r="AY5" i="13"/>
  <c r="BB6" i="13"/>
  <c r="BA5" i="13"/>
  <c r="Z7" i="13"/>
  <c r="AZ4" i="13"/>
  <c r="BC5" i="13"/>
  <c r="AT29" i="14"/>
  <c r="AT35" i="14"/>
  <c r="AT5" i="14"/>
  <c r="AT13" i="14"/>
  <c r="AS30" i="14"/>
  <c r="AS36" i="14"/>
  <c r="BR27" i="14"/>
  <c r="AS14" i="14"/>
  <c r="AS6" i="14"/>
  <c r="AB10" i="14"/>
  <c r="AC10" i="14" s="1"/>
  <c r="AW30" i="14"/>
  <c r="AW36" i="14"/>
  <c r="AW14" i="14"/>
  <c r="AW6" i="14"/>
  <c r="BR28" i="14"/>
  <c r="BS28" i="14" s="1"/>
  <c r="AB18" i="14"/>
  <c r="AC18" i="14" s="1"/>
  <c r="AS13" i="14"/>
  <c r="AW29" i="14"/>
  <c r="AW35" i="14"/>
  <c r="AW5" i="14"/>
  <c r="AW13" i="14"/>
  <c r="AV30" i="14"/>
  <c r="AV6" i="14"/>
  <c r="AV14" i="14"/>
  <c r="AV36" i="14"/>
  <c r="BB3" i="14"/>
  <c r="BG3" i="14"/>
  <c r="BA4" i="14"/>
  <c r="BF4" i="14"/>
  <c r="Y9" i="14"/>
  <c r="AZ5" i="14"/>
  <c r="BE5" i="14"/>
  <c r="BI5" i="14"/>
  <c r="AT14" i="14"/>
  <c r="AY6" i="14"/>
  <c r="BC6" i="14"/>
  <c r="BH6" i="14"/>
  <c r="Z16" i="14"/>
  <c r="AB27" i="14"/>
  <c r="AC27" i="14" s="1"/>
  <c r="BF33" i="14"/>
  <c r="BG33" i="14" s="1"/>
  <c r="BF27" i="14"/>
  <c r="AB7" i="14"/>
  <c r="AC7" i="14" s="1"/>
  <c r="AB15" i="14"/>
  <c r="AC15" i="14" s="1"/>
  <c r="AB24" i="14"/>
  <c r="AC24" i="14" s="1"/>
  <c r="BN30" i="14"/>
  <c r="BO30" i="14" s="1"/>
  <c r="AB29" i="14"/>
  <c r="AC29" i="14" s="1"/>
  <c r="BN31" i="14"/>
  <c r="BO31" i="14" s="1"/>
  <c r="AB33" i="14"/>
  <c r="AC33" i="14" s="1"/>
  <c r="BN32" i="14"/>
  <c r="BO32" i="14" s="1"/>
  <c r="AB45" i="14"/>
  <c r="AC45" i="14" s="1"/>
  <c r="AT27" i="14"/>
  <c r="BF28" i="14"/>
  <c r="BG28" i="14" s="1"/>
  <c r="AB49" i="14"/>
  <c r="AC49" i="14" s="1"/>
  <c r="BR29" i="14"/>
  <c r="BS29" i="14" s="1"/>
  <c r="BR33" i="14"/>
  <c r="BS33" i="14" s="1"/>
  <c r="BC34" i="14"/>
  <c r="BC27" i="14"/>
  <c r="AZ3" i="14"/>
  <c r="BE3" i="14"/>
  <c r="AY4" i="14"/>
  <c r="BC4" i="14"/>
  <c r="BB5" i="14"/>
  <c r="BA6" i="14"/>
  <c r="Y23" i="14"/>
  <c r="AU33" i="14" s="1"/>
  <c r="W23" i="14"/>
  <c r="AS27" i="14" s="1"/>
  <c r="Y28" i="14"/>
  <c r="Y32" i="14"/>
  <c r="Y44" i="14"/>
  <c r="AT33" i="14"/>
  <c r="BR34" i="14"/>
  <c r="BS34" i="14" s="1"/>
  <c r="BN29" i="14"/>
  <c r="BO29" i="14" s="1"/>
  <c r="AB25" i="14"/>
  <c r="AC25" i="14" s="1"/>
  <c r="BC30" i="14"/>
  <c r="BC31" i="14"/>
  <c r="BC32" i="14"/>
  <c r="BC33" i="14"/>
  <c r="W16" i="13"/>
  <c r="AL4" i="13"/>
  <c r="Y18" i="13"/>
  <c r="AN6" i="13"/>
  <c r="Y7" i="13"/>
  <c r="BH5" i="13"/>
  <c r="AA31" i="13"/>
  <c r="Z31" i="13"/>
  <c r="W31" i="13"/>
  <c r="AA46" i="13"/>
  <c r="Z46" i="13"/>
  <c r="W46" i="13"/>
  <c r="AA16" i="13"/>
  <c r="AP4" i="13"/>
  <c r="AY4" i="13"/>
  <c r="BC4" i="13"/>
  <c r="BF5" i="13"/>
  <c r="BG6" i="13"/>
  <c r="Z15" i="13"/>
  <c r="BC31" i="13"/>
  <c r="BR31" i="13"/>
  <c r="BS31" i="13" s="1"/>
  <c r="BC33" i="13"/>
  <c r="W7" i="13"/>
  <c r="AA7" i="13"/>
  <c r="AU36" i="13"/>
  <c r="BR27" i="13"/>
  <c r="AB10" i="13"/>
  <c r="AC10" i="13" s="1"/>
  <c r="X15" i="13"/>
  <c r="AM3" i="13"/>
  <c r="AZ3" i="13"/>
  <c r="BJ27" i="13"/>
  <c r="AN5" i="13"/>
  <c r="Z17" i="13"/>
  <c r="AO5" i="13"/>
  <c r="BC29" i="13"/>
  <c r="AA27" i="13"/>
  <c r="Z27" i="13"/>
  <c r="W27" i="13"/>
  <c r="AA42" i="13"/>
  <c r="Z42" i="13"/>
  <c r="W42" i="13"/>
  <c r="AA50" i="13"/>
  <c r="Z50" i="13"/>
  <c r="W50" i="13"/>
  <c r="X51" i="13"/>
  <c r="AM4" i="13"/>
  <c r="AA51" i="13"/>
  <c r="Z51" i="13"/>
  <c r="W51" i="13"/>
  <c r="AA52" i="13"/>
  <c r="Z52" i="13"/>
  <c r="W52" i="13"/>
  <c r="AS5" i="13" s="1"/>
  <c r="BB3" i="13"/>
  <c r="BA4" i="13"/>
  <c r="AZ5" i="13"/>
  <c r="AY6" i="13"/>
  <c r="BC6" i="13"/>
  <c r="AA23" i="13"/>
  <c r="Y27" i="13"/>
  <c r="W28" i="13"/>
  <c r="AA28" i="13"/>
  <c r="AB30" i="13"/>
  <c r="AC30" i="13" s="1"/>
  <c r="Y31" i="13"/>
  <c r="W32" i="13"/>
  <c r="AA32" i="13"/>
  <c r="AB34" i="13"/>
  <c r="AC34" i="13" s="1"/>
  <c r="Y42" i="13"/>
  <c r="W43" i="13"/>
  <c r="AA43" i="13"/>
  <c r="AB45" i="13"/>
  <c r="AC45" i="13" s="1"/>
  <c r="Y46" i="13"/>
  <c r="W47" i="13"/>
  <c r="AA47" i="13"/>
  <c r="Y50" i="13"/>
  <c r="Y51" i="13"/>
  <c r="Y52" i="13"/>
  <c r="AB53" i="13"/>
  <c r="AC53" i="13" s="1"/>
  <c r="AA18" i="13"/>
  <c r="AW6" i="13" s="1"/>
  <c r="BN31" i="13"/>
  <c r="BO31" i="13" s="1"/>
  <c r="BN32" i="13"/>
  <c r="BO32" i="13" s="1"/>
  <c r="AB44" i="13"/>
  <c r="AC44" i="13" s="1"/>
  <c r="X47" i="13"/>
  <c r="AB48" i="13"/>
  <c r="AC48" i="13" s="1"/>
  <c r="BR33" i="13"/>
  <c r="BS33" i="13" s="1"/>
  <c r="X43" i="13"/>
  <c r="BC27" i="13"/>
  <c r="BE3" i="13"/>
  <c r="Y23" i="13"/>
  <c r="AI54" i="12"/>
  <c r="AH54" i="12"/>
  <c r="AG54" i="12"/>
  <c r="AF54" i="12"/>
  <c r="AE54" i="12"/>
  <c r="AI53" i="12"/>
  <c r="AH53" i="12"/>
  <c r="AG53" i="12"/>
  <c r="AF53" i="12"/>
  <c r="AE53" i="12"/>
  <c r="AI52" i="12"/>
  <c r="AH52" i="12"/>
  <c r="AG52" i="12"/>
  <c r="AF52" i="12"/>
  <c r="AE52" i="12"/>
  <c r="AI51" i="12"/>
  <c r="AH51" i="12"/>
  <c r="AG51" i="12"/>
  <c r="AF51" i="12"/>
  <c r="AE51" i="12"/>
  <c r="AI50" i="12"/>
  <c r="AH50" i="12"/>
  <c r="AG50" i="12"/>
  <c r="AF50" i="12"/>
  <c r="AE50" i="12"/>
  <c r="AI49" i="12"/>
  <c r="AH49" i="12"/>
  <c r="AG49" i="12"/>
  <c r="AF49" i="12"/>
  <c r="AE49" i="12"/>
  <c r="AI48" i="12"/>
  <c r="AH48" i="12"/>
  <c r="AG48" i="12"/>
  <c r="AF48" i="12"/>
  <c r="AE48" i="12"/>
  <c r="AI47" i="12"/>
  <c r="AH47" i="12"/>
  <c r="AG47" i="12"/>
  <c r="AF47" i="12"/>
  <c r="AE47" i="12"/>
  <c r="AI46" i="12"/>
  <c r="AH46" i="12"/>
  <c r="AG46" i="12"/>
  <c r="AF46" i="12"/>
  <c r="AE46" i="12"/>
  <c r="AI45" i="12"/>
  <c r="AH45" i="12"/>
  <c r="AG45" i="12"/>
  <c r="AF45" i="12"/>
  <c r="AE45" i="12"/>
  <c r="AI44" i="12"/>
  <c r="AH44" i="12"/>
  <c r="AG44" i="12"/>
  <c r="AF44" i="12"/>
  <c r="AE44" i="12"/>
  <c r="AI43" i="12"/>
  <c r="AH43" i="12"/>
  <c r="AG43" i="12"/>
  <c r="AF43" i="12"/>
  <c r="AE43" i="12"/>
  <c r="AI34" i="12"/>
  <c r="AH34" i="12"/>
  <c r="AG34" i="12"/>
  <c r="AF34" i="12"/>
  <c r="AE34" i="12"/>
  <c r="AI33" i="12"/>
  <c r="AH33" i="12"/>
  <c r="AG33" i="12"/>
  <c r="AF33" i="12"/>
  <c r="AE33" i="12"/>
  <c r="AI32" i="12"/>
  <c r="AH32" i="12"/>
  <c r="AG32" i="12"/>
  <c r="AF32" i="12"/>
  <c r="AE32" i="12"/>
  <c r="AI31" i="12"/>
  <c r="AH31" i="12"/>
  <c r="AG31" i="12"/>
  <c r="AF31" i="12"/>
  <c r="AE31" i="12"/>
  <c r="AI30" i="12"/>
  <c r="AH30" i="12"/>
  <c r="AG30" i="12"/>
  <c r="AF30" i="12"/>
  <c r="AE30" i="12"/>
  <c r="AI29" i="12"/>
  <c r="AH29" i="12"/>
  <c r="AG29" i="12"/>
  <c r="AF29" i="12"/>
  <c r="AE29" i="12"/>
  <c r="AI28" i="12"/>
  <c r="AH28" i="12"/>
  <c r="AG28" i="12"/>
  <c r="AF28" i="12"/>
  <c r="AE28" i="12"/>
  <c r="AI27" i="12"/>
  <c r="AH27" i="12"/>
  <c r="AG27" i="12"/>
  <c r="AF27" i="12"/>
  <c r="AE27" i="12"/>
  <c r="AI26" i="12"/>
  <c r="AH26" i="12"/>
  <c r="AG26" i="12"/>
  <c r="AF26" i="12"/>
  <c r="AE26" i="12"/>
  <c r="AI25" i="12"/>
  <c r="AH25" i="12"/>
  <c r="AG25" i="12"/>
  <c r="AF25" i="12"/>
  <c r="AE25" i="12"/>
  <c r="AI24" i="12"/>
  <c r="AH24" i="12"/>
  <c r="AG24" i="12"/>
  <c r="AF24" i="12"/>
  <c r="AE24" i="12"/>
  <c r="AI23" i="12"/>
  <c r="AH23" i="12"/>
  <c r="AG23" i="12"/>
  <c r="AF23" i="12"/>
  <c r="AE23" i="12"/>
  <c r="AI18" i="12"/>
  <c r="AH18" i="12"/>
  <c r="AG18" i="12"/>
  <c r="AF18" i="12"/>
  <c r="AE18" i="12"/>
  <c r="AI17" i="12"/>
  <c r="AH17" i="12"/>
  <c r="AG17" i="12"/>
  <c r="AF17" i="12"/>
  <c r="AE17" i="12"/>
  <c r="AI16" i="12"/>
  <c r="AH16" i="12"/>
  <c r="AG16" i="12"/>
  <c r="AF16" i="12"/>
  <c r="AE16" i="12"/>
  <c r="AI15" i="12"/>
  <c r="AH15" i="12"/>
  <c r="AG15" i="12"/>
  <c r="AF15" i="12"/>
  <c r="AE15" i="12"/>
  <c r="AI10" i="12"/>
  <c r="AH10" i="12"/>
  <c r="AG10" i="12"/>
  <c r="AF10" i="12"/>
  <c r="AE10" i="12"/>
  <c r="AI9" i="12"/>
  <c r="AH9" i="12"/>
  <c r="AG9" i="12"/>
  <c r="AF9" i="12"/>
  <c r="AE9" i="12"/>
  <c r="AI8" i="12"/>
  <c r="AH8" i="12"/>
  <c r="AG8" i="12"/>
  <c r="AF8" i="12"/>
  <c r="AE8" i="12"/>
  <c r="AI7" i="12"/>
  <c r="AH7" i="12"/>
  <c r="AG7" i="12"/>
  <c r="AF7" i="12"/>
  <c r="AE7" i="12"/>
  <c r="BA34" i="16" l="1"/>
  <c r="BB47" i="16" s="1"/>
  <c r="BA30" i="16"/>
  <c r="BB43" i="16" s="1"/>
  <c r="BA57" i="15"/>
  <c r="AC16" i="15"/>
  <c r="AZ56" i="15"/>
  <c r="AC15" i="15"/>
  <c r="BA59" i="15"/>
  <c r="AC26" i="15"/>
  <c r="AS5" i="14"/>
  <c r="BR32" i="14"/>
  <c r="BS32" i="14" s="1"/>
  <c r="AS35" i="14"/>
  <c r="AU36" i="14"/>
  <c r="AS4" i="14"/>
  <c r="AS29" i="14"/>
  <c r="AS12" i="14"/>
  <c r="AT4" i="14"/>
  <c r="AS34" i="14"/>
  <c r="AT34" i="14"/>
  <c r="BJ34" i="14"/>
  <c r="BK34" i="14" s="1"/>
  <c r="AS11" i="14"/>
  <c r="AB32" i="14"/>
  <c r="AC32" i="14" s="1"/>
  <c r="AU30" i="14"/>
  <c r="AW28" i="14"/>
  <c r="AT6" i="14"/>
  <c r="AB43" i="14"/>
  <c r="AC43" i="14" s="1"/>
  <c r="AU6" i="14"/>
  <c r="AV36" i="13"/>
  <c r="AV30" i="13"/>
  <c r="AB29" i="13"/>
  <c r="AC29" i="13" s="1"/>
  <c r="AB33" i="13"/>
  <c r="AC33" i="13" s="1"/>
  <c r="AB8" i="13"/>
  <c r="AC8" i="13" s="1"/>
  <c r="AV14" i="13"/>
  <c r="BN30" i="13"/>
  <c r="BN33" i="13"/>
  <c r="BO33" i="13" s="1"/>
  <c r="AS14" i="13"/>
  <c r="AZ41" i="15"/>
  <c r="BJ36" i="15"/>
  <c r="AB54" i="14"/>
  <c r="AC54" i="14" s="1"/>
  <c r="AV28" i="13"/>
  <c r="BJ37" i="15"/>
  <c r="BK27" i="15"/>
  <c r="BR30" i="13"/>
  <c r="AZ41" i="16"/>
  <c r="BB41" i="16"/>
  <c r="BA27" i="15"/>
  <c r="BB40" i="15" s="1"/>
  <c r="BB43" i="15"/>
  <c r="BB45" i="15"/>
  <c r="BF37" i="15"/>
  <c r="BF36" i="15"/>
  <c r="BF34" i="14"/>
  <c r="BG34" i="14" s="1"/>
  <c r="BN28" i="14"/>
  <c r="BO28" i="14" s="1"/>
  <c r="BF32" i="14"/>
  <c r="BG32" i="14" s="1"/>
  <c r="BR32" i="13"/>
  <c r="BS32" i="13" s="1"/>
  <c r="AZ36" i="15"/>
  <c r="BA57" i="16"/>
  <c r="AZ57" i="15"/>
  <c r="BJ36" i="16"/>
  <c r="AZ57" i="16"/>
  <c r="AZ46" i="16"/>
  <c r="BA33" i="16"/>
  <c r="BB46" i="16" s="1"/>
  <c r="AZ37" i="16"/>
  <c r="AZ36" i="16"/>
  <c r="BA27" i="16"/>
  <c r="BB40" i="16" s="1"/>
  <c r="AZ40" i="16"/>
  <c r="BJ37" i="16"/>
  <c r="BA56" i="16"/>
  <c r="AZ56" i="16"/>
  <c r="BF36" i="16"/>
  <c r="BF37" i="16"/>
  <c r="BG27" i="16"/>
  <c r="AZ44" i="16"/>
  <c r="BA31" i="16"/>
  <c r="BB44" i="16" s="1"/>
  <c r="AZ37" i="15"/>
  <c r="BR37" i="15"/>
  <c r="AZ59" i="15"/>
  <c r="BN37" i="15"/>
  <c r="BN36" i="15"/>
  <c r="BO27" i="15"/>
  <c r="BA58" i="15"/>
  <c r="AZ58" i="15"/>
  <c r="BA31" i="15"/>
  <c r="BB44" i="15" s="1"/>
  <c r="AZ44" i="15"/>
  <c r="AZ46" i="15"/>
  <c r="BA33" i="15"/>
  <c r="BB46" i="15" s="1"/>
  <c r="BA29" i="15"/>
  <c r="BB42" i="15" s="1"/>
  <c r="AZ42" i="15"/>
  <c r="BR36" i="15"/>
  <c r="AB44" i="14"/>
  <c r="AC44" i="14" s="1"/>
  <c r="AV27" i="14"/>
  <c r="AT30" i="13"/>
  <c r="AT6" i="13"/>
  <c r="AW5" i="13"/>
  <c r="AT14" i="13"/>
  <c r="AB25" i="13"/>
  <c r="AC25" i="13" s="1"/>
  <c r="AT36" i="13"/>
  <c r="AB26" i="13"/>
  <c r="AC26" i="13" s="1"/>
  <c r="AT13" i="13"/>
  <c r="AT35" i="13"/>
  <c r="BN28" i="13"/>
  <c r="BO28" i="13" s="1"/>
  <c r="AT29" i="13"/>
  <c r="AU14" i="13"/>
  <c r="AB8" i="14"/>
  <c r="AC8" i="14" s="1"/>
  <c r="AZ27" i="14"/>
  <c r="BA27" i="14" s="1"/>
  <c r="AU30" i="13"/>
  <c r="AU6" i="13"/>
  <c r="BR34" i="13"/>
  <c r="BS34" i="13" s="1"/>
  <c r="AB9" i="13"/>
  <c r="AC9" i="13" s="1"/>
  <c r="AB23" i="13"/>
  <c r="AC23" i="13" s="1"/>
  <c r="AU5" i="13"/>
  <c r="AB15" i="13"/>
  <c r="AC15" i="13" s="1"/>
  <c r="AW12" i="14"/>
  <c r="AT36" i="14"/>
  <c r="BN27" i="14"/>
  <c r="AV33" i="14"/>
  <c r="AW34" i="14"/>
  <c r="BF31" i="14"/>
  <c r="BG31" i="14" s="1"/>
  <c r="AW11" i="14"/>
  <c r="AW3" i="14"/>
  <c r="AV3" i="14"/>
  <c r="AB50" i="14"/>
  <c r="AC50" i="14" s="1"/>
  <c r="AZ33" i="14"/>
  <c r="BA33" i="14" s="1"/>
  <c r="AV34" i="13"/>
  <c r="AW29" i="13"/>
  <c r="AT12" i="13"/>
  <c r="AW35" i="13"/>
  <c r="AS29" i="13"/>
  <c r="AB53" i="14"/>
  <c r="AC53" i="14" s="1"/>
  <c r="AZ34" i="14"/>
  <c r="AZ47" i="14" s="1"/>
  <c r="AV5" i="14"/>
  <c r="AV29" i="14"/>
  <c r="BJ33" i="14"/>
  <c r="BK33" i="14" s="1"/>
  <c r="AT34" i="13"/>
  <c r="BJ32" i="14"/>
  <c r="BK32" i="14" s="1"/>
  <c r="AV12" i="14"/>
  <c r="AZ32" i="14"/>
  <c r="AZ45" i="14" s="1"/>
  <c r="AU12" i="13"/>
  <c r="AU4" i="13"/>
  <c r="AW27" i="14"/>
  <c r="AW33" i="14"/>
  <c r="BJ31" i="14"/>
  <c r="BK31" i="14" s="1"/>
  <c r="AU12" i="14"/>
  <c r="AS34" i="13"/>
  <c r="AW12" i="13"/>
  <c r="AW28" i="13"/>
  <c r="AV33" i="13"/>
  <c r="AV35" i="14"/>
  <c r="AB17" i="14"/>
  <c r="AC17" i="14" s="1"/>
  <c r="AB16" i="14"/>
  <c r="AC16" i="14" s="1"/>
  <c r="BJ28" i="14"/>
  <c r="BK28" i="14" s="1"/>
  <c r="AS30" i="13"/>
  <c r="AS6" i="13"/>
  <c r="AV3" i="13"/>
  <c r="AW36" i="13"/>
  <c r="AT33" i="13"/>
  <c r="BF28" i="13"/>
  <c r="BG28" i="13" s="1"/>
  <c r="AV13" i="14"/>
  <c r="AZ30" i="14"/>
  <c r="AU28" i="14"/>
  <c r="AV28" i="14"/>
  <c r="AU3" i="14"/>
  <c r="BJ30" i="14"/>
  <c r="BK30" i="14" s="1"/>
  <c r="AZ29" i="14"/>
  <c r="BF29" i="14"/>
  <c r="BG29" i="14" s="1"/>
  <c r="AB23" i="14"/>
  <c r="AZ28" i="14"/>
  <c r="AS3" i="14"/>
  <c r="AU34" i="14"/>
  <c r="AV34" i="14"/>
  <c r="BR37" i="14"/>
  <c r="BR36" i="14"/>
  <c r="BS27" i="14"/>
  <c r="AU11" i="14"/>
  <c r="BK27" i="14"/>
  <c r="AZ31" i="14"/>
  <c r="AU4" i="14"/>
  <c r="AV4" i="14"/>
  <c r="BA59" i="14"/>
  <c r="AZ59" i="14"/>
  <c r="AU27" i="14"/>
  <c r="BA56" i="14"/>
  <c r="BG27" i="14"/>
  <c r="AB28" i="14"/>
  <c r="AC28" i="14" s="1"/>
  <c r="AU35" i="14"/>
  <c r="AU13" i="14"/>
  <c r="AU29" i="14"/>
  <c r="AU5" i="14"/>
  <c r="AS33" i="14"/>
  <c r="AB9" i="14"/>
  <c r="AC9" i="14" s="1"/>
  <c r="AS28" i="13"/>
  <c r="BK27" i="13"/>
  <c r="AS13" i="13"/>
  <c r="BF29" i="13"/>
  <c r="BG29" i="13" s="1"/>
  <c r="AU29" i="13"/>
  <c r="AT11" i="13"/>
  <c r="AW4" i="13"/>
  <c r="AV4" i="13"/>
  <c r="AT4" i="13"/>
  <c r="AW33" i="13"/>
  <c r="AW27" i="13"/>
  <c r="AW11" i="13"/>
  <c r="AW3" i="13"/>
  <c r="AT3" i="13"/>
  <c r="AW30" i="13"/>
  <c r="AU35" i="13"/>
  <c r="AB18" i="13"/>
  <c r="AC18" i="13" s="1"/>
  <c r="BF31" i="13"/>
  <c r="BG31" i="13" s="1"/>
  <c r="AB31" i="13"/>
  <c r="AC31" i="13" s="1"/>
  <c r="AZ31" i="13"/>
  <c r="AS35" i="13"/>
  <c r="AU28" i="13"/>
  <c r="AZ29" i="13"/>
  <c r="BJ28" i="13"/>
  <c r="BK28" i="13" s="1"/>
  <c r="AB16" i="13"/>
  <c r="AC16" i="13" s="1"/>
  <c r="AV13" i="13"/>
  <c r="AV11" i="13"/>
  <c r="AB43" i="13"/>
  <c r="AC43" i="13" s="1"/>
  <c r="BJ32" i="13"/>
  <c r="BK32" i="13" s="1"/>
  <c r="AU13" i="13"/>
  <c r="AV35" i="13"/>
  <c r="AW34" i="13"/>
  <c r="BJ34" i="13"/>
  <c r="BK34" i="13" s="1"/>
  <c r="AB51" i="13"/>
  <c r="AC51" i="13" s="1"/>
  <c r="BF30" i="13"/>
  <c r="BG30" i="13" s="1"/>
  <c r="AB27" i="13"/>
  <c r="AC27" i="13" s="1"/>
  <c r="AZ30" i="13"/>
  <c r="BS27" i="13"/>
  <c r="AV12" i="13"/>
  <c r="AT28" i="13"/>
  <c r="AS11" i="13"/>
  <c r="AB7" i="13"/>
  <c r="AC7" i="13" s="1"/>
  <c r="AS33" i="13"/>
  <c r="BF27" i="13"/>
  <c r="AS27" i="13"/>
  <c r="AS3" i="13"/>
  <c r="AZ27" i="13"/>
  <c r="BR28" i="13"/>
  <c r="BS28" i="13" s="1"/>
  <c r="AB46" i="13"/>
  <c r="AC46" i="13" s="1"/>
  <c r="BF33" i="13"/>
  <c r="AZ33" i="13"/>
  <c r="AW13" i="13"/>
  <c r="AU34" i="13"/>
  <c r="AV29" i="13"/>
  <c r="AV27" i="13"/>
  <c r="AB47" i="13"/>
  <c r="AC47" i="13" s="1"/>
  <c r="BJ33" i="13"/>
  <c r="AB32" i="13"/>
  <c r="AC32" i="13" s="1"/>
  <c r="BJ31" i="13"/>
  <c r="BK31" i="13" s="1"/>
  <c r="AB28" i="13"/>
  <c r="AC28" i="13" s="1"/>
  <c r="BJ30" i="13"/>
  <c r="BK30" i="13" s="1"/>
  <c r="AZ28" i="13"/>
  <c r="AB52" i="13"/>
  <c r="AC52" i="13" s="1"/>
  <c r="BN34" i="13"/>
  <c r="BO34" i="13" s="1"/>
  <c r="AZ34" i="13"/>
  <c r="AB50" i="13"/>
  <c r="AC50" i="13" s="1"/>
  <c r="BF34" i="13"/>
  <c r="BG34" i="13" s="1"/>
  <c r="BF32" i="13"/>
  <c r="BG32" i="13" s="1"/>
  <c r="AB42" i="13"/>
  <c r="AC42" i="13" s="1"/>
  <c r="AZ32" i="13"/>
  <c r="AS4" i="13"/>
  <c r="AS12" i="13"/>
  <c r="AT27" i="13"/>
  <c r="AW14" i="13"/>
  <c r="AB17" i="13"/>
  <c r="AC17" i="13" s="1"/>
  <c r="BO27" i="13"/>
  <c r="AU33" i="13"/>
  <c r="AU27" i="13"/>
  <c r="AU11" i="13"/>
  <c r="AU3" i="13"/>
  <c r="AV5" i="13"/>
  <c r="U54" i="12"/>
  <c r="S54" i="12"/>
  <c r="AA54" i="12" s="1"/>
  <c r="R54" i="12"/>
  <c r="Z54" i="12" s="1"/>
  <c r="Q54" i="12"/>
  <c r="P54" i="12"/>
  <c r="O54" i="12"/>
  <c r="U53" i="12"/>
  <c r="S53" i="12"/>
  <c r="R53" i="12"/>
  <c r="Q53" i="12"/>
  <c r="P53" i="12"/>
  <c r="X53" i="12" s="1"/>
  <c r="O53" i="12"/>
  <c r="U52" i="12"/>
  <c r="S52" i="12"/>
  <c r="AA52" i="12" s="1"/>
  <c r="R52" i="12"/>
  <c r="Q52" i="12"/>
  <c r="P52" i="12"/>
  <c r="X52" i="12" s="1"/>
  <c r="O52" i="12"/>
  <c r="W52" i="12" s="1"/>
  <c r="U51" i="12"/>
  <c r="S51" i="12"/>
  <c r="R51" i="12"/>
  <c r="Q51" i="12"/>
  <c r="P51" i="12"/>
  <c r="O51" i="12"/>
  <c r="U50" i="12"/>
  <c r="S50" i="12"/>
  <c r="AA50" i="12" s="1"/>
  <c r="R50" i="12"/>
  <c r="Q50" i="12"/>
  <c r="P50" i="12"/>
  <c r="X50" i="12" s="1"/>
  <c r="O50" i="12"/>
  <c r="W50" i="12" s="1"/>
  <c r="U49" i="12"/>
  <c r="S49" i="12"/>
  <c r="R49" i="12"/>
  <c r="Q49" i="12"/>
  <c r="P49" i="12"/>
  <c r="X49" i="12" s="1"/>
  <c r="O49" i="12"/>
  <c r="U48" i="12"/>
  <c r="S48" i="12"/>
  <c r="AA48" i="12" s="1"/>
  <c r="R48" i="12"/>
  <c r="Q48" i="12"/>
  <c r="P48" i="12"/>
  <c r="X48" i="12" s="1"/>
  <c r="O48" i="12"/>
  <c r="W48" i="12" s="1"/>
  <c r="U47" i="12"/>
  <c r="S47" i="12"/>
  <c r="AA47" i="12" s="1"/>
  <c r="R47" i="12"/>
  <c r="Q47" i="12"/>
  <c r="Y47" i="12" s="1"/>
  <c r="P47" i="12"/>
  <c r="X47" i="12" s="1"/>
  <c r="O47" i="12"/>
  <c r="W47" i="12" s="1"/>
  <c r="U46" i="12"/>
  <c r="S46" i="12"/>
  <c r="AA46" i="12" s="1"/>
  <c r="R46" i="12"/>
  <c r="Q46" i="12"/>
  <c r="P46" i="12"/>
  <c r="O46" i="12"/>
  <c r="U45" i="12"/>
  <c r="S45" i="12"/>
  <c r="R45" i="12"/>
  <c r="Q45" i="12"/>
  <c r="P45" i="12"/>
  <c r="X45" i="12" s="1"/>
  <c r="O45" i="12"/>
  <c r="U44" i="12"/>
  <c r="S44" i="12"/>
  <c r="AA44" i="12" s="1"/>
  <c r="R44" i="12"/>
  <c r="Q44" i="12"/>
  <c r="P44" i="12"/>
  <c r="X44" i="12" s="1"/>
  <c r="O44" i="12"/>
  <c r="W44" i="12" s="1"/>
  <c r="U43" i="12"/>
  <c r="S43" i="12"/>
  <c r="R43" i="12"/>
  <c r="Q43" i="12"/>
  <c r="P43" i="12"/>
  <c r="O43" i="12"/>
  <c r="U34" i="12"/>
  <c r="S34" i="12"/>
  <c r="R34" i="12"/>
  <c r="Q34" i="12"/>
  <c r="Y34" i="12" s="1"/>
  <c r="P34" i="12"/>
  <c r="X34" i="12" s="1"/>
  <c r="O34" i="12"/>
  <c r="W34" i="12" s="1"/>
  <c r="U33" i="12"/>
  <c r="S33" i="12"/>
  <c r="R33" i="12"/>
  <c r="Q33" i="12"/>
  <c r="P33" i="12"/>
  <c r="X33" i="12" s="1"/>
  <c r="O33" i="12"/>
  <c r="U32" i="12"/>
  <c r="S32" i="12"/>
  <c r="AA32" i="12" s="1"/>
  <c r="R32" i="12"/>
  <c r="Q32" i="12"/>
  <c r="P32" i="12"/>
  <c r="X32" i="12" s="1"/>
  <c r="O32" i="12"/>
  <c r="W32" i="12" s="1"/>
  <c r="U31" i="12"/>
  <c r="S31" i="12"/>
  <c r="AA31" i="12" s="1"/>
  <c r="R31" i="12"/>
  <c r="Q31" i="12"/>
  <c r="Y31" i="12" s="1"/>
  <c r="P31" i="12"/>
  <c r="X31" i="12" s="1"/>
  <c r="O31" i="12"/>
  <c r="W31" i="12" s="1"/>
  <c r="U30" i="12"/>
  <c r="S30" i="12"/>
  <c r="AA30" i="12" s="1"/>
  <c r="R30" i="12"/>
  <c r="Q30" i="12"/>
  <c r="P30" i="12"/>
  <c r="O30" i="12"/>
  <c r="U29" i="12"/>
  <c r="S29" i="12"/>
  <c r="R29" i="12"/>
  <c r="Q29" i="12"/>
  <c r="P29" i="12"/>
  <c r="X29" i="12" s="1"/>
  <c r="O29" i="12"/>
  <c r="U28" i="12"/>
  <c r="S28" i="12"/>
  <c r="AA28" i="12" s="1"/>
  <c r="R28" i="12"/>
  <c r="Q28" i="12"/>
  <c r="P28" i="12"/>
  <c r="X28" i="12" s="1"/>
  <c r="O28" i="12"/>
  <c r="W28" i="12" s="1"/>
  <c r="U27" i="12"/>
  <c r="S27" i="12"/>
  <c r="R27" i="12"/>
  <c r="Q27" i="12"/>
  <c r="P27" i="12"/>
  <c r="O27" i="12"/>
  <c r="U26" i="12"/>
  <c r="S26" i="12"/>
  <c r="R26" i="12"/>
  <c r="Z26" i="12" s="1"/>
  <c r="Q26" i="12"/>
  <c r="Y26" i="12" s="1"/>
  <c r="P26" i="12"/>
  <c r="X26" i="12" s="1"/>
  <c r="O26" i="12"/>
  <c r="W26" i="12" s="1"/>
  <c r="U25" i="12"/>
  <c r="S25" i="12"/>
  <c r="R25" i="12"/>
  <c r="Q25" i="12"/>
  <c r="P25" i="12"/>
  <c r="X25" i="12" s="1"/>
  <c r="O25" i="12"/>
  <c r="U24" i="12"/>
  <c r="S24" i="12"/>
  <c r="R24" i="12"/>
  <c r="Q24" i="12"/>
  <c r="P24" i="12"/>
  <c r="O24" i="12"/>
  <c r="U23" i="12"/>
  <c r="S23" i="12"/>
  <c r="AA23" i="12" s="1"/>
  <c r="R23" i="12"/>
  <c r="Q23" i="12"/>
  <c r="Y23" i="12" s="1"/>
  <c r="P23" i="12"/>
  <c r="X23" i="12" s="1"/>
  <c r="O23" i="12"/>
  <c r="W23" i="12" s="1"/>
  <c r="U18" i="12"/>
  <c r="S18" i="12"/>
  <c r="AA18" i="12" s="1"/>
  <c r="R18" i="12"/>
  <c r="Q18" i="12"/>
  <c r="Y18" i="12" s="1"/>
  <c r="P18" i="12"/>
  <c r="O18" i="12"/>
  <c r="U17" i="12"/>
  <c r="S17" i="12"/>
  <c r="R17" i="12"/>
  <c r="Q17" i="12"/>
  <c r="P17" i="12"/>
  <c r="X17" i="12" s="1"/>
  <c r="O17" i="12"/>
  <c r="U16" i="12"/>
  <c r="S16" i="12"/>
  <c r="AA16" i="12" s="1"/>
  <c r="R16" i="12"/>
  <c r="Q16" i="12"/>
  <c r="Y16" i="12" s="1"/>
  <c r="P16" i="12"/>
  <c r="X16" i="12" s="1"/>
  <c r="O16" i="12"/>
  <c r="W16" i="12" s="1"/>
  <c r="U15" i="12"/>
  <c r="S15" i="12"/>
  <c r="R15" i="12"/>
  <c r="Q15" i="12"/>
  <c r="P15" i="12"/>
  <c r="O15" i="12"/>
  <c r="U10" i="12"/>
  <c r="S10" i="12"/>
  <c r="AA10" i="12" s="1"/>
  <c r="R10" i="12"/>
  <c r="Q10" i="12"/>
  <c r="Y10" i="12" s="1"/>
  <c r="P10" i="12"/>
  <c r="X10" i="12" s="1"/>
  <c r="O10" i="12"/>
  <c r="W10" i="12" s="1"/>
  <c r="U9" i="12"/>
  <c r="S9" i="12"/>
  <c r="R9" i="12"/>
  <c r="Q9" i="12"/>
  <c r="P9" i="12"/>
  <c r="X9" i="12" s="1"/>
  <c r="O9" i="12"/>
  <c r="U8" i="12"/>
  <c r="S8" i="12"/>
  <c r="AA8" i="12" s="1"/>
  <c r="R8" i="12"/>
  <c r="Q8" i="12"/>
  <c r="P8" i="12"/>
  <c r="X8" i="12" s="1"/>
  <c r="O8" i="12"/>
  <c r="W8" i="12" s="1"/>
  <c r="U7" i="12"/>
  <c r="S7" i="12"/>
  <c r="R7" i="12"/>
  <c r="Z7" i="12" s="1"/>
  <c r="Q7" i="12"/>
  <c r="P7" i="12"/>
  <c r="X7" i="12" s="1"/>
  <c r="O7" i="12"/>
  <c r="BN37" i="14" l="1"/>
  <c r="AZ40" i="14"/>
  <c r="AZ56" i="14"/>
  <c r="AC23" i="14"/>
  <c r="BS30" i="13"/>
  <c r="BK33" i="13"/>
  <c r="BN37" i="13"/>
  <c r="BO30" i="13"/>
  <c r="BG33" i="13"/>
  <c r="W15" i="12"/>
  <c r="W27" i="12"/>
  <c r="W43" i="12"/>
  <c r="W51" i="12"/>
  <c r="X43" i="12"/>
  <c r="X51" i="12"/>
  <c r="X15" i="12"/>
  <c r="X27" i="12"/>
  <c r="Y15" i="12"/>
  <c r="Y27" i="12"/>
  <c r="W46" i="12"/>
  <c r="W54" i="12"/>
  <c r="X18" i="12"/>
  <c r="X30" i="12"/>
  <c r="X46" i="12"/>
  <c r="X54" i="12"/>
  <c r="AB54" i="12" s="1"/>
  <c r="AC54" i="12" s="1"/>
  <c r="W18" i="12"/>
  <c r="W30" i="12"/>
  <c r="Y43" i="12"/>
  <c r="Y51" i="12"/>
  <c r="AA15" i="12"/>
  <c r="AA27" i="12"/>
  <c r="Y30" i="12"/>
  <c r="AA43" i="12"/>
  <c r="Y46" i="12"/>
  <c r="AA51" i="12"/>
  <c r="Y54" i="12"/>
  <c r="BA59" i="13"/>
  <c r="AZ46" i="14"/>
  <c r="AZ52" i="15"/>
  <c r="AZ53" i="15"/>
  <c r="AZ50" i="15"/>
  <c r="AZ53" i="16"/>
  <c r="AZ52" i="16"/>
  <c r="AZ51" i="16"/>
  <c r="AZ50" i="16"/>
  <c r="AZ51" i="15"/>
  <c r="BA32" i="14"/>
  <c r="BF36" i="14"/>
  <c r="BF37" i="14"/>
  <c r="AZ57" i="14"/>
  <c r="BO27" i="14"/>
  <c r="BN36" i="14"/>
  <c r="BA58" i="13"/>
  <c r="BA34" i="14"/>
  <c r="BN36" i="13"/>
  <c r="BJ37" i="14"/>
  <c r="BJ36" i="14"/>
  <c r="BA57" i="13"/>
  <c r="AZ57" i="13"/>
  <c r="BR37" i="13"/>
  <c r="BA58" i="14"/>
  <c r="AZ58" i="14"/>
  <c r="BA28" i="14"/>
  <c r="AZ41" i="14"/>
  <c r="BA57" i="14"/>
  <c r="AZ37" i="14"/>
  <c r="BA31" i="14"/>
  <c r="AZ44" i="14"/>
  <c r="AZ43" i="14"/>
  <c r="BA30" i="14"/>
  <c r="AZ42" i="14"/>
  <c r="BA29" i="14"/>
  <c r="AZ36" i="14"/>
  <c r="BA28" i="13"/>
  <c r="AZ41" i="13"/>
  <c r="AZ44" i="13"/>
  <c r="BA31" i="13"/>
  <c r="BA34" i="13"/>
  <c r="AZ47" i="13"/>
  <c r="BA30" i="13"/>
  <c r="AZ43" i="13"/>
  <c r="AZ58" i="13"/>
  <c r="AZ42" i="13"/>
  <c r="BA29" i="13"/>
  <c r="BJ37" i="13"/>
  <c r="BA56" i="13"/>
  <c r="AZ56" i="13"/>
  <c r="BJ36" i="13"/>
  <c r="BF36" i="13"/>
  <c r="BF37" i="13"/>
  <c r="BG27" i="13"/>
  <c r="BR36" i="13"/>
  <c r="AZ59" i="13"/>
  <c r="AZ45" i="13"/>
  <c r="BA32" i="13"/>
  <c r="AZ46" i="13"/>
  <c r="BA33" i="13"/>
  <c r="AZ36" i="13"/>
  <c r="BA27" i="13"/>
  <c r="AZ37" i="13"/>
  <c r="AZ40" i="13"/>
  <c r="Y9" i="12"/>
  <c r="Y17" i="12"/>
  <c r="Y29" i="12"/>
  <c r="Y49" i="12"/>
  <c r="Y53" i="12"/>
  <c r="Y8" i="12"/>
  <c r="Z25" i="12"/>
  <c r="AA26" i="12"/>
  <c r="AB26" i="12" s="1"/>
  <c r="AC26" i="12" s="1"/>
  <c r="Y28" i="12"/>
  <c r="Y32" i="12"/>
  <c r="Y44" i="12"/>
  <c r="Y48" i="12"/>
  <c r="Z49" i="12"/>
  <c r="Y52" i="12"/>
  <c r="Y25" i="12"/>
  <c r="Y33" i="12"/>
  <c r="Y45" i="12"/>
  <c r="W9" i="12"/>
  <c r="AA9" i="12"/>
  <c r="W17" i="12"/>
  <c r="AA17" i="12"/>
  <c r="Z24" i="12"/>
  <c r="W29" i="12"/>
  <c r="AA29" i="12"/>
  <c r="W33" i="12"/>
  <c r="AA33" i="12"/>
  <c r="W45" i="12"/>
  <c r="AA45" i="12"/>
  <c r="Z48" i="12"/>
  <c r="W49" i="12"/>
  <c r="AA49" i="12"/>
  <c r="Z52" i="12"/>
  <c r="W53" i="12"/>
  <c r="AA53" i="12"/>
  <c r="Z27" i="12"/>
  <c r="AB27" i="12" s="1"/>
  <c r="AC27" i="12" s="1"/>
  <c r="Z31" i="12"/>
  <c r="AB31" i="12" s="1"/>
  <c r="AC31" i="12" s="1"/>
  <c r="Z53" i="12"/>
  <c r="Z51" i="12"/>
  <c r="Y50" i="12"/>
  <c r="Z47" i="12"/>
  <c r="AB47" i="12" s="1"/>
  <c r="AC47" i="12" s="1"/>
  <c r="Z43" i="12"/>
  <c r="Z46" i="12"/>
  <c r="Z45" i="12"/>
  <c r="Z44" i="12"/>
  <c r="AA34" i="12"/>
  <c r="Z34" i="12"/>
  <c r="Z33" i="12"/>
  <c r="Z32" i="12"/>
  <c r="Z30" i="12"/>
  <c r="AB30" i="12" s="1"/>
  <c r="AC30" i="12" s="1"/>
  <c r="Z29" i="12"/>
  <c r="Z28" i="12"/>
  <c r="Y24" i="12"/>
  <c r="Z23" i="12"/>
  <c r="AB23" i="12" s="1"/>
  <c r="AC23" i="12" s="1"/>
  <c r="Z16" i="12"/>
  <c r="AB16" i="12" s="1"/>
  <c r="AC16" i="12" s="1"/>
  <c r="Z18" i="12"/>
  <c r="Z17" i="12"/>
  <c r="Z15" i="12"/>
  <c r="Z10" i="12"/>
  <c r="AB10" i="12" s="1"/>
  <c r="AC10" i="12" s="1"/>
  <c r="Z9" i="12"/>
  <c r="Z8" i="12"/>
  <c r="AB8" i="12" s="1"/>
  <c r="AC8" i="12" s="1"/>
  <c r="W7" i="12"/>
  <c r="AA7" i="12"/>
  <c r="X24" i="12"/>
  <c r="W25" i="12"/>
  <c r="AA25" i="12"/>
  <c r="Y7" i="12"/>
  <c r="W24" i="12"/>
  <c r="AA24" i="12"/>
  <c r="Z50" i="12"/>
  <c r="AB15" i="12" l="1"/>
  <c r="AC15" i="12" s="1"/>
  <c r="AB51" i="12"/>
  <c r="AC51" i="12" s="1"/>
  <c r="AB46" i="12"/>
  <c r="AC46" i="12" s="1"/>
  <c r="AB18" i="12"/>
  <c r="AC18" i="12" s="1"/>
  <c r="AB28" i="12"/>
  <c r="AC28" i="12" s="1"/>
  <c r="AB17" i="12"/>
  <c r="AC17" i="12" s="1"/>
  <c r="AB52" i="12"/>
  <c r="AC52" i="12" s="1"/>
  <c r="AB32" i="12"/>
  <c r="AC32" i="12" s="1"/>
  <c r="AZ53" i="14"/>
  <c r="AZ50" i="14"/>
  <c r="AZ51" i="14"/>
  <c r="AZ52" i="14"/>
  <c r="AZ52" i="13"/>
  <c r="AZ51" i="13"/>
  <c r="AZ53" i="13"/>
  <c r="AZ50" i="13"/>
  <c r="AB9" i="12"/>
  <c r="AC9" i="12" s="1"/>
  <c r="AB43" i="12"/>
  <c r="AC43" i="12" s="1"/>
  <c r="AB33" i="12"/>
  <c r="AC33" i="12" s="1"/>
  <c r="AB48" i="12"/>
  <c r="AC48" i="12" s="1"/>
  <c r="AB49" i="12"/>
  <c r="AC49" i="12" s="1"/>
  <c r="AB53" i="12"/>
  <c r="AC53" i="12" s="1"/>
  <c r="AB45" i="12"/>
  <c r="AC45" i="12" s="1"/>
  <c r="AB44" i="12"/>
  <c r="AC44" i="12" s="1"/>
  <c r="AB34" i="12"/>
  <c r="AC34" i="12" s="1"/>
  <c r="AB7" i="12"/>
  <c r="AC7" i="12" s="1"/>
  <c r="AB29" i="12"/>
  <c r="AC29" i="12" s="1"/>
  <c r="AB25" i="12"/>
  <c r="AC25" i="12" s="1"/>
  <c r="AB24" i="12"/>
  <c r="AC24" i="12" s="1"/>
  <c r="AB50" i="12"/>
  <c r="AC50" i="12" s="1"/>
</calcChain>
</file>

<file path=xl/sharedStrings.xml><?xml version="1.0" encoding="utf-8"?>
<sst xmlns="http://schemas.openxmlformats.org/spreadsheetml/2006/main" count="1281" uniqueCount="60">
  <si>
    <t>SBP_7feats.svl</t>
  </si>
  <si>
    <t>Hits</t>
  </si>
  <si>
    <t>Actives</t>
  </si>
  <si>
    <t>Active Rate</t>
  </si>
  <si>
    <t>DB Active</t>
  </si>
  <si>
    <t>Enrichment</t>
  </si>
  <si>
    <t>GH</t>
  </si>
  <si>
    <t>avg active rate</t>
  </si>
  <si>
    <t>avg enrichment</t>
  </si>
  <si>
    <t>avg. GH</t>
  </si>
  <si>
    <t>max GH</t>
  </si>
  <si>
    <t>3 Features</t>
  </si>
  <si>
    <t>4 Features</t>
  </si>
  <si>
    <t>5 Features</t>
  </si>
  <si>
    <t>6 Features</t>
  </si>
  <si>
    <t>7 Features</t>
  </si>
  <si>
    <t>3 Feats.</t>
  </si>
  <si>
    <t>4 Feats.</t>
  </si>
  <si>
    <t>5 Feats.</t>
  </si>
  <si>
    <t>6 Feats.</t>
  </si>
  <si>
    <t>7 Feats.</t>
  </si>
  <si>
    <t>3 feats</t>
  </si>
  <si>
    <t>4 feats</t>
  </si>
  <si>
    <t>5 feats</t>
  </si>
  <si>
    <t>6 feats</t>
  </si>
  <si>
    <t>7 feats</t>
  </si>
  <si>
    <t>5HT2B</t>
  </si>
  <si>
    <t>dE(class)</t>
  </si>
  <si>
    <t>dE</t>
  </si>
  <si>
    <t>dU(class)</t>
  </si>
  <si>
    <t>dU</t>
  </si>
  <si>
    <t>A2A</t>
  </si>
  <si>
    <t>Beta 2</t>
  </si>
  <si>
    <t>H1</t>
  </si>
  <si>
    <t>M1</t>
  </si>
  <si>
    <t>OPRD</t>
  </si>
  <si>
    <t>Enrichments &gt; 1</t>
  </si>
  <si>
    <t>OPRK</t>
  </si>
  <si>
    <t>OPRM</t>
  </si>
  <si>
    <t>Enrichments &gt; 2</t>
  </si>
  <si>
    <t>Max. Enrichments</t>
  </si>
  <si>
    <t>Best Enrichment</t>
  </si>
  <si>
    <t>&gt; 1.5</t>
  </si>
  <si>
    <t xml:space="preserve">&gt; 2  </t>
  </si>
  <si>
    <t>Best GH</t>
  </si>
  <si>
    <t>Best EF Score Type</t>
  </si>
  <si>
    <t>Score</t>
  </si>
  <si>
    <t>Freq.</t>
  </si>
  <si>
    <t>Corr. GH</t>
  </si>
  <si>
    <t>EF &gt;1.5</t>
  </si>
  <si>
    <t>EF&gt;2</t>
  </si>
  <si>
    <t>Max</t>
  </si>
  <si>
    <t>Copy</t>
  </si>
  <si>
    <t>5HT1B</t>
  </si>
  <si>
    <t>5HT2C</t>
  </si>
  <si>
    <t>A2C</t>
  </si>
  <si>
    <t>M2</t>
  </si>
  <si>
    <t>M4</t>
  </si>
  <si>
    <t>Max EF Hits</t>
  </si>
  <si>
    <t>max EF feats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</si>
</sst>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%"/>
    <numFmt numFmtId="165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4">
    <xf numFmtId="0" fontId="0" fillId="0" borderId="0" xfId="0"/>
    <xf numFmtId="0" fontId="0" fillId="0" borderId="1" xfId="0" applyBorder="1"/>
    <xf numFmtId="164" fontId="0" fillId="0" borderId="0" xfId="2" applyNumberFormat="1" applyFont="1"/>
    <xf numFmtId="43" fontId="0" fillId="0" borderId="0" xfId="1" applyFont="1"/>
    <xf numFmtId="43" fontId="0" fillId="0" borderId="0" xfId="0" applyNumberFormat="1"/>
    <xf numFmtId="2" fontId="0" fillId="0" borderId="0" xfId="0" applyNumberFormat="1"/>
    <xf numFmtId="164" fontId="0" fillId="0" borderId="2" xfId="2" applyNumberFormat="1" applyFont="1" applyBorder="1"/>
    <xf numFmtId="43" fontId="0" fillId="0" borderId="2" xfId="0" applyNumberFormat="1" applyBorder="1"/>
    <xf numFmtId="2" fontId="0" fillId="0" borderId="2" xfId="0" applyNumberFormat="1" applyBorder="1"/>
    <xf numFmtId="164" fontId="0" fillId="0" borderId="1" xfId="2" applyNumberFormat="1" applyFont="1" applyBorder="1"/>
    <xf numFmtId="43" fontId="0" fillId="0" borderId="1" xfId="1" applyFont="1" applyBorder="1"/>
    <xf numFmtId="164" fontId="0" fillId="0" borderId="3" xfId="2" applyNumberFormat="1" applyFont="1" applyBorder="1"/>
    <xf numFmtId="43" fontId="0" fillId="0" borderId="3" xfId="0" applyNumberFormat="1" applyBorder="1"/>
    <xf numFmtId="43" fontId="0" fillId="0" borderId="1" xfId="0" applyNumberFormat="1" applyBorder="1"/>
    <xf numFmtId="2" fontId="0" fillId="0" borderId="1" xfId="0" applyNumberFormat="1" applyBorder="1"/>
    <xf numFmtId="2" fontId="0" fillId="0" borderId="3" xfId="0" applyNumberFormat="1" applyBorder="1"/>
    <xf numFmtId="165" fontId="0" fillId="0" borderId="1" xfId="0" applyNumberFormat="1" applyBorder="1"/>
    <xf numFmtId="0" fontId="0" fillId="0" borderId="4" xfId="0" applyBorder="1"/>
    <xf numFmtId="43" fontId="0" fillId="0" borderId="5" xfId="0" applyNumberFormat="1" applyBorder="1"/>
    <xf numFmtId="0" fontId="0" fillId="0" borderId="6" xfId="0" applyBorder="1"/>
    <xf numFmtId="43" fontId="0" fillId="0" borderId="7" xfId="0" applyNumberFormat="1" applyBorder="1"/>
    <xf numFmtId="0" fontId="0" fillId="0" borderId="8" xfId="0" applyBorder="1"/>
    <xf numFmtId="43" fontId="0" fillId="0" borderId="9" xfId="0" applyNumberFormat="1" applyBorder="1"/>
    <xf numFmtId="0" fontId="0" fillId="0" borderId="7" xfId="0" applyBorder="1"/>
    <xf numFmtId="165" fontId="0" fillId="0" borderId="2" xfId="0" applyNumberFormat="1" applyBorder="1"/>
    <xf numFmtId="165" fontId="0" fillId="0" borderId="0" xfId="0" applyNumberFormat="1"/>
    <xf numFmtId="43" fontId="0" fillId="0" borderId="0" xfId="1" applyFont="1" applyBorder="1"/>
    <xf numFmtId="164" fontId="0" fillId="0" borderId="0" xfId="2" applyNumberFormat="1" applyFont="1" applyFill="1"/>
    <xf numFmtId="43" fontId="0" fillId="0" borderId="0" xfId="1" applyFont="1" applyFill="1"/>
    <xf numFmtId="164" fontId="0" fillId="0" borderId="1" xfId="2" applyNumberFormat="1" applyFont="1" applyFill="1" applyBorder="1"/>
    <xf numFmtId="43" fontId="0" fillId="0" borderId="1" xfId="1" applyFont="1" applyFill="1" applyBorder="1"/>
    <xf numFmtId="0" fontId="0" fillId="0" borderId="0" xfId="0" applyFont="1"/>
    <xf numFmtId="0" fontId="0" fillId="0" borderId="1" xfId="0" applyFont="1" applyBorder="1"/>
    <xf numFmtId="0" fontId="0" fillId="0" borderId="0" xfId="0" applyFont="1" applyBorder="1"/>
    <xf numFmtId="0" fontId="0" fillId="0" borderId="0" xfId="0" applyBorder="1"/>
    <xf numFmtId="164" fontId="0" fillId="0" borderId="0" xfId="2" applyNumberFormat="1" applyFont="1" applyBorder="1"/>
    <xf numFmtId="164" fontId="0" fillId="0" borderId="0" xfId="2" applyNumberFormat="1" applyFont="1" applyFill="1" applyBorder="1"/>
    <xf numFmtId="43" fontId="0" fillId="0" borderId="0" xfId="1" applyFont="1" applyFill="1" applyBorder="1"/>
    <xf numFmtId="165" fontId="0" fillId="0" borderId="0" xfId="1" applyNumberFormat="1" applyFont="1" applyFill="1" applyBorder="1"/>
    <xf numFmtId="165" fontId="0" fillId="0" borderId="0" xfId="1" applyNumberFormat="1" applyFont="1" applyFill="1"/>
    <xf numFmtId="165" fontId="0" fillId="0" borderId="1" xfId="1" applyNumberFormat="1" applyFont="1" applyFill="1" applyBorder="1"/>
    <xf numFmtId="165" fontId="0" fillId="0" borderId="0" xfId="1" applyNumberFormat="1" applyFont="1"/>
    <xf numFmtId="165" fontId="0" fillId="0" borderId="1" xfId="1" applyNumberFormat="1" applyFont="1" applyBorder="1"/>
    <xf numFmtId="165" fontId="0" fillId="0" borderId="0" xfId="1" applyNumberFormat="1" applyFont="1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76B77-427F-4B78-8502-084A43730E66}">
  <sheetPr codeName="Sheet1"/>
  <dimension ref="A1:BS54"/>
  <sheetViews>
    <sheetView topLeftCell="N1" zoomScale="55" zoomScaleNormal="55" workbookViewId="0">
      <selection activeCell="AD54" sqref="AD2:AD54"/>
    </sheetView>
  </sheetViews>
  <sheetFormatPr defaultRowHeight="14.4" x14ac:dyDescent="0.3"/>
  <cols>
    <col min="3" max="5" width="9.6640625" bestFit="1" customWidth="1"/>
    <col min="6" max="7" width="9.6640625" customWidth="1"/>
    <col min="29" max="29" width="10.44140625" bestFit="1" customWidth="1"/>
    <col min="30" max="30" width="10.44140625" customWidth="1"/>
    <col min="38" max="38" width="12.77734375" bestFit="1" customWidth="1"/>
    <col min="45" max="47" width="9.33203125" bestFit="1" customWidth="1"/>
    <col min="48" max="50" width="9.33203125" customWidth="1"/>
  </cols>
  <sheetData>
    <row r="1" spans="1:61" x14ac:dyDescent="0.3">
      <c r="A1" t="s">
        <v>0</v>
      </c>
      <c r="E1" t="s">
        <v>1</v>
      </c>
      <c r="K1" t="s">
        <v>2</v>
      </c>
      <c r="P1" t="s">
        <v>3</v>
      </c>
      <c r="U1" t="s">
        <v>4</v>
      </c>
      <c r="Y1" t="s">
        <v>5</v>
      </c>
      <c r="AG1" t="s">
        <v>6</v>
      </c>
    </row>
    <row r="2" spans="1:61" s="1" customFormat="1" x14ac:dyDescent="0.3">
      <c r="C2" s="1" t="s">
        <v>11</v>
      </c>
      <c r="D2" s="1" t="s">
        <v>12</v>
      </c>
      <c r="E2" s="1" t="s">
        <v>13</v>
      </c>
      <c r="F2" s="1" t="s">
        <v>14</v>
      </c>
      <c r="G2" s="1" t="s">
        <v>15</v>
      </c>
      <c r="I2" s="1" t="s">
        <v>16</v>
      </c>
      <c r="J2" s="1" t="s">
        <v>17</v>
      </c>
      <c r="K2" s="1" t="s">
        <v>18</v>
      </c>
      <c r="L2" s="1" t="s">
        <v>19</v>
      </c>
      <c r="M2" s="1" t="s">
        <v>20</v>
      </c>
      <c r="O2" s="1" t="s">
        <v>16</v>
      </c>
      <c r="P2" s="1" t="s">
        <v>17</v>
      </c>
      <c r="Q2" s="1" t="s">
        <v>18</v>
      </c>
      <c r="R2" s="1" t="s">
        <v>19</v>
      </c>
      <c r="S2" s="1" t="s">
        <v>20</v>
      </c>
      <c r="W2" s="1" t="s">
        <v>16</v>
      </c>
      <c r="X2" s="1" t="s">
        <v>17</v>
      </c>
      <c r="Y2" s="1" t="s">
        <v>18</v>
      </c>
      <c r="Z2" s="1" t="s">
        <v>19</v>
      </c>
      <c r="AA2" s="1" t="s">
        <v>20</v>
      </c>
      <c r="AB2" s="1" t="s">
        <v>51</v>
      </c>
      <c r="AC2" s="1" t="s">
        <v>58</v>
      </c>
      <c r="AD2" s="1" t="s">
        <v>59</v>
      </c>
      <c r="AE2" s="1" t="s">
        <v>16</v>
      </c>
      <c r="AF2" s="1" t="s">
        <v>17</v>
      </c>
      <c r="AG2" s="1" t="s">
        <v>18</v>
      </c>
      <c r="AH2" s="1" t="s">
        <v>19</v>
      </c>
      <c r="AI2" s="1" t="s">
        <v>20</v>
      </c>
    </row>
    <row r="3" spans="1:61" x14ac:dyDescent="0.3">
      <c r="A3" s="33" t="s">
        <v>53</v>
      </c>
      <c r="B3" s="34" t="s">
        <v>27</v>
      </c>
      <c r="C3">
        <v>565</v>
      </c>
      <c r="D3">
        <v>332</v>
      </c>
      <c r="E3">
        <v>81</v>
      </c>
      <c r="F3">
        <v>9</v>
      </c>
      <c r="G3">
        <v>0</v>
      </c>
      <c r="I3">
        <v>65</v>
      </c>
      <c r="J3">
        <v>39</v>
      </c>
      <c r="K3">
        <v>10</v>
      </c>
      <c r="L3">
        <v>0</v>
      </c>
      <c r="M3">
        <v>0</v>
      </c>
      <c r="N3" s="34"/>
      <c r="O3" s="36">
        <f t="shared" ref="O3:O34" si="0">IF(I3&gt;0, I3/C3, 0)</f>
        <v>0.11504424778761062</v>
      </c>
      <c r="P3" s="36">
        <f t="shared" ref="P3:P34" si="1">IF(J3&gt;0, J3/D3, 0)</f>
        <v>0.11746987951807229</v>
      </c>
      <c r="Q3" s="36">
        <f t="shared" ref="Q3:Q34" si="2">IF(K3&gt;0, K3/E3, 0)</f>
        <v>0.12345679012345678</v>
      </c>
      <c r="R3" s="36">
        <f t="shared" ref="R3:R34" si="3">IF(L3&gt;0, L3/F3, 0)</f>
        <v>0</v>
      </c>
      <c r="S3" s="36">
        <f t="shared" ref="S3:S34" si="4">IF(M3&gt;0, M3/G3, 0)</f>
        <v>0</v>
      </c>
      <c r="T3" s="36"/>
      <c r="U3" s="36">
        <f>65/569</f>
        <v>0.11423550087873462</v>
      </c>
      <c r="V3" s="36"/>
      <c r="W3" s="37">
        <f t="shared" ref="W3:AA10" si="5">O3/$U3</f>
        <v>1.0070796460176992</v>
      </c>
      <c r="X3" s="37">
        <f t="shared" si="5"/>
        <v>1.0283132530120482</v>
      </c>
      <c r="Y3" s="37">
        <f t="shared" si="5"/>
        <v>1.0807217473884141</v>
      </c>
      <c r="Z3" s="37">
        <f t="shared" si="5"/>
        <v>0</v>
      </c>
      <c r="AA3" s="37">
        <f t="shared" si="5"/>
        <v>0</v>
      </c>
      <c r="AB3" s="37">
        <f t="shared" ref="AB3:AB34" si="6">MAX(W3:AA3)</f>
        <v>1.0807217473884141</v>
      </c>
      <c r="AC3" s="38">
        <f>INDEX(C3:AA3, 1, MATCH(AB3, W3:AA3, 0))</f>
        <v>81</v>
      </c>
      <c r="AD3" s="38" t="str">
        <f>LEFT(INDEX(C$2:G$2, 1, MATCH(AB3, W3:AA3, 0)),1)</f>
        <v>5</v>
      </c>
      <c r="AE3" s="37">
        <f t="shared" ref="AE3:AI6" si="7">IF(C3&gt;0,((I3*((3*65)+C3))/(4*C3*65))*(1-(C3-I3)/(569-65)),0)</f>
        <v>2.6689141733389427E-3</v>
      </c>
      <c r="AF3" s="37">
        <f t="shared" si="7"/>
        <v>9.9681762765347098E-2</v>
      </c>
      <c r="AG3" s="37">
        <f t="shared" si="7"/>
        <v>0.11259214036991816</v>
      </c>
      <c r="AH3" s="37">
        <f t="shared" si="7"/>
        <v>0</v>
      </c>
      <c r="AI3" s="37">
        <f t="shared" si="7"/>
        <v>0</v>
      </c>
      <c r="AJ3" s="2"/>
      <c r="AL3" s="2"/>
      <c r="AM3" s="2"/>
      <c r="AN3" s="2"/>
      <c r="AO3" s="2"/>
      <c r="AP3" s="2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E3" s="5"/>
      <c r="BF3" s="5"/>
      <c r="BG3" s="5"/>
      <c r="BH3" s="5"/>
      <c r="BI3" s="5"/>
    </row>
    <row r="4" spans="1:61" x14ac:dyDescent="0.3">
      <c r="A4" s="31" t="s">
        <v>53</v>
      </c>
      <c r="B4" t="s">
        <v>28</v>
      </c>
      <c r="C4">
        <v>568</v>
      </c>
      <c r="D4">
        <v>513</v>
      </c>
      <c r="E4">
        <v>164</v>
      </c>
      <c r="F4">
        <v>5</v>
      </c>
      <c r="G4">
        <v>0</v>
      </c>
      <c r="I4">
        <v>65</v>
      </c>
      <c r="J4">
        <v>64</v>
      </c>
      <c r="K4">
        <v>30</v>
      </c>
      <c r="L4">
        <v>0</v>
      </c>
      <c r="M4">
        <v>0</v>
      </c>
      <c r="O4" s="27">
        <f t="shared" si="0"/>
        <v>0.11443661971830986</v>
      </c>
      <c r="P4" s="27">
        <f t="shared" si="1"/>
        <v>0.12475633528265107</v>
      </c>
      <c r="Q4" s="27">
        <f t="shared" si="2"/>
        <v>0.18292682926829268</v>
      </c>
      <c r="R4" s="27">
        <f t="shared" si="3"/>
        <v>0</v>
      </c>
      <c r="S4" s="27">
        <f t="shared" si="4"/>
        <v>0</v>
      </c>
      <c r="T4" s="27"/>
      <c r="U4" s="27">
        <f>65/569</f>
        <v>0.11423550087873462</v>
      </c>
      <c r="V4" s="27"/>
      <c r="W4" s="28">
        <f t="shared" si="5"/>
        <v>1.0017605633802817</v>
      </c>
      <c r="X4" s="28">
        <f t="shared" si="5"/>
        <v>1.0920977657819764</v>
      </c>
      <c r="Y4" s="28">
        <f t="shared" si="5"/>
        <v>1.6013133208255159</v>
      </c>
      <c r="Z4" s="28">
        <f t="shared" si="5"/>
        <v>0</v>
      </c>
      <c r="AA4" s="28">
        <f t="shared" si="5"/>
        <v>0</v>
      </c>
      <c r="AB4" s="28">
        <f t="shared" si="6"/>
        <v>1.6013133208255159</v>
      </c>
      <c r="AC4" s="38">
        <f t="shared" ref="AC4:AC54" si="8">INDEX(C4:AA4, 1, MATCH(AB4, W4:AA4, 0))</f>
        <v>164</v>
      </c>
      <c r="AD4" s="38" t="str">
        <f t="shared" ref="AD4:AD54" si="9">LEFT(INDEX(C$2:G$2, 1, MATCH(AB4, W4:AA4, 0)),1)</f>
        <v>5</v>
      </c>
      <c r="AE4" s="28">
        <f t="shared" si="7"/>
        <v>6.6632433489827614E-4</v>
      </c>
      <c r="AF4" s="28">
        <f t="shared" si="7"/>
        <v>3.7072738827124772E-2</v>
      </c>
      <c r="AG4" s="28">
        <f t="shared" si="7"/>
        <v>0.18542560082194229</v>
      </c>
      <c r="AH4" s="28">
        <f t="shared" si="7"/>
        <v>0</v>
      </c>
      <c r="AI4" s="28">
        <f t="shared" si="7"/>
        <v>0</v>
      </c>
      <c r="AJ4" s="2"/>
      <c r="AL4" s="6"/>
      <c r="AM4" s="6"/>
      <c r="AN4" s="6"/>
      <c r="AO4" s="6"/>
      <c r="AP4" s="6"/>
      <c r="AS4" s="7"/>
      <c r="AT4" s="7"/>
      <c r="AU4" s="7"/>
      <c r="AV4" s="7"/>
      <c r="AW4" s="7"/>
      <c r="AX4" s="4"/>
      <c r="AY4" s="7"/>
      <c r="AZ4" s="7"/>
      <c r="BA4" s="7"/>
      <c r="BB4" s="7"/>
      <c r="BC4" s="7"/>
      <c r="BE4" s="5"/>
      <c r="BF4" s="5"/>
      <c r="BG4" s="8"/>
      <c r="BH4" s="8"/>
      <c r="BI4" s="8"/>
    </row>
    <row r="5" spans="1:61" x14ac:dyDescent="0.3">
      <c r="A5" s="31" t="s">
        <v>53</v>
      </c>
      <c r="B5" t="s">
        <v>29</v>
      </c>
      <c r="C5">
        <v>568</v>
      </c>
      <c r="D5">
        <v>488</v>
      </c>
      <c r="E5">
        <v>89</v>
      </c>
      <c r="F5">
        <v>0</v>
      </c>
      <c r="G5">
        <v>0</v>
      </c>
      <c r="I5">
        <v>65</v>
      </c>
      <c r="J5">
        <v>57</v>
      </c>
      <c r="K5">
        <v>8</v>
      </c>
      <c r="L5">
        <v>0</v>
      </c>
      <c r="M5">
        <v>0</v>
      </c>
      <c r="O5" s="27">
        <f t="shared" si="0"/>
        <v>0.11443661971830986</v>
      </c>
      <c r="P5" s="27">
        <f t="shared" si="1"/>
        <v>0.11680327868852459</v>
      </c>
      <c r="Q5" s="27">
        <f t="shared" si="2"/>
        <v>8.98876404494382E-2</v>
      </c>
      <c r="R5" s="27">
        <f t="shared" si="3"/>
        <v>0</v>
      </c>
      <c r="S5" s="27">
        <f t="shared" si="4"/>
        <v>0</v>
      </c>
      <c r="T5" s="27"/>
      <c r="U5" s="27">
        <f>65/569</f>
        <v>0.11423550087873462</v>
      </c>
      <c r="V5" s="27"/>
      <c r="W5" s="28">
        <f t="shared" si="5"/>
        <v>1.0017605633802817</v>
      </c>
      <c r="X5" s="28">
        <f t="shared" si="5"/>
        <v>1.0224779319041615</v>
      </c>
      <c r="Y5" s="28">
        <f t="shared" si="5"/>
        <v>0.78686257562662054</v>
      </c>
      <c r="Z5" s="28">
        <f t="shared" si="5"/>
        <v>0</v>
      </c>
      <c r="AA5" s="28">
        <f t="shared" si="5"/>
        <v>0</v>
      </c>
      <c r="AB5" s="28">
        <f t="shared" si="6"/>
        <v>1.0224779319041615</v>
      </c>
      <c r="AC5" s="38">
        <f t="shared" si="8"/>
        <v>488</v>
      </c>
      <c r="AD5" s="38" t="str">
        <f t="shared" si="9"/>
        <v>4</v>
      </c>
      <c r="AE5" s="28">
        <f t="shared" si="7"/>
        <v>6.6632433489827614E-4</v>
      </c>
      <c r="AF5" s="28">
        <f t="shared" si="7"/>
        <v>4.4442114408815243E-2</v>
      </c>
      <c r="AG5" s="28">
        <f t="shared" si="7"/>
        <v>8.2405235214223979E-2</v>
      </c>
      <c r="AH5" s="28">
        <f t="shared" si="7"/>
        <v>0</v>
      </c>
      <c r="AI5" s="28">
        <f t="shared" si="7"/>
        <v>0</v>
      </c>
      <c r="AJ5" s="2"/>
      <c r="AL5" s="6"/>
      <c r="AM5" s="6"/>
      <c r="AN5" s="6"/>
      <c r="AO5" s="6"/>
      <c r="AP5" s="6"/>
      <c r="AS5" s="7"/>
      <c r="AT5" s="7"/>
      <c r="AU5" s="7"/>
      <c r="AV5" s="7"/>
      <c r="AW5" s="7"/>
      <c r="AX5" s="4"/>
      <c r="AY5" s="7"/>
      <c r="AZ5" s="7"/>
      <c r="BA5" s="7"/>
      <c r="BB5" s="7"/>
      <c r="BC5" s="7"/>
      <c r="BE5" s="5"/>
      <c r="BF5" s="5"/>
      <c r="BG5" s="8"/>
      <c r="BH5" s="8"/>
      <c r="BI5" s="8"/>
    </row>
    <row r="6" spans="1:61" s="1" customFormat="1" x14ac:dyDescent="0.3">
      <c r="A6" s="31" t="s">
        <v>53</v>
      </c>
      <c r="B6" s="1" t="s">
        <v>30</v>
      </c>
      <c r="C6" s="1">
        <v>49</v>
      </c>
      <c r="D6" s="1">
        <v>12</v>
      </c>
      <c r="E6" s="1">
        <v>0</v>
      </c>
      <c r="F6" s="1">
        <v>0</v>
      </c>
      <c r="G6" s="1">
        <v>0</v>
      </c>
      <c r="I6" s="1">
        <v>5</v>
      </c>
      <c r="J6" s="1">
        <v>1</v>
      </c>
      <c r="K6" s="1">
        <v>0</v>
      </c>
      <c r="L6" s="1">
        <v>0</v>
      </c>
      <c r="M6" s="1">
        <v>0</v>
      </c>
      <c r="O6" s="29">
        <f t="shared" si="0"/>
        <v>0.10204081632653061</v>
      </c>
      <c r="P6" s="29">
        <f t="shared" si="1"/>
        <v>8.3333333333333329E-2</v>
      </c>
      <c r="Q6" s="29">
        <f t="shared" si="2"/>
        <v>0</v>
      </c>
      <c r="R6" s="29">
        <f t="shared" si="3"/>
        <v>0</v>
      </c>
      <c r="S6" s="29">
        <f t="shared" si="4"/>
        <v>0</v>
      </c>
      <c r="T6" s="29"/>
      <c r="U6" s="29">
        <f>65/569</f>
        <v>0.11423550087873462</v>
      </c>
      <c r="V6" s="29"/>
      <c r="W6" s="30">
        <f t="shared" si="5"/>
        <v>0.8932496075353219</v>
      </c>
      <c r="X6" s="30">
        <f t="shared" si="5"/>
        <v>0.72948717948717945</v>
      </c>
      <c r="Y6" s="30">
        <f t="shared" si="5"/>
        <v>0</v>
      </c>
      <c r="Z6" s="30">
        <f t="shared" si="5"/>
        <v>0</v>
      </c>
      <c r="AA6" s="30">
        <f t="shared" si="5"/>
        <v>0</v>
      </c>
      <c r="AB6" s="30">
        <f t="shared" si="6"/>
        <v>0.8932496075353219</v>
      </c>
      <c r="AC6" s="38">
        <f t="shared" si="8"/>
        <v>49</v>
      </c>
      <c r="AD6" s="38" t="str">
        <f t="shared" si="9"/>
        <v>3</v>
      </c>
      <c r="AE6" s="30">
        <f t="shared" si="7"/>
        <v>8.7401260870648631E-2</v>
      </c>
      <c r="AF6" s="30">
        <f t="shared" si="7"/>
        <v>6.4898122710622702E-2</v>
      </c>
      <c r="AG6" s="30">
        <f t="shared" si="7"/>
        <v>0</v>
      </c>
      <c r="AH6" s="30">
        <f t="shared" si="7"/>
        <v>0</v>
      </c>
      <c r="AI6" s="30">
        <f t="shared" si="7"/>
        <v>0</v>
      </c>
      <c r="AJ6" s="9"/>
      <c r="AL6" s="11"/>
      <c r="AM6" s="11"/>
      <c r="AN6" s="11"/>
      <c r="AO6" s="11"/>
      <c r="AP6" s="11"/>
      <c r="AS6" s="12"/>
      <c r="AT6" s="12"/>
      <c r="AU6" s="12"/>
      <c r="AV6" s="12"/>
      <c r="AW6" s="12"/>
      <c r="AX6" s="13"/>
      <c r="AY6" s="12"/>
      <c r="AZ6" s="12"/>
      <c r="BA6" s="12"/>
      <c r="BB6" s="12"/>
      <c r="BC6" s="12"/>
      <c r="BE6" s="14"/>
      <c r="BF6" s="14"/>
      <c r="BG6" s="15"/>
      <c r="BH6" s="15"/>
      <c r="BI6" s="15"/>
    </row>
    <row r="7" spans="1:61" x14ac:dyDescent="0.3">
      <c r="A7" s="31" t="s">
        <v>26</v>
      </c>
      <c r="B7" s="34" t="s">
        <v>27</v>
      </c>
      <c r="C7">
        <v>567</v>
      </c>
      <c r="D7">
        <v>545</v>
      </c>
      <c r="E7">
        <v>210</v>
      </c>
      <c r="F7">
        <v>28</v>
      </c>
      <c r="G7">
        <v>0</v>
      </c>
      <c r="I7">
        <v>86</v>
      </c>
      <c r="J7">
        <v>83</v>
      </c>
      <c r="K7">
        <v>40</v>
      </c>
      <c r="L7">
        <v>5</v>
      </c>
      <c r="M7">
        <v>0</v>
      </c>
      <c r="N7" s="34"/>
      <c r="O7" s="35">
        <f t="shared" si="0"/>
        <v>0.15167548500881833</v>
      </c>
      <c r="P7" s="35">
        <f t="shared" si="1"/>
        <v>0.15229357798165138</v>
      </c>
      <c r="Q7" s="35">
        <f t="shared" si="2"/>
        <v>0.19047619047619047</v>
      </c>
      <c r="R7" s="35">
        <f t="shared" si="3"/>
        <v>0.17857142857142858</v>
      </c>
      <c r="S7" s="35">
        <f t="shared" si="4"/>
        <v>0</v>
      </c>
      <c r="T7" s="35"/>
      <c r="U7" s="35">
        <f t="shared" ref="U7:U14" si="10">86/569</f>
        <v>0.15114235500878734</v>
      </c>
      <c r="V7" s="35"/>
      <c r="W7" s="26">
        <f t="shared" si="5"/>
        <v>1.0035273368606701</v>
      </c>
      <c r="X7" s="26">
        <f t="shared" si="5"/>
        <v>1.0076168124599958</v>
      </c>
      <c r="Y7" s="26">
        <f t="shared" si="5"/>
        <v>1.2602436323366555</v>
      </c>
      <c r="Z7" s="26">
        <f t="shared" si="5"/>
        <v>1.1814784053156147</v>
      </c>
      <c r="AA7" s="26">
        <f t="shared" si="5"/>
        <v>0</v>
      </c>
      <c r="AB7" s="26">
        <f t="shared" si="6"/>
        <v>1.2602436323366555</v>
      </c>
      <c r="AC7" s="38">
        <f t="shared" si="8"/>
        <v>210</v>
      </c>
      <c r="AD7" s="38" t="str">
        <f t="shared" si="9"/>
        <v>5</v>
      </c>
      <c r="AE7" s="26">
        <f t="shared" ref="AE7:AI14" si="11">IF(C7&gt;0,((I7*((3*86)+C7))/(4*C7*86))*(1-(C7-I7)/(569-86)),0)</f>
        <v>1.5062385662799637E-3</v>
      </c>
      <c r="AF7" s="26">
        <f t="shared" si="11"/>
        <v>1.5456489271899135E-2</v>
      </c>
      <c r="AG7" s="26">
        <f t="shared" si="11"/>
        <v>0.16792885000309524</v>
      </c>
      <c r="AH7" s="26">
        <f t="shared" si="11"/>
        <v>0.14139376680904919</v>
      </c>
      <c r="AI7" s="26">
        <f t="shared" si="11"/>
        <v>0</v>
      </c>
      <c r="AJ7" s="2"/>
    </row>
    <row r="8" spans="1:61" x14ac:dyDescent="0.3">
      <c r="A8" s="31" t="s">
        <v>26</v>
      </c>
      <c r="B8" t="s">
        <v>28</v>
      </c>
      <c r="C8">
        <v>540</v>
      </c>
      <c r="D8">
        <v>184</v>
      </c>
      <c r="E8">
        <v>8</v>
      </c>
      <c r="F8">
        <v>0</v>
      </c>
      <c r="G8">
        <v>0</v>
      </c>
      <c r="I8">
        <v>85</v>
      </c>
      <c r="J8">
        <v>33</v>
      </c>
      <c r="K8">
        <v>3</v>
      </c>
      <c r="L8">
        <v>0</v>
      </c>
      <c r="M8">
        <v>0</v>
      </c>
      <c r="O8" s="2">
        <f t="shared" si="0"/>
        <v>0.15740740740740741</v>
      </c>
      <c r="P8" s="2">
        <f t="shared" si="1"/>
        <v>0.17934782608695651</v>
      </c>
      <c r="Q8" s="2">
        <f t="shared" si="2"/>
        <v>0.375</v>
      </c>
      <c r="R8" s="2">
        <f t="shared" si="3"/>
        <v>0</v>
      </c>
      <c r="S8" s="2">
        <f t="shared" si="4"/>
        <v>0</v>
      </c>
      <c r="T8" s="2"/>
      <c r="U8" s="2">
        <f t="shared" si="10"/>
        <v>0.15114235500878734</v>
      </c>
      <c r="V8" s="2"/>
      <c r="W8" s="3">
        <f t="shared" si="5"/>
        <v>1.0414513350559864</v>
      </c>
      <c r="X8" s="3">
        <f t="shared" si="5"/>
        <v>1.1866152679474216</v>
      </c>
      <c r="Y8" s="3">
        <f t="shared" si="5"/>
        <v>2.481104651162791</v>
      </c>
      <c r="Z8" s="3">
        <f t="shared" si="5"/>
        <v>0</v>
      </c>
      <c r="AA8" s="3">
        <f t="shared" si="5"/>
        <v>0</v>
      </c>
      <c r="AB8" s="3">
        <f t="shared" si="6"/>
        <v>2.481104651162791</v>
      </c>
      <c r="AC8" s="38">
        <f t="shared" si="8"/>
        <v>8</v>
      </c>
      <c r="AD8" s="38" t="str">
        <f t="shared" si="9"/>
        <v>5</v>
      </c>
      <c r="AE8" s="3">
        <f t="shared" si="11"/>
        <v>2.1168033554282303E-2</v>
      </c>
      <c r="AF8" s="3">
        <f t="shared" si="11"/>
        <v>0.15839843872661388</v>
      </c>
      <c r="AG8" s="3">
        <f t="shared" si="11"/>
        <v>0.28696916076845302</v>
      </c>
      <c r="AH8" s="3">
        <f t="shared" si="11"/>
        <v>0</v>
      </c>
      <c r="AI8" s="3">
        <f t="shared" si="11"/>
        <v>0</v>
      </c>
      <c r="AJ8" s="2"/>
    </row>
    <row r="9" spans="1:61" x14ac:dyDescent="0.3">
      <c r="A9" s="31" t="s">
        <v>26</v>
      </c>
      <c r="B9" t="s">
        <v>29</v>
      </c>
      <c r="C9">
        <v>567</v>
      </c>
      <c r="D9">
        <v>477</v>
      </c>
      <c r="E9">
        <v>83</v>
      </c>
      <c r="F9">
        <v>5</v>
      </c>
      <c r="G9">
        <v>0</v>
      </c>
      <c r="I9">
        <v>86</v>
      </c>
      <c r="J9">
        <v>75</v>
      </c>
      <c r="K9">
        <v>17</v>
      </c>
      <c r="L9">
        <v>1</v>
      </c>
      <c r="M9">
        <v>0</v>
      </c>
      <c r="O9" s="2">
        <f t="shared" si="0"/>
        <v>0.15167548500881833</v>
      </c>
      <c r="P9" s="2">
        <f t="shared" si="1"/>
        <v>0.15723270440251572</v>
      </c>
      <c r="Q9" s="2">
        <f t="shared" si="2"/>
        <v>0.20481927710843373</v>
      </c>
      <c r="R9" s="2">
        <f t="shared" si="3"/>
        <v>0.2</v>
      </c>
      <c r="S9" s="2">
        <f t="shared" si="4"/>
        <v>0</v>
      </c>
      <c r="T9" s="2"/>
      <c r="U9" s="2">
        <f t="shared" si="10"/>
        <v>0.15114235500878734</v>
      </c>
      <c r="V9" s="2"/>
      <c r="W9" s="3">
        <f t="shared" si="5"/>
        <v>1.0035273368606701</v>
      </c>
      <c r="X9" s="3">
        <f t="shared" si="5"/>
        <v>1.0402954512212959</v>
      </c>
      <c r="Y9" s="3">
        <f t="shared" si="5"/>
        <v>1.355141496217428</v>
      </c>
      <c r="Z9" s="3">
        <f t="shared" si="5"/>
        <v>1.3232558139534885</v>
      </c>
      <c r="AA9" s="3">
        <f t="shared" si="5"/>
        <v>0</v>
      </c>
      <c r="AB9" s="3">
        <f t="shared" si="6"/>
        <v>1.355141496217428</v>
      </c>
      <c r="AC9" s="38">
        <f t="shared" si="8"/>
        <v>83</v>
      </c>
      <c r="AD9" s="38" t="str">
        <f t="shared" si="9"/>
        <v>5</v>
      </c>
      <c r="AE9" s="3">
        <f t="shared" si="11"/>
        <v>1.5062385662799637E-3</v>
      </c>
      <c r="AF9" s="3">
        <f t="shared" si="11"/>
        <v>5.6339069385886245E-2</v>
      </c>
      <c r="AG9" s="3">
        <f t="shared" si="11"/>
        <v>0.17528941419295554</v>
      </c>
      <c r="AH9" s="3">
        <f t="shared" si="11"/>
        <v>0.15164066637777457</v>
      </c>
      <c r="AI9" s="3">
        <f t="shared" si="11"/>
        <v>0</v>
      </c>
      <c r="AJ9" s="2"/>
    </row>
    <row r="10" spans="1:61" s="1" customFormat="1" x14ac:dyDescent="0.3">
      <c r="A10" s="31" t="s">
        <v>26</v>
      </c>
      <c r="B10" s="1" t="s">
        <v>30</v>
      </c>
      <c r="C10" s="1">
        <v>18</v>
      </c>
      <c r="D10" s="1">
        <v>2</v>
      </c>
      <c r="E10" s="1">
        <v>0</v>
      </c>
      <c r="F10" s="1">
        <v>0</v>
      </c>
      <c r="G10" s="1">
        <v>0</v>
      </c>
      <c r="I10" s="1">
        <v>1</v>
      </c>
      <c r="J10" s="1">
        <v>0</v>
      </c>
      <c r="K10" s="1">
        <v>0</v>
      </c>
      <c r="L10" s="1">
        <v>0</v>
      </c>
      <c r="M10" s="1">
        <v>0</v>
      </c>
      <c r="O10" s="9">
        <f t="shared" si="0"/>
        <v>5.5555555555555552E-2</v>
      </c>
      <c r="P10" s="9">
        <f t="shared" si="1"/>
        <v>0</v>
      </c>
      <c r="Q10" s="9">
        <f t="shared" si="2"/>
        <v>0</v>
      </c>
      <c r="R10" s="9">
        <f t="shared" si="3"/>
        <v>0</v>
      </c>
      <c r="S10" s="9">
        <f t="shared" si="4"/>
        <v>0</v>
      </c>
      <c r="T10" s="9"/>
      <c r="U10" s="9">
        <f t="shared" si="10"/>
        <v>0.15114235500878734</v>
      </c>
      <c r="V10" s="9"/>
      <c r="W10" s="10">
        <f t="shared" si="5"/>
        <v>0.36757105943152457</v>
      </c>
      <c r="X10" s="10">
        <f t="shared" si="5"/>
        <v>0</v>
      </c>
      <c r="Y10" s="10">
        <f t="shared" si="5"/>
        <v>0</v>
      </c>
      <c r="Z10" s="10">
        <f t="shared" si="5"/>
        <v>0</v>
      </c>
      <c r="AA10" s="10">
        <f t="shared" si="5"/>
        <v>0</v>
      </c>
      <c r="AB10" s="10">
        <f t="shared" si="6"/>
        <v>0.36757105943152457</v>
      </c>
      <c r="AC10" s="38">
        <f t="shared" si="8"/>
        <v>18</v>
      </c>
      <c r="AD10" s="38" t="str">
        <f t="shared" si="9"/>
        <v>3</v>
      </c>
      <c r="AE10" s="10">
        <f t="shared" si="11"/>
        <v>4.3004798818752306E-2</v>
      </c>
      <c r="AF10" s="10">
        <f t="shared" si="11"/>
        <v>0</v>
      </c>
      <c r="AG10" s="10">
        <f t="shared" si="11"/>
        <v>0</v>
      </c>
      <c r="AH10" s="10">
        <f t="shared" si="11"/>
        <v>0</v>
      </c>
      <c r="AI10" s="10">
        <f t="shared" si="11"/>
        <v>0</v>
      </c>
      <c r="AJ10" s="9"/>
    </row>
    <row r="11" spans="1:61" x14ac:dyDescent="0.3">
      <c r="A11" s="31" t="s">
        <v>54</v>
      </c>
      <c r="B11" s="34" t="s">
        <v>27</v>
      </c>
      <c r="C11">
        <v>566</v>
      </c>
      <c r="D11">
        <v>522</v>
      </c>
      <c r="E11">
        <v>120</v>
      </c>
      <c r="F11">
        <v>4</v>
      </c>
      <c r="G11">
        <v>0</v>
      </c>
      <c r="I11">
        <v>86</v>
      </c>
      <c r="J11">
        <v>83</v>
      </c>
      <c r="K11">
        <v>24</v>
      </c>
      <c r="L11">
        <v>1</v>
      </c>
      <c r="M11">
        <v>0</v>
      </c>
      <c r="N11" s="34"/>
      <c r="O11" s="36">
        <f t="shared" si="0"/>
        <v>0.1519434628975265</v>
      </c>
      <c r="P11" s="36">
        <f t="shared" si="1"/>
        <v>0.15900383141762453</v>
      </c>
      <c r="Q11" s="36">
        <f t="shared" si="2"/>
        <v>0.2</v>
      </c>
      <c r="R11" s="36">
        <f t="shared" si="3"/>
        <v>0.25</v>
      </c>
      <c r="S11" s="36">
        <f t="shared" si="4"/>
        <v>0</v>
      </c>
      <c r="T11" s="36"/>
      <c r="U11" s="36">
        <f t="shared" si="10"/>
        <v>0.15114235500878734</v>
      </c>
      <c r="V11" s="36"/>
      <c r="W11" s="37">
        <f t="shared" ref="W11:Y18" si="12">IF(O11&gt;0, O11/$U11, 0)</f>
        <v>1.0053003533568905</v>
      </c>
      <c r="X11" s="37">
        <f t="shared" si="12"/>
        <v>1.05201372182126</v>
      </c>
      <c r="Y11" s="37">
        <f t="shared" si="12"/>
        <v>1.3232558139534885</v>
      </c>
      <c r="Z11" s="37">
        <f t="shared" ref="Z11:Z54" si="13">R11/$U11</f>
        <v>1.6540697674418605</v>
      </c>
      <c r="AA11" s="37">
        <f t="shared" ref="AA11:AA54" si="14">S11/$U11</f>
        <v>0</v>
      </c>
      <c r="AB11" s="37">
        <f t="shared" si="6"/>
        <v>1.6540697674418605</v>
      </c>
      <c r="AC11" s="38">
        <f t="shared" si="8"/>
        <v>4</v>
      </c>
      <c r="AD11" s="38" t="str">
        <f t="shared" si="9"/>
        <v>6</v>
      </c>
      <c r="AE11" s="37">
        <f t="shared" si="11"/>
        <v>2.2606061936220221E-3</v>
      </c>
      <c r="AF11" s="37">
        <f t="shared" si="11"/>
        <v>3.2843489661592243E-2</v>
      </c>
      <c r="AG11" s="37">
        <f t="shared" si="11"/>
        <v>0.17608695652173914</v>
      </c>
      <c r="AH11" s="37">
        <f t="shared" si="11"/>
        <v>0.18922432471471906</v>
      </c>
      <c r="AI11" s="37">
        <f t="shared" si="11"/>
        <v>0</v>
      </c>
      <c r="AJ11" s="2"/>
      <c r="AS11" s="5"/>
      <c r="AT11" s="5"/>
      <c r="AU11" s="5"/>
      <c r="AV11" s="5"/>
      <c r="AW11" s="5"/>
      <c r="AX11" s="5"/>
    </row>
    <row r="12" spans="1:61" x14ac:dyDescent="0.3">
      <c r="A12" s="31" t="s">
        <v>54</v>
      </c>
      <c r="B12" t="s">
        <v>28</v>
      </c>
      <c r="C12">
        <v>366</v>
      </c>
      <c r="D12">
        <v>45</v>
      </c>
      <c r="E12">
        <v>0</v>
      </c>
      <c r="F12">
        <v>0</v>
      </c>
      <c r="G12">
        <v>0</v>
      </c>
      <c r="I12">
        <v>44</v>
      </c>
      <c r="J12">
        <v>6</v>
      </c>
      <c r="K12">
        <v>0</v>
      </c>
      <c r="L12">
        <v>0</v>
      </c>
      <c r="M12">
        <v>0</v>
      </c>
      <c r="O12" s="27">
        <f t="shared" si="0"/>
        <v>0.12021857923497267</v>
      </c>
      <c r="P12" s="27">
        <f t="shared" si="1"/>
        <v>0.13333333333333333</v>
      </c>
      <c r="Q12" s="27">
        <f t="shared" si="2"/>
        <v>0</v>
      </c>
      <c r="R12" s="27">
        <f t="shared" si="3"/>
        <v>0</v>
      </c>
      <c r="S12" s="27">
        <f t="shared" si="4"/>
        <v>0</v>
      </c>
      <c r="T12" s="27"/>
      <c r="U12" s="27">
        <f t="shared" si="10"/>
        <v>0.15114235500878734</v>
      </c>
      <c r="V12" s="27"/>
      <c r="W12" s="28">
        <f t="shared" si="12"/>
        <v>0.79539966958952857</v>
      </c>
      <c r="X12" s="28">
        <f t="shared" si="12"/>
        <v>0.88217054263565897</v>
      </c>
      <c r="Y12" s="28">
        <f t="shared" si="12"/>
        <v>0</v>
      </c>
      <c r="Z12" s="28">
        <f t="shared" si="13"/>
        <v>0</v>
      </c>
      <c r="AA12" s="28">
        <f t="shared" si="14"/>
        <v>0</v>
      </c>
      <c r="AB12" s="28">
        <f t="shared" si="6"/>
        <v>0.88217054263565897</v>
      </c>
      <c r="AC12" s="38">
        <f t="shared" si="8"/>
        <v>45</v>
      </c>
      <c r="AD12" s="38" t="str">
        <f t="shared" si="9"/>
        <v>4</v>
      </c>
      <c r="AE12" s="28">
        <f t="shared" si="11"/>
        <v>7.2690303723471864E-2</v>
      </c>
      <c r="AF12" s="28">
        <f t="shared" si="11"/>
        <v>0.10795897732197024</v>
      </c>
      <c r="AG12" s="28">
        <f t="shared" si="11"/>
        <v>0</v>
      </c>
      <c r="AH12" s="28">
        <f t="shared" si="11"/>
        <v>0</v>
      </c>
      <c r="AI12" s="28">
        <f t="shared" si="11"/>
        <v>0</v>
      </c>
      <c r="AJ12" s="2"/>
      <c r="AS12" s="8"/>
      <c r="AT12" s="8"/>
      <c r="AU12" s="8"/>
      <c r="AV12" s="5"/>
      <c r="AW12" s="5"/>
      <c r="AX12" s="5"/>
    </row>
    <row r="13" spans="1:61" x14ac:dyDescent="0.3">
      <c r="A13" s="31" t="s">
        <v>54</v>
      </c>
      <c r="B13" t="s">
        <v>29</v>
      </c>
      <c r="C13">
        <v>540</v>
      </c>
      <c r="D13">
        <v>137</v>
      </c>
      <c r="E13">
        <v>11</v>
      </c>
      <c r="F13">
        <v>1</v>
      </c>
      <c r="G13">
        <v>0</v>
      </c>
      <c r="H13">
        <f>_xlfn.IFNA(VLOOKUP(AB3, C3:AA3,8,0), 0)</f>
        <v>0</v>
      </c>
      <c r="I13">
        <v>83</v>
      </c>
      <c r="J13">
        <v>23</v>
      </c>
      <c r="K13">
        <v>0</v>
      </c>
      <c r="L13">
        <v>0</v>
      </c>
      <c r="M13">
        <v>0</v>
      </c>
      <c r="O13" s="27">
        <f t="shared" si="0"/>
        <v>0.1537037037037037</v>
      </c>
      <c r="P13" s="27">
        <f t="shared" si="1"/>
        <v>0.16788321167883211</v>
      </c>
      <c r="Q13" s="27">
        <f t="shared" si="2"/>
        <v>0</v>
      </c>
      <c r="R13" s="27">
        <f t="shared" si="3"/>
        <v>0</v>
      </c>
      <c r="S13" s="27">
        <f t="shared" si="4"/>
        <v>0</v>
      </c>
      <c r="T13" s="27"/>
      <c r="U13" s="27">
        <f t="shared" si="10"/>
        <v>0.15114235500878734</v>
      </c>
      <c r="V13" s="27"/>
      <c r="W13" s="28">
        <f t="shared" si="12"/>
        <v>1.0169465977605514</v>
      </c>
      <c r="X13" s="28">
        <f t="shared" si="12"/>
        <v>1.1107621795959939</v>
      </c>
      <c r="Y13" s="28">
        <f t="shared" si="12"/>
        <v>0</v>
      </c>
      <c r="Z13" s="28">
        <f t="shared" si="13"/>
        <v>0</v>
      </c>
      <c r="AA13" s="28">
        <f t="shared" si="14"/>
        <v>0</v>
      </c>
      <c r="AB13" s="28">
        <f t="shared" si="6"/>
        <v>1.1107621795959939</v>
      </c>
      <c r="AC13" s="38">
        <f t="shared" si="8"/>
        <v>137</v>
      </c>
      <c r="AD13" s="38" t="str">
        <f t="shared" si="9"/>
        <v>4</v>
      </c>
      <c r="AE13" s="28">
        <f t="shared" si="11"/>
        <v>1.9193536306781993E-2</v>
      </c>
      <c r="AF13" s="28">
        <f t="shared" si="11"/>
        <v>0.14727368625263718</v>
      </c>
      <c r="AG13" s="28">
        <f t="shared" si="11"/>
        <v>0</v>
      </c>
      <c r="AH13" s="28">
        <f t="shared" si="11"/>
        <v>0</v>
      </c>
      <c r="AI13" s="28">
        <f t="shared" si="11"/>
        <v>0</v>
      </c>
      <c r="AJ13" s="2"/>
      <c r="AS13" s="8"/>
      <c r="AT13" s="8"/>
      <c r="AU13" s="8"/>
      <c r="AV13" s="5"/>
      <c r="AW13" s="5"/>
      <c r="AX13" s="5"/>
    </row>
    <row r="14" spans="1:61" s="1" customFormat="1" x14ac:dyDescent="0.3">
      <c r="A14" s="31" t="s">
        <v>54</v>
      </c>
      <c r="B14" s="1" t="s">
        <v>30</v>
      </c>
      <c r="C14" s="1">
        <v>38</v>
      </c>
      <c r="D14" s="1">
        <v>6</v>
      </c>
      <c r="E14" s="1">
        <v>0</v>
      </c>
      <c r="F14" s="1">
        <v>0</v>
      </c>
      <c r="G14" s="1">
        <v>0</v>
      </c>
      <c r="I14" s="1">
        <v>3</v>
      </c>
      <c r="J14" s="1">
        <v>0</v>
      </c>
      <c r="K14" s="1">
        <v>0</v>
      </c>
      <c r="L14" s="1">
        <v>0</v>
      </c>
      <c r="M14" s="1">
        <v>0</v>
      </c>
      <c r="O14" s="29">
        <f t="shared" si="0"/>
        <v>7.8947368421052627E-2</v>
      </c>
      <c r="P14" s="29">
        <f t="shared" si="1"/>
        <v>0</v>
      </c>
      <c r="Q14" s="29">
        <f t="shared" si="2"/>
        <v>0</v>
      </c>
      <c r="R14" s="29">
        <f t="shared" si="3"/>
        <v>0</v>
      </c>
      <c r="S14" s="29">
        <f t="shared" si="4"/>
        <v>0</v>
      </c>
      <c r="T14" s="29"/>
      <c r="U14" s="29">
        <f t="shared" si="10"/>
        <v>0.15114235500878734</v>
      </c>
      <c r="V14" s="29"/>
      <c r="W14" s="30">
        <f t="shared" si="12"/>
        <v>0.52233782129742967</v>
      </c>
      <c r="X14" s="30">
        <f t="shared" si="12"/>
        <v>0</v>
      </c>
      <c r="Y14" s="30">
        <f t="shared" si="12"/>
        <v>0</v>
      </c>
      <c r="Z14" s="30">
        <f t="shared" si="13"/>
        <v>0</v>
      </c>
      <c r="AA14" s="30">
        <f t="shared" si="14"/>
        <v>0</v>
      </c>
      <c r="AB14" s="30">
        <f t="shared" si="6"/>
        <v>0.52233782129742967</v>
      </c>
      <c r="AC14" s="38">
        <f t="shared" si="8"/>
        <v>38</v>
      </c>
      <c r="AD14" s="38" t="str">
        <f t="shared" si="9"/>
        <v>3</v>
      </c>
      <c r="AE14" s="30">
        <f t="shared" si="11"/>
        <v>6.3008887233249961E-2</v>
      </c>
      <c r="AF14" s="30">
        <f t="shared" si="11"/>
        <v>0</v>
      </c>
      <c r="AG14" s="30">
        <f t="shared" si="11"/>
        <v>0</v>
      </c>
      <c r="AH14" s="30">
        <f t="shared" si="11"/>
        <v>0</v>
      </c>
      <c r="AI14" s="30">
        <f t="shared" si="11"/>
        <v>0</v>
      </c>
      <c r="AJ14" s="9"/>
      <c r="AS14" s="15"/>
      <c r="AT14" s="15"/>
      <c r="AU14" s="15"/>
      <c r="AV14" s="14"/>
      <c r="AW14" s="14"/>
      <c r="AX14" s="14"/>
    </row>
    <row r="15" spans="1:61" x14ac:dyDescent="0.3">
      <c r="A15" s="31" t="s">
        <v>31</v>
      </c>
      <c r="B15" s="34" t="s">
        <v>27</v>
      </c>
      <c r="C15">
        <v>560</v>
      </c>
      <c r="D15">
        <v>291</v>
      </c>
      <c r="E15">
        <v>49</v>
      </c>
      <c r="F15">
        <v>2</v>
      </c>
      <c r="G15">
        <v>0</v>
      </c>
      <c r="I15">
        <v>26</v>
      </c>
      <c r="J15">
        <v>9</v>
      </c>
      <c r="K15">
        <v>3</v>
      </c>
      <c r="L15">
        <v>0</v>
      </c>
      <c r="M15">
        <v>0</v>
      </c>
      <c r="N15" s="34"/>
      <c r="O15" s="35">
        <f t="shared" si="0"/>
        <v>4.642857142857143E-2</v>
      </c>
      <c r="P15" s="35">
        <f t="shared" si="1"/>
        <v>3.0927835051546393E-2</v>
      </c>
      <c r="Q15" s="35">
        <f t="shared" si="2"/>
        <v>6.1224489795918366E-2</v>
      </c>
      <c r="R15" s="35">
        <f t="shared" si="3"/>
        <v>0</v>
      </c>
      <c r="S15" s="35">
        <f t="shared" si="4"/>
        <v>0</v>
      </c>
      <c r="T15" s="35"/>
      <c r="U15" s="35">
        <f>29/569</f>
        <v>5.0966608084358524E-2</v>
      </c>
      <c r="V15" s="35"/>
      <c r="W15" s="26">
        <f t="shared" si="12"/>
        <v>0.91096059113300498</v>
      </c>
      <c r="X15" s="26">
        <f t="shared" si="12"/>
        <v>0.60682545325275505</v>
      </c>
      <c r="Y15" s="26">
        <f t="shared" si="12"/>
        <v>1.2012667135819846</v>
      </c>
      <c r="Z15" s="26">
        <f t="shared" si="13"/>
        <v>0</v>
      </c>
      <c r="AA15" s="26">
        <f t="shared" si="14"/>
        <v>0</v>
      </c>
      <c r="AB15" s="26">
        <f t="shared" si="6"/>
        <v>1.2012667135819846</v>
      </c>
      <c r="AC15" s="38">
        <f t="shared" si="8"/>
        <v>49</v>
      </c>
      <c r="AD15" s="38" t="str">
        <f t="shared" si="9"/>
        <v>5</v>
      </c>
      <c r="AE15" s="26">
        <f t="shared" ref="AE15:AI18" si="15">IF(C15&gt;0,((I15*((3*29)+C15))/(4*C15*29))*(1-(C15-I15)/(569-29)),0)</f>
        <v>2.8773262178434489E-3</v>
      </c>
      <c r="AF15" s="26">
        <f t="shared" si="15"/>
        <v>4.8151439744045503E-2</v>
      </c>
      <c r="AG15" s="26">
        <f t="shared" si="15"/>
        <v>6.5665806552506062E-2</v>
      </c>
      <c r="AH15" s="26">
        <f t="shared" si="15"/>
        <v>0</v>
      </c>
      <c r="AI15" s="26">
        <f t="shared" si="15"/>
        <v>0</v>
      </c>
      <c r="AJ15" s="2"/>
    </row>
    <row r="16" spans="1:61" x14ac:dyDescent="0.3">
      <c r="A16" s="31" t="s">
        <v>31</v>
      </c>
      <c r="B16" t="s">
        <v>28</v>
      </c>
      <c r="C16">
        <v>508</v>
      </c>
      <c r="D16">
        <v>52</v>
      </c>
      <c r="E16">
        <v>1</v>
      </c>
      <c r="F16">
        <v>0</v>
      </c>
      <c r="G16">
        <v>0</v>
      </c>
      <c r="I16">
        <v>29</v>
      </c>
      <c r="J16">
        <v>2</v>
      </c>
      <c r="K16">
        <v>0</v>
      </c>
      <c r="L16">
        <v>0</v>
      </c>
      <c r="M16">
        <v>0</v>
      </c>
      <c r="O16" s="2">
        <f t="shared" si="0"/>
        <v>5.7086614173228349E-2</v>
      </c>
      <c r="P16" s="2">
        <f t="shared" si="1"/>
        <v>3.8461538461538464E-2</v>
      </c>
      <c r="Q16" s="2">
        <f t="shared" si="2"/>
        <v>0</v>
      </c>
      <c r="R16" s="2">
        <f t="shared" si="3"/>
        <v>0</v>
      </c>
      <c r="S16" s="2">
        <f t="shared" si="4"/>
        <v>0</v>
      </c>
      <c r="T16" s="2"/>
      <c r="U16" s="2">
        <f>29/569</f>
        <v>5.0966608084358524E-2</v>
      </c>
      <c r="V16" s="2"/>
      <c r="W16" s="3">
        <f t="shared" si="12"/>
        <v>1.1200787401574803</v>
      </c>
      <c r="X16" s="3">
        <f t="shared" si="12"/>
        <v>0.75464190981432366</v>
      </c>
      <c r="Y16" s="3">
        <f t="shared" si="12"/>
        <v>0</v>
      </c>
      <c r="Z16" s="3">
        <f t="shared" si="13"/>
        <v>0</v>
      </c>
      <c r="AA16" s="3">
        <f t="shared" si="14"/>
        <v>0</v>
      </c>
      <c r="AB16" s="3">
        <f t="shared" si="6"/>
        <v>1.1200787401574803</v>
      </c>
      <c r="AC16" s="38">
        <f t="shared" si="8"/>
        <v>508</v>
      </c>
      <c r="AD16" s="38" t="str">
        <f t="shared" si="9"/>
        <v>3</v>
      </c>
      <c r="AE16" s="3">
        <f t="shared" si="15"/>
        <v>3.3077245552639245E-2</v>
      </c>
      <c r="AF16" s="3">
        <f t="shared" si="15"/>
        <v>4.1820168975341389E-2</v>
      </c>
      <c r="AG16" s="3">
        <f t="shared" si="15"/>
        <v>0</v>
      </c>
      <c r="AH16" s="3">
        <f t="shared" si="15"/>
        <v>0</v>
      </c>
      <c r="AI16" s="3">
        <f t="shared" si="15"/>
        <v>0</v>
      </c>
      <c r="AJ16" s="2"/>
    </row>
    <row r="17" spans="1:71" x14ac:dyDescent="0.3">
      <c r="A17" s="31" t="s">
        <v>31</v>
      </c>
      <c r="B17" t="s">
        <v>29</v>
      </c>
      <c r="C17">
        <v>550</v>
      </c>
      <c r="D17">
        <v>233</v>
      </c>
      <c r="E17">
        <v>14</v>
      </c>
      <c r="F17">
        <v>0</v>
      </c>
      <c r="G17">
        <v>0</v>
      </c>
      <c r="I17">
        <v>25</v>
      </c>
      <c r="J17">
        <v>10</v>
      </c>
      <c r="K17">
        <v>2</v>
      </c>
      <c r="L17">
        <v>0</v>
      </c>
      <c r="M17">
        <v>0</v>
      </c>
      <c r="O17" s="2">
        <f t="shared" si="0"/>
        <v>4.5454545454545456E-2</v>
      </c>
      <c r="P17" s="2">
        <f t="shared" si="1"/>
        <v>4.2918454935622317E-2</v>
      </c>
      <c r="Q17" s="2">
        <f t="shared" si="2"/>
        <v>0.14285714285714285</v>
      </c>
      <c r="R17" s="2">
        <f t="shared" si="3"/>
        <v>0</v>
      </c>
      <c r="S17" s="2">
        <f t="shared" si="4"/>
        <v>0</v>
      </c>
      <c r="T17" s="2"/>
      <c r="U17" s="2">
        <f>29/569</f>
        <v>5.0966608084358524E-2</v>
      </c>
      <c r="V17" s="2"/>
      <c r="W17" s="3">
        <f t="shared" si="12"/>
        <v>0.89184952978056431</v>
      </c>
      <c r="X17" s="3">
        <f t="shared" si="12"/>
        <v>0.84208968477134827</v>
      </c>
      <c r="Y17" s="3">
        <f t="shared" si="12"/>
        <v>2.8029556650246303</v>
      </c>
      <c r="Z17" s="3">
        <f t="shared" si="13"/>
        <v>0</v>
      </c>
      <c r="AA17" s="3">
        <f t="shared" si="14"/>
        <v>0</v>
      </c>
      <c r="AB17" s="3">
        <f t="shared" si="6"/>
        <v>2.8029556650246303</v>
      </c>
      <c r="AC17" s="38">
        <f t="shared" si="8"/>
        <v>14</v>
      </c>
      <c r="AD17" s="38" t="str">
        <f t="shared" si="9"/>
        <v>5</v>
      </c>
      <c r="AE17" s="3">
        <f t="shared" si="15"/>
        <v>6.9335597352838769E-3</v>
      </c>
      <c r="AF17" s="3">
        <f t="shared" si="15"/>
        <v>6.9502683088594003E-2</v>
      </c>
      <c r="AG17" s="3">
        <f t="shared" si="15"/>
        <v>0.12162014230979748</v>
      </c>
      <c r="AH17" s="3">
        <f t="shared" si="15"/>
        <v>0</v>
      </c>
      <c r="AI17" s="3">
        <f t="shared" si="15"/>
        <v>0</v>
      </c>
      <c r="AJ17" s="2"/>
    </row>
    <row r="18" spans="1:71" s="1" customFormat="1" x14ac:dyDescent="0.3">
      <c r="A18" s="31" t="s">
        <v>31</v>
      </c>
      <c r="B18" s="1" t="s">
        <v>30</v>
      </c>
      <c r="C18" s="1">
        <v>504</v>
      </c>
      <c r="D18" s="1">
        <v>35</v>
      </c>
      <c r="E18" s="1">
        <v>1</v>
      </c>
      <c r="F18" s="1">
        <v>0</v>
      </c>
      <c r="G18" s="1">
        <v>0</v>
      </c>
      <c r="I18" s="1">
        <v>29</v>
      </c>
      <c r="J18" s="1">
        <v>10</v>
      </c>
      <c r="K18" s="1">
        <v>0</v>
      </c>
      <c r="L18" s="1">
        <v>0</v>
      </c>
      <c r="M18" s="1">
        <v>0</v>
      </c>
      <c r="O18" s="9">
        <f t="shared" si="0"/>
        <v>5.7539682539682536E-2</v>
      </c>
      <c r="P18" s="9">
        <f t="shared" si="1"/>
        <v>0.2857142857142857</v>
      </c>
      <c r="Q18" s="9">
        <f t="shared" si="2"/>
        <v>0</v>
      </c>
      <c r="R18" s="9">
        <f t="shared" si="3"/>
        <v>0</v>
      </c>
      <c r="S18" s="9">
        <f t="shared" si="4"/>
        <v>0</v>
      </c>
      <c r="T18" s="9"/>
      <c r="U18" s="9">
        <f>29/569</f>
        <v>5.0966608084358524E-2</v>
      </c>
      <c r="V18" s="9"/>
      <c r="W18" s="10">
        <f t="shared" si="12"/>
        <v>1.128968253968254</v>
      </c>
      <c r="X18" s="10">
        <f t="shared" si="12"/>
        <v>5.6059113300492607</v>
      </c>
      <c r="Y18" s="10">
        <f t="shared" si="12"/>
        <v>0</v>
      </c>
      <c r="Z18" s="10">
        <f t="shared" si="13"/>
        <v>0</v>
      </c>
      <c r="AA18" s="10">
        <f t="shared" si="14"/>
        <v>0</v>
      </c>
      <c r="AB18" s="10">
        <f t="shared" si="6"/>
        <v>5.6059113300492607</v>
      </c>
      <c r="AC18" s="38">
        <f t="shared" si="8"/>
        <v>35</v>
      </c>
      <c r="AD18" s="38" t="str">
        <f t="shared" si="9"/>
        <v>4</v>
      </c>
      <c r="AE18" s="10">
        <f t="shared" si="15"/>
        <v>3.5287147266313927E-2</v>
      </c>
      <c r="AF18" s="10">
        <f t="shared" si="15"/>
        <v>0.28658091589126072</v>
      </c>
      <c r="AG18" s="10">
        <f t="shared" si="15"/>
        <v>0</v>
      </c>
      <c r="AH18" s="10">
        <f t="shared" si="15"/>
        <v>0</v>
      </c>
      <c r="AI18" s="10">
        <f t="shared" si="15"/>
        <v>0</v>
      </c>
      <c r="AJ18" s="9"/>
    </row>
    <row r="19" spans="1:71" x14ac:dyDescent="0.3">
      <c r="A19" s="31" t="s">
        <v>55</v>
      </c>
      <c r="B19" s="34" t="s">
        <v>27</v>
      </c>
      <c r="C19">
        <v>567</v>
      </c>
      <c r="D19">
        <v>446</v>
      </c>
      <c r="E19">
        <v>49</v>
      </c>
      <c r="F19">
        <v>1</v>
      </c>
      <c r="G19">
        <v>0</v>
      </c>
      <c r="I19">
        <v>31</v>
      </c>
      <c r="J19">
        <v>23</v>
      </c>
      <c r="K19">
        <v>2</v>
      </c>
      <c r="L19">
        <v>0</v>
      </c>
      <c r="M19">
        <v>0</v>
      </c>
      <c r="N19" s="34"/>
      <c r="O19" s="36">
        <f t="shared" si="0"/>
        <v>5.4673721340388004E-2</v>
      </c>
      <c r="P19" s="36">
        <f t="shared" si="1"/>
        <v>5.1569506726457402E-2</v>
      </c>
      <c r="Q19" s="36">
        <f t="shared" si="2"/>
        <v>4.0816326530612242E-2</v>
      </c>
      <c r="R19" s="36">
        <f t="shared" si="3"/>
        <v>0</v>
      </c>
      <c r="S19" s="36">
        <f t="shared" si="4"/>
        <v>0</v>
      </c>
      <c r="T19" s="36"/>
      <c r="U19" s="36">
        <f>32/569</f>
        <v>5.6239015817223195E-2</v>
      </c>
      <c r="V19" s="36"/>
      <c r="W19" s="37">
        <f t="shared" ref="W19:W54" si="16">O19/$U19</f>
        <v>0.97216710758377423</v>
      </c>
      <c r="X19" s="37">
        <f t="shared" ref="X19:X54" si="17">P19/$U19</f>
        <v>0.91697029147982079</v>
      </c>
      <c r="Y19" s="37">
        <f t="shared" ref="Y19:Y54" si="18">Q19/$U19</f>
        <v>0.72576530612244894</v>
      </c>
      <c r="Z19" s="37">
        <f t="shared" si="13"/>
        <v>0</v>
      </c>
      <c r="AA19" s="37">
        <f t="shared" si="14"/>
        <v>0</v>
      </c>
      <c r="AB19" s="37">
        <f t="shared" si="6"/>
        <v>0.97216710758377423</v>
      </c>
      <c r="AC19" s="38">
        <f t="shared" si="8"/>
        <v>567</v>
      </c>
      <c r="AD19" s="38" t="str">
        <f t="shared" si="9"/>
        <v>3</v>
      </c>
      <c r="AE19" s="37">
        <f t="shared" ref="AE19:AI22" si="19">IF(C19&gt;0,((I19*((3*32)+C19))/(4*C19*32))*(1-(C19-I19)/(569-32)),0)</f>
        <v>5.2736087710484008E-4</v>
      </c>
      <c r="AF19" s="37">
        <f t="shared" si="19"/>
        <v>4.635673710449182E-2</v>
      </c>
      <c r="AG19" s="37">
        <f t="shared" si="19"/>
        <v>4.2190409683426446E-2</v>
      </c>
      <c r="AH19" s="37">
        <f t="shared" si="19"/>
        <v>0</v>
      </c>
      <c r="AI19" s="37">
        <f t="shared" si="19"/>
        <v>0</v>
      </c>
      <c r="AJ19" s="2"/>
      <c r="AT19" s="5"/>
    </row>
    <row r="20" spans="1:71" x14ac:dyDescent="0.3">
      <c r="A20" s="31" t="s">
        <v>55</v>
      </c>
      <c r="B20" t="s">
        <v>28</v>
      </c>
      <c r="C20">
        <v>541</v>
      </c>
      <c r="D20">
        <v>240</v>
      </c>
      <c r="E20">
        <v>18</v>
      </c>
      <c r="F20">
        <v>1</v>
      </c>
      <c r="G20">
        <v>0</v>
      </c>
      <c r="I20">
        <v>31</v>
      </c>
      <c r="J20">
        <v>22</v>
      </c>
      <c r="K20">
        <v>2</v>
      </c>
      <c r="L20">
        <v>0</v>
      </c>
      <c r="M20">
        <v>0</v>
      </c>
      <c r="O20" s="27">
        <f t="shared" si="0"/>
        <v>5.730129390018484E-2</v>
      </c>
      <c r="P20" s="27">
        <f t="shared" si="1"/>
        <v>9.166666666666666E-2</v>
      </c>
      <c r="Q20" s="27">
        <f t="shared" si="2"/>
        <v>0.1111111111111111</v>
      </c>
      <c r="R20" s="27">
        <f t="shared" si="3"/>
        <v>0</v>
      </c>
      <c r="S20" s="27">
        <f t="shared" si="4"/>
        <v>0</v>
      </c>
      <c r="T20" s="27"/>
      <c r="U20" s="27">
        <f>32/569</f>
        <v>5.6239015817223195E-2</v>
      </c>
      <c r="V20" s="27"/>
      <c r="W20" s="28">
        <f t="shared" si="16"/>
        <v>1.0188886321626618</v>
      </c>
      <c r="X20" s="28">
        <f t="shared" si="17"/>
        <v>1.6299479166666666</v>
      </c>
      <c r="Y20" s="28">
        <f t="shared" si="18"/>
        <v>1.9756944444444444</v>
      </c>
      <c r="Z20" s="28">
        <f t="shared" si="13"/>
        <v>0</v>
      </c>
      <c r="AA20" s="28">
        <f t="shared" si="14"/>
        <v>0</v>
      </c>
      <c r="AB20" s="28">
        <f t="shared" si="6"/>
        <v>1.9756944444444444</v>
      </c>
      <c r="AC20" s="38">
        <f t="shared" si="8"/>
        <v>18</v>
      </c>
      <c r="AD20" s="38" t="str">
        <f t="shared" si="9"/>
        <v>5</v>
      </c>
      <c r="AE20" s="28">
        <f t="shared" si="19"/>
        <v>1.4337828121934345E-2</v>
      </c>
      <c r="AF20" s="28">
        <f t="shared" si="19"/>
        <v>0.1429411080074488</v>
      </c>
      <c r="AG20" s="28">
        <f t="shared" si="19"/>
        <v>9.6009854127870886E-2</v>
      </c>
      <c r="AH20" s="28">
        <f t="shared" si="19"/>
        <v>0</v>
      </c>
      <c r="AI20" s="28">
        <f t="shared" si="19"/>
        <v>0</v>
      </c>
      <c r="AJ20" s="2"/>
    </row>
    <row r="21" spans="1:71" x14ac:dyDescent="0.3">
      <c r="A21" s="31" t="s">
        <v>55</v>
      </c>
      <c r="B21" t="s">
        <v>29</v>
      </c>
      <c r="C21">
        <v>567</v>
      </c>
      <c r="D21">
        <v>518</v>
      </c>
      <c r="E21">
        <v>121</v>
      </c>
      <c r="F21">
        <v>4</v>
      </c>
      <c r="G21">
        <v>1</v>
      </c>
      <c r="I21">
        <v>32</v>
      </c>
      <c r="J21">
        <v>23</v>
      </c>
      <c r="K21">
        <v>5</v>
      </c>
      <c r="L21">
        <v>0</v>
      </c>
      <c r="M21">
        <v>0</v>
      </c>
      <c r="O21" s="27">
        <f t="shared" si="0"/>
        <v>5.6437389770723101E-2</v>
      </c>
      <c r="P21" s="27">
        <f t="shared" si="1"/>
        <v>4.4401544401544403E-2</v>
      </c>
      <c r="Q21" s="27">
        <f t="shared" si="2"/>
        <v>4.1322314049586778E-2</v>
      </c>
      <c r="R21" s="27">
        <f t="shared" si="3"/>
        <v>0</v>
      </c>
      <c r="S21" s="27">
        <f t="shared" si="4"/>
        <v>0</v>
      </c>
      <c r="T21" s="27"/>
      <c r="U21" s="27">
        <f>32/569</f>
        <v>5.6239015817223195E-2</v>
      </c>
      <c r="V21" s="27"/>
      <c r="W21" s="28">
        <f t="shared" si="16"/>
        <v>1.0035273368606703</v>
      </c>
      <c r="X21" s="28">
        <f t="shared" si="17"/>
        <v>0.78951496138996147</v>
      </c>
      <c r="Y21" s="28">
        <f t="shared" si="18"/>
        <v>0.73476239669421495</v>
      </c>
      <c r="Z21" s="28">
        <f t="shared" si="13"/>
        <v>0</v>
      </c>
      <c r="AA21" s="28">
        <f t="shared" si="14"/>
        <v>0</v>
      </c>
      <c r="AB21" s="28">
        <f t="shared" si="6"/>
        <v>1.0035273368606703</v>
      </c>
      <c r="AC21" s="38">
        <f t="shared" si="8"/>
        <v>567</v>
      </c>
      <c r="AD21" s="38" t="str">
        <f t="shared" si="9"/>
        <v>3</v>
      </c>
      <c r="AE21" s="28">
        <f t="shared" si="19"/>
        <v>1.0887450366035085E-3</v>
      </c>
      <c r="AF21" s="28">
        <f t="shared" si="19"/>
        <v>1.6658330816850375E-2</v>
      </c>
      <c r="AG21" s="28">
        <f t="shared" si="19"/>
        <v>5.4921477022638776E-2</v>
      </c>
      <c r="AH21" s="28">
        <f t="shared" si="19"/>
        <v>0</v>
      </c>
      <c r="AI21" s="28">
        <f t="shared" si="19"/>
        <v>0</v>
      </c>
      <c r="AJ21" s="2"/>
    </row>
    <row r="22" spans="1:71" s="1" customFormat="1" x14ac:dyDescent="0.3">
      <c r="A22" s="31" t="s">
        <v>55</v>
      </c>
      <c r="B22" s="1" t="s">
        <v>30</v>
      </c>
      <c r="C22" s="1">
        <v>32</v>
      </c>
      <c r="D22" s="1">
        <v>1</v>
      </c>
      <c r="E22" s="1">
        <v>0</v>
      </c>
      <c r="F22" s="1">
        <v>0</v>
      </c>
      <c r="G22" s="1">
        <v>0</v>
      </c>
      <c r="I22" s="1">
        <v>10</v>
      </c>
      <c r="J22" s="1">
        <v>0</v>
      </c>
      <c r="K22" s="1">
        <v>0</v>
      </c>
      <c r="L22" s="1">
        <v>0</v>
      </c>
      <c r="M22" s="1">
        <v>0</v>
      </c>
      <c r="O22" s="29">
        <f t="shared" si="0"/>
        <v>0.3125</v>
      </c>
      <c r="P22" s="29">
        <f t="shared" si="1"/>
        <v>0</v>
      </c>
      <c r="Q22" s="29">
        <f t="shared" si="2"/>
        <v>0</v>
      </c>
      <c r="R22" s="29">
        <f t="shared" si="3"/>
        <v>0</v>
      </c>
      <c r="S22" s="29">
        <f t="shared" si="4"/>
        <v>0</v>
      </c>
      <c r="T22" s="29"/>
      <c r="U22" s="29">
        <f>32/569</f>
        <v>5.6239015817223195E-2</v>
      </c>
      <c r="V22" s="29"/>
      <c r="W22" s="30">
        <f t="shared" si="16"/>
        <v>5.556640625</v>
      </c>
      <c r="X22" s="30">
        <f t="shared" si="17"/>
        <v>0</v>
      </c>
      <c r="Y22" s="30">
        <f t="shared" si="18"/>
        <v>0</v>
      </c>
      <c r="Z22" s="30">
        <f t="shared" si="13"/>
        <v>0</v>
      </c>
      <c r="AA22" s="30">
        <f t="shared" si="14"/>
        <v>0</v>
      </c>
      <c r="AB22" s="30">
        <f t="shared" si="6"/>
        <v>5.556640625</v>
      </c>
      <c r="AC22" s="38">
        <f t="shared" si="8"/>
        <v>32</v>
      </c>
      <c r="AD22" s="38" t="str">
        <f t="shared" si="9"/>
        <v>3</v>
      </c>
      <c r="AE22" s="30">
        <f t="shared" si="19"/>
        <v>0.29969739292364994</v>
      </c>
      <c r="AF22" s="30">
        <f t="shared" si="19"/>
        <v>0</v>
      </c>
      <c r="AG22" s="30">
        <f t="shared" si="19"/>
        <v>0</v>
      </c>
      <c r="AH22" s="30">
        <f t="shared" si="19"/>
        <v>0</v>
      </c>
      <c r="AI22" s="30">
        <f t="shared" si="19"/>
        <v>0</v>
      </c>
      <c r="AJ22" s="9"/>
    </row>
    <row r="23" spans="1:71" x14ac:dyDescent="0.3">
      <c r="A23" s="31" t="s">
        <v>32</v>
      </c>
      <c r="B23" s="34" t="s">
        <v>27</v>
      </c>
      <c r="C23">
        <v>558</v>
      </c>
      <c r="D23">
        <v>235</v>
      </c>
      <c r="E23">
        <v>8</v>
      </c>
      <c r="F23">
        <v>0</v>
      </c>
      <c r="G23">
        <v>0</v>
      </c>
      <c r="I23">
        <v>43</v>
      </c>
      <c r="J23">
        <v>16</v>
      </c>
      <c r="K23">
        <v>0</v>
      </c>
      <c r="L23">
        <v>0</v>
      </c>
      <c r="M23">
        <v>0</v>
      </c>
      <c r="N23" s="34"/>
      <c r="O23" s="35">
        <f t="shared" si="0"/>
        <v>7.7060931899641583E-2</v>
      </c>
      <c r="P23" s="35">
        <f t="shared" si="1"/>
        <v>6.8085106382978725E-2</v>
      </c>
      <c r="Q23" s="35">
        <f t="shared" si="2"/>
        <v>0</v>
      </c>
      <c r="R23" s="35">
        <f t="shared" si="3"/>
        <v>0</v>
      </c>
      <c r="S23" s="35">
        <f t="shared" si="4"/>
        <v>0</v>
      </c>
      <c r="T23" s="35"/>
      <c r="U23" s="35">
        <f>43/569</f>
        <v>7.5571177504393669E-2</v>
      </c>
      <c r="V23" s="35"/>
      <c r="W23" s="26">
        <f t="shared" si="16"/>
        <v>1.0197132616487457</v>
      </c>
      <c r="X23" s="26">
        <f t="shared" si="17"/>
        <v>0.9009401286491836</v>
      </c>
      <c r="Y23" s="26">
        <f t="shared" si="18"/>
        <v>0</v>
      </c>
      <c r="Z23" s="26">
        <f t="shared" si="13"/>
        <v>0</v>
      </c>
      <c r="AA23" s="26">
        <f t="shared" si="14"/>
        <v>0</v>
      </c>
      <c r="AB23" s="26">
        <f t="shared" si="6"/>
        <v>1.0197132616487457</v>
      </c>
      <c r="AC23" s="38">
        <f t="shared" si="8"/>
        <v>558</v>
      </c>
      <c r="AD23" s="38" t="str">
        <f t="shared" si="9"/>
        <v>3</v>
      </c>
      <c r="AE23" s="26">
        <f t="shared" ref="AE23:AI26" si="20">IF(C23&gt;0,((I23*((3*43)+C23))/(4*C23*43))*(1-(C23-I23)/(569-43)),0)</f>
        <v>6.4367921828365872E-3</v>
      </c>
      <c r="AF23" s="26">
        <f t="shared" si="20"/>
        <v>8.4096454904115159E-2</v>
      </c>
      <c r="AG23" s="26">
        <f t="shared" si="20"/>
        <v>0</v>
      </c>
      <c r="AH23" s="26">
        <f t="shared" si="20"/>
        <v>0</v>
      </c>
      <c r="AI23" s="26">
        <f t="shared" si="20"/>
        <v>0</v>
      </c>
    </row>
    <row r="24" spans="1:71" x14ac:dyDescent="0.3">
      <c r="A24" s="31" t="s">
        <v>32</v>
      </c>
      <c r="B24" t="s">
        <v>28</v>
      </c>
      <c r="C24">
        <v>544</v>
      </c>
      <c r="D24">
        <v>213</v>
      </c>
      <c r="E24">
        <v>6</v>
      </c>
      <c r="F24">
        <v>0</v>
      </c>
      <c r="G24">
        <v>0</v>
      </c>
      <c r="I24">
        <v>43</v>
      </c>
      <c r="J24">
        <v>18</v>
      </c>
      <c r="K24">
        <v>0</v>
      </c>
      <c r="L24">
        <v>0</v>
      </c>
      <c r="M24">
        <v>0</v>
      </c>
      <c r="O24" s="2">
        <f t="shared" si="0"/>
        <v>7.904411764705882E-2</v>
      </c>
      <c r="P24" s="2">
        <f t="shared" si="1"/>
        <v>8.4507042253521125E-2</v>
      </c>
      <c r="Q24" s="2">
        <f t="shared" si="2"/>
        <v>0</v>
      </c>
      <c r="R24" s="2">
        <f t="shared" si="3"/>
        <v>0</v>
      </c>
      <c r="S24" s="2">
        <f t="shared" si="4"/>
        <v>0</v>
      </c>
      <c r="T24" s="2"/>
      <c r="U24" s="2">
        <f>43/569</f>
        <v>7.5571177504393669E-2</v>
      </c>
      <c r="V24" s="2"/>
      <c r="W24" s="3">
        <f t="shared" si="16"/>
        <v>1.0459558823529411</v>
      </c>
      <c r="X24" s="3">
        <f t="shared" si="17"/>
        <v>1.1182443498198493</v>
      </c>
      <c r="Y24" s="3">
        <f t="shared" si="18"/>
        <v>0</v>
      </c>
      <c r="Z24" s="3">
        <f t="shared" si="13"/>
        <v>0</v>
      </c>
      <c r="AA24" s="3">
        <f t="shared" si="14"/>
        <v>0</v>
      </c>
      <c r="AB24" s="3">
        <f t="shared" si="6"/>
        <v>1.1182443498198493</v>
      </c>
      <c r="AC24" s="38">
        <f t="shared" si="8"/>
        <v>213</v>
      </c>
      <c r="AD24" s="38" t="str">
        <f t="shared" si="9"/>
        <v>4</v>
      </c>
      <c r="AE24" s="3">
        <f t="shared" si="20"/>
        <v>1.469976655110714E-2</v>
      </c>
      <c r="AF24" s="3">
        <f t="shared" si="20"/>
        <v>0.1057384184850904</v>
      </c>
      <c r="AG24" s="3">
        <f t="shared" si="20"/>
        <v>0</v>
      </c>
      <c r="AH24" s="3">
        <f t="shared" si="20"/>
        <v>0</v>
      </c>
      <c r="AI24" s="3">
        <f t="shared" si="20"/>
        <v>0</v>
      </c>
    </row>
    <row r="25" spans="1:71" x14ac:dyDescent="0.3">
      <c r="A25" s="31" t="s">
        <v>32</v>
      </c>
      <c r="B25" t="s">
        <v>29</v>
      </c>
      <c r="C25">
        <v>567</v>
      </c>
      <c r="D25">
        <v>514</v>
      </c>
      <c r="E25">
        <v>94</v>
      </c>
      <c r="F25">
        <v>6</v>
      </c>
      <c r="G25">
        <v>2</v>
      </c>
      <c r="I25">
        <v>43</v>
      </c>
      <c r="J25">
        <v>40</v>
      </c>
      <c r="K25">
        <v>2</v>
      </c>
      <c r="L25">
        <v>0</v>
      </c>
      <c r="M25">
        <v>0</v>
      </c>
      <c r="O25" s="2">
        <f t="shared" si="0"/>
        <v>7.5837742504409167E-2</v>
      </c>
      <c r="P25" s="2">
        <f t="shared" si="1"/>
        <v>7.7821011673151752E-2</v>
      </c>
      <c r="Q25" s="2">
        <f t="shared" si="2"/>
        <v>2.1276595744680851E-2</v>
      </c>
      <c r="R25" s="2">
        <f t="shared" si="3"/>
        <v>0</v>
      </c>
      <c r="S25" s="2">
        <f t="shared" si="4"/>
        <v>0</v>
      </c>
      <c r="T25" s="2"/>
      <c r="U25" s="2">
        <f>43/569</f>
        <v>7.5571177504393669E-2</v>
      </c>
      <c r="V25" s="2"/>
      <c r="W25" s="3">
        <f t="shared" si="16"/>
        <v>1.0035273368606701</v>
      </c>
      <c r="X25" s="3">
        <f t="shared" si="17"/>
        <v>1.0297710614424034</v>
      </c>
      <c r="Y25" s="3">
        <f t="shared" si="18"/>
        <v>0.28154379020286985</v>
      </c>
      <c r="Z25" s="3">
        <f t="shared" si="13"/>
        <v>0</v>
      </c>
      <c r="AA25" s="3">
        <f t="shared" si="14"/>
        <v>0</v>
      </c>
      <c r="AB25" s="3">
        <f t="shared" si="6"/>
        <v>1.0297710614424034</v>
      </c>
      <c r="AC25" s="38">
        <f t="shared" si="8"/>
        <v>514</v>
      </c>
      <c r="AD25" s="38" t="str">
        <f t="shared" si="9"/>
        <v>4</v>
      </c>
      <c r="AE25" s="3">
        <f t="shared" si="20"/>
        <v>1.1668376687388193E-3</v>
      </c>
      <c r="AF25" s="3">
        <f t="shared" si="20"/>
        <v>2.876053747351115E-2</v>
      </c>
      <c r="AG25" s="3">
        <f t="shared" si="20"/>
        <v>2.2760539054753982E-2</v>
      </c>
      <c r="AH25" s="3">
        <f t="shared" si="20"/>
        <v>0</v>
      </c>
      <c r="AI25" s="3">
        <f t="shared" si="20"/>
        <v>0</v>
      </c>
    </row>
    <row r="26" spans="1:71" s="1" customFormat="1" x14ac:dyDescent="0.3">
      <c r="A26" s="31" t="s">
        <v>32</v>
      </c>
      <c r="B26" s="1" t="s">
        <v>30</v>
      </c>
      <c r="C26" s="1">
        <v>17</v>
      </c>
      <c r="D26" s="1">
        <v>2</v>
      </c>
      <c r="E26" s="1">
        <v>0</v>
      </c>
      <c r="F26" s="1">
        <v>0</v>
      </c>
      <c r="G26" s="1">
        <v>0</v>
      </c>
      <c r="I26" s="1">
        <v>1</v>
      </c>
      <c r="J26" s="1">
        <v>0</v>
      </c>
      <c r="K26" s="1">
        <v>0</v>
      </c>
      <c r="L26" s="1">
        <v>0</v>
      </c>
      <c r="M26" s="1">
        <v>0</v>
      </c>
      <c r="O26" s="9">
        <f t="shared" si="0"/>
        <v>5.8823529411764705E-2</v>
      </c>
      <c r="P26" s="9">
        <f t="shared" si="1"/>
        <v>0</v>
      </c>
      <c r="Q26" s="9">
        <f t="shared" si="2"/>
        <v>0</v>
      </c>
      <c r="R26" s="9">
        <f t="shared" si="3"/>
        <v>0</v>
      </c>
      <c r="S26" s="9">
        <f t="shared" si="4"/>
        <v>0</v>
      </c>
      <c r="T26" s="9"/>
      <c r="U26" s="9">
        <f>43/569</f>
        <v>7.5571177504393669E-2</v>
      </c>
      <c r="V26" s="9"/>
      <c r="W26" s="10">
        <f t="shared" si="16"/>
        <v>0.77838577291381672</v>
      </c>
      <c r="X26" s="10">
        <f t="shared" si="17"/>
        <v>0</v>
      </c>
      <c r="Y26" s="10">
        <f t="shared" si="18"/>
        <v>0</v>
      </c>
      <c r="Z26" s="10">
        <f t="shared" si="13"/>
        <v>0</v>
      </c>
      <c r="AA26" s="10">
        <f t="shared" si="14"/>
        <v>0</v>
      </c>
      <c r="AB26" s="10">
        <f t="shared" si="6"/>
        <v>0.77838577291381672</v>
      </c>
      <c r="AC26" s="38">
        <f t="shared" si="8"/>
        <v>17</v>
      </c>
      <c r="AD26" s="38" t="str">
        <f t="shared" si="9"/>
        <v>3</v>
      </c>
      <c r="AE26" s="10">
        <f t="shared" si="20"/>
        <v>4.8412768591387385E-2</v>
      </c>
      <c r="AF26" s="10">
        <f t="shared" si="20"/>
        <v>0</v>
      </c>
      <c r="AG26" s="10">
        <f t="shared" si="20"/>
        <v>0</v>
      </c>
      <c r="AH26" s="10">
        <f t="shared" si="20"/>
        <v>0</v>
      </c>
      <c r="AI26" s="10">
        <f t="shared" si="20"/>
        <v>0</v>
      </c>
    </row>
    <row r="27" spans="1:71" x14ac:dyDescent="0.3">
      <c r="A27" s="31" t="s">
        <v>33</v>
      </c>
      <c r="B27" s="34" t="s">
        <v>27</v>
      </c>
      <c r="C27">
        <v>567</v>
      </c>
      <c r="D27">
        <v>552</v>
      </c>
      <c r="E27">
        <v>312</v>
      </c>
      <c r="F27">
        <v>15</v>
      </c>
      <c r="G27">
        <v>0</v>
      </c>
      <c r="I27">
        <v>51</v>
      </c>
      <c r="J27">
        <v>49</v>
      </c>
      <c r="K27">
        <v>22</v>
      </c>
      <c r="L27">
        <v>0</v>
      </c>
      <c r="M27">
        <v>0</v>
      </c>
      <c r="N27" s="34"/>
      <c r="O27" s="35">
        <f t="shared" si="0"/>
        <v>8.9947089947089942E-2</v>
      </c>
      <c r="P27" s="35">
        <f t="shared" si="1"/>
        <v>8.8768115942028991E-2</v>
      </c>
      <c r="Q27" s="35">
        <f t="shared" si="2"/>
        <v>7.0512820512820512E-2</v>
      </c>
      <c r="R27" s="35">
        <f t="shared" si="3"/>
        <v>0</v>
      </c>
      <c r="S27" s="35">
        <f t="shared" si="4"/>
        <v>0</v>
      </c>
      <c r="T27" s="35"/>
      <c r="U27" s="35">
        <f>51/569</f>
        <v>8.9630931458699478E-2</v>
      </c>
      <c r="V27" s="35"/>
      <c r="W27" s="26">
        <f t="shared" si="16"/>
        <v>1.0035273368606701</v>
      </c>
      <c r="X27" s="26">
        <f t="shared" si="17"/>
        <v>0.99037368570616657</v>
      </c>
      <c r="Y27" s="26">
        <f t="shared" si="18"/>
        <v>0.78670186023127198</v>
      </c>
      <c r="Z27" s="26">
        <f t="shared" si="13"/>
        <v>0</v>
      </c>
      <c r="AA27" s="26">
        <f t="shared" si="14"/>
        <v>0</v>
      </c>
      <c r="AB27" s="26">
        <f t="shared" si="6"/>
        <v>1.0035273368606701</v>
      </c>
      <c r="AC27" s="38">
        <f t="shared" si="8"/>
        <v>567</v>
      </c>
      <c r="AD27" s="38" t="str">
        <f t="shared" si="9"/>
        <v>3</v>
      </c>
      <c r="AE27" s="26">
        <f t="shared" ref="AE27:AI30" si="21">IF(C27&gt;0,((I27*((3*51)+C27))/(4*C27*51))*(1-(C27-I27)/(569-51)),0)</f>
        <v>1.2257155114297946E-3</v>
      </c>
      <c r="AF27" s="26">
        <f t="shared" si="21"/>
        <v>8.883363862583829E-3</v>
      </c>
      <c r="AG27" s="26">
        <f t="shared" si="21"/>
        <v>7.0745033980328109E-2</v>
      </c>
      <c r="AH27" s="26">
        <f t="shared" si="21"/>
        <v>0</v>
      </c>
      <c r="AI27" s="26">
        <f t="shared" si="21"/>
        <v>0</v>
      </c>
      <c r="AR27" s="17"/>
      <c r="AS27" s="24"/>
      <c r="AT27" s="24"/>
      <c r="AU27" s="7"/>
      <c r="AV27" s="7"/>
      <c r="AW27" s="18"/>
      <c r="AX27" s="4"/>
      <c r="AZ27" s="5"/>
      <c r="BA27" s="5"/>
      <c r="BC27" s="5"/>
      <c r="BF27" s="4"/>
      <c r="BG27" s="5"/>
      <c r="BJ27" s="4"/>
      <c r="BK27" s="5"/>
      <c r="BN27" s="4"/>
      <c r="BO27" s="5"/>
      <c r="BR27" s="4"/>
      <c r="BS27" s="5"/>
    </row>
    <row r="28" spans="1:71" x14ac:dyDescent="0.3">
      <c r="A28" s="31" t="s">
        <v>33</v>
      </c>
      <c r="B28" t="s">
        <v>28</v>
      </c>
      <c r="C28">
        <v>569</v>
      </c>
      <c r="D28">
        <v>552</v>
      </c>
      <c r="E28">
        <v>317</v>
      </c>
      <c r="F28">
        <v>37</v>
      </c>
      <c r="G28">
        <v>0</v>
      </c>
      <c r="I28">
        <v>51</v>
      </c>
      <c r="J28">
        <v>47</v>
      </c>
      <c r="K28">
        <v>24</v>
      </c>
      <c r="L28">
        <v>0</v>
      </c>
      <c r="M28">
        <v>0</v>
      </c>
      <c r="O28" s="2">
        <f t="shared" si="0"/>
        <v>8.9630931458699478E-2</v>
      </c>
      <c r="P28" s="2">
        <f t="shared" si="1"/>
        <v>8.5144927536231887E-2</v>
      </c>
      <c r="Q28" s="2">
        <f t="shared" si="2"/>
        <v>7.5709779179810727E-2</v>
      </c>
      <c r="R28" s="2">
        <f t="shared" si="3"/>
        <v>0</v>
      </c>
      <c r="S28" s="2">
        <f t="shared" si="4"/>
        <v>0</v>
      </c>
      <c r="T28" s="2"/>
      <c r="U28" s="2">
        <f>51/569</f>
        <v>8.9630931458699478E-2</v>
      </c>
      <c r="V28" s="2"/>
      <c r="W28" s="3">
        <f t="shared" si="16"/>
        <v>1</v>
      </c>
      <c r="X28" s="3">
        <f t="shared" si="17"/>
        <v>0.94995026996305765</v>
      </c>
      <c r="Y28" s="3">
        <f t="shared" si="18"/>
        <v>0.84468361477082943</v>
      </c>
      <c r="Z28" s="3">
        <f t="shared" si="13"/>
        <v>0</v>
      </c>
      <c r="AA28" s="3">
        <f t="shared" si="14"/>
        <v>0</v>
      </c>
      <c r="AB28" s="3">
        <f t="shared" si="6"/>
        <v>1</v>
      </c>
      <c r="AC28" s="38">
        <f t="shared" si="8"/>
        <v>569</v>
      </c>
      <c r="AD28" s="38" t="str">
        <f t="shared" si="9"/>
        <v>3</v>
      </c>
      <c r="AE28" s="3">
        <f t="shared" si="21"/>
        <v>0</v>
      </c>
      <c r="AF28" s="3">
        <f t="shared" si="21"/>
        <v>7.3846739048145545E-3</v>
      </c>
      <c r="AG28" s="3">
        <f t="shared" si="21"/>
        <v>7.5765663073141282E-2</v>
      </c>
      <c r="AH28" s="3">
        <f t="shared" si="21"/>
        <v>0</v>
      </c>
      <c r="AI28" s="3">
        <f t="shared" si="21"/>
        <v>0</v>
      </c>
      <c r="AR28" s="21"/>
      <c r="AS28" s="25"/>
      <c r="AT28" s="25"/>
      <c r="AU28" s="4"/>
      <c r="AV28" s="4"/>
      <c r="AW28" s="22"/>
      <c r="AX28" s="4"/>
      <c r="AZ28" s="5"/>
      <c r="BA28" s="5"/>
      <c r="BC28" s="5"/>
      <c r="BF28" s="4"/>
      <c r="BG28" s="5"/>
      <c r="BJ28" s="4"/>
      <c r="BK28" s="5"/>
      <c r="BN28" s="4"/>
      <c r="BO28" s="5"/>
      <c r="BR28" s="4"/>
      <c r="BS28" s="5"/>
    </row>
    <row r="29" spans="1:71" x14ac:dyDescent="0.3">
      <c r="A29" s="31" t="s">
        <v>33</v>
      </c>
      <c r="B29" t="s">
        <v>29</v>
      </c>
      <c r="C29">
        <v>567</v>
      </c>
      <c r="D29">
        <v>544</v>
      </c>
      <c r="E29">
        <v>217</v>
      </c>
      <c r="F29">
        <v>24</v>
      </c>
      <c r="G29">
        <v>0</v>
      </c>
      <c r="I29">
        <v>51</v>
      </c>
      <c r="J29">
        <v>47</v>
      </c>
      <c r="K29">
        <v>13</v>
      </c>
      <c r="L29">
        <v>0</v>
      </c>
      <c r="M29">
        <v>0</v>
      </c>
      <c r="O29" s="2">
        <f t="shared" si="0"/>
        <v>8.9947089947089942E-2</v>
      </c>
      <c r="P29" s="2">
        <f t="shared" si="1"/>
        <v>8.639705882352941E-2</v>
      </c>
      <c r="Q29" s="2">
        <f t="shared" si="2"/>
        <v>5.9907834101382486E-2</v>
      </c>
      <c r="R29" s="2">
        <f t="shared" si="3"/>
        <v>0</v>
      </c>
      <c r="S29" s="2">
        <f t="shared" si="4"/>
        <v>0</v>
      </c>
      <c r="T29" s="2"/>
      <c r="U29" s="2">
        <f>51/569</f>
        <v>8.9630931458699478E-2</v>
      </c>
      <c r="V29" s="2"/>
      <c r="W29" s="3">
        <f t="shared" si="16"/>
        <v>1.0035273368606701</v>
      </c>
      <c r="X29" s="3">
        <f t="shared" si="17"/>
        <v>0.96392012687427908</v>
      </c>
      <c r="Y29" s="3">
        <f t="shared" si="18"/>
        <v>0.66838348242522805</v>
      </c>
      <c r="Z29" s="3">
        <f t="shared" si="13"/>
        <v>0</v>
      </c>
      <c r="AA29" s="3">
        <f t="shared" si="14"/>
        <v>0</v>
      </c>
      <c r="AB29" s="3">
        <f t="shared" si="6"/>
        <v>1.0035273368606701</v>
      </c>
      <c r="AC29" s="38">
        <f t="shared" si="8"/>
        <v>567</v>
      </c>
      <c r="AD29" s="38" t="str">
        <f t="shared" si="9"/>
        <v>3</v>
      </c>
      <c r="AE29" s="3">
        <f t="shared" si="21"/>
        <v>1.2257155114297946E-3</v>
      </c>
      <c r="AF29" s="3">
        <f t="shared" si="21"/>
        <v>1.1967160174880771E-2</v>
      </c>
      <c r="AG29" s="3">
        <f t="shared" si="21"/>
        <v>6.5865055699699235E-2</v>
      </c>
      <c r="AH29" s="3">
        <f t="shared" si="21"/>
        <v>0</v>
      </c>
      <c r="AI29" s="3">
        <f t="shared" si="21"/>
        <v>0</v>
      </c>
      <c r="AR29" s="21"/>
      <c r="AS29" s="25"/>
      <c r="AT29" s="25"/>
      <c r="AU29" s="4"/>
      <c r="AV29" s="4"/>
      <c r="AW29" s="22"/>
      <c r="AX29" s="4"/>
      <c r="AZ29" s="5"/>
      <c r="BA29" s="5"/>
      <c r="BC29" s="5"/>
      <c r="BF29" s="4"/>
      <c r="BG29" s="5"/>
      <c r="BJ29" s="4"/>
      <c r="BK29" s="5"/>
      <c r="BN29" s="4"/>
      <c r="BO29" s="5"/>
      <c r="BR29" s="4"/>
      <c r="BS29" s="5"/>
    </row>
    <row r="30" spans="1:71" s="1" customFormat="1" x14ac:dyDescent="0.3">
      <c r="A30" s="31" t="s">
        <v>33</v>
      </c>
      <c r="B30" s="1" t="s">
        <v>30</v>
      </c>
      <c r="C30" s="1">
        <v>6</v>
      </c>
      <c r="D30" s="1">
        <v>0</v>
      </c>
      <c r="E30" s="1">
        <v>0</v>
      </c>
      <c r="F30" s="1">
        <v>0</v>
      </c>
      <c r="G30" s="1">
        <v>0</v>
      </c>
      <c r="I30" s="1">
        <v>1</v>
      </c>
      <c r="J30" s="1">
        <v>0</v>
      </c>
      <c r="K30" s="1">
        <v>0</v>
      </c>
      <c r="L30" s="1">
        <v>0</v>
      </c>
      <c r="M30" s="1">
        <v>0</v>
      </c>
      <c r="O30" s="9">
        <f t="shared" si="0"/>
        <v>0.16666666666666666</v>
      </c>
      <c r="P30" s="9">
        <f t="shared" si="1"/>
        <v>0</v>
      </c>
      <c r="Q30" s="9">
        <f t="shared" si="2"/>
        <v>0</v>
      </c>
      <c r="R30" s="9">
        <f t="shared" si="3"/>
        <v>0</v>
      </c>
      <c r="S30" s="9">
        <f t="shared" si="4"/>
        <v>0</v>
      </c>
      <c r="T30" s="9"/>
      <c r="U30" s="9">
        <f>51/569</f>
        <v>8.9630931458699478E-2</v>
      </c>
      <c r="V30" s="9"/>
      <c r="W30" s="10">
        <f t="shared" si="16"/>
        <v>1.8594771241830064</v>
      </c>
      <c r="X30" s="10">
        <f t="shared" si="17"/>
        <v>0</v>
      </c>
      <c r="Y30" s="10">
        <f t="shared" si="18"/>
        <v>0</v>
      </c>
      <c r="Z30" s="10">
        <f t="shared" si="13"/>
        <v>0</v>
      </c>
      <c r="AA30" s="10">
        <f t="shared" si="14"/>
        <v>0</v>
      </c>
      <c r="AB30" s="10">
        <f t="shared" si="6"/>
        <v>1.8594771241830064</v>
      </c>
      <c r="AC30" s="38">
        <f t="shared" si="8"/>
        <v>6</v>
      </c>
      <c r="AD30" s="38" t="str">
        <f t="shared" si="9"/>
        <v>3</v>
      </c>
      <c r="AE30" s="10">
        <f t="shared" si="21"/>
        <v>0.12864808085396323</v>
      </c>
      <c r="AF30" s="10">
        <f t="shared" si="21"/>
        <v>0</v>
      </c>
      <c r="AG30" s="10">
        <f t="shared" si="21"/>
        <v>0</v>
      </c>
      <c r="AH30" s="10">
        <f t="shared" si="21"/>
        <v>0</v>
      </c>
      <c r="AI30" s="10">
        <f t="shared" si="21"/>
        <v>0</v>
      </c>
      <c r="AR30" s="19"/>
      <c r="AS30" s="16"/>
      <c r="AT30" s="16"/>
      <c r="AU30" s="13"/>
      <c r="AV30" s="13"/>
      <c r="AW30" s="20"/>
      <c r="AX30" s="13"/>
      <c r="AZ30" s="14"/>
      <c r="BA30" s="14"/>
      <c r="BC30" s="14"/>
      <c r="BF30" s="4"/>
      <c r="BG30" s="14"/>
      <c r="BJ30" s="4"/>
      <c r="BK30" s="5"/>
      <c r="BN30" s="13"/>
      <c r="BO30" s="14"/>
      <c r="BR30" s="13"/>
      <c r="BS30" s="14"/>
    </row>
    <row r="31" spans="1:71" x14ac:dyDescent="0.3">
      <c r="A31" s="31" t="s">
        <v>34</v>
      </c>
      <c r="B31" s="34" t="s">
        <v>27</v>
      </c>
      <c r="C31">
        <v>561</v>
      </c>
      <c r="D31">
        <v>360</v>
      </c>
      <c r="E31">
        <v>31</v>
      </c>
      <c r="F31">
        <v>0</v>
      </c>
      <c r="G31">
        <v>0</v>
      </c>
      <c r="I31">
        <v>68</v>
      </c>
      <c r="J31">
        <v>46</v>
      </c>
      <c r="K31">
        <v>4</v>
      </c>
      <c r="L31">
        <v>0</v>
      </c>
      <c r="M31">
        <v>0</v>
      </c>
      <c r="N31" s="34"/>
      <c r="O31" s="35">
        <f t="shared" si="0"/>
        <v>0.12121212121212122</v>
      </c>
      <c r="P31" s="35">
        <f t="shared" si="1"/>
        <v>0.12777777777777777</v>
      </c>
      <c r="Q31" s="35">
        <f t="shared" si="2"/>
        <v>0.12903225806451613</v>
      </c>
      <c r="R31" s="35">
        <f t="shared" si="3"/>
        <v>0</v>
      </c>
      <c r="S31" s="35">
        <f t="shared" si="4"/>
        <v>0</v>
      </c>
      <c r="T31" s="35"/>
      <c r="U31" s="35">
        <f>69/569</f>
        <v>0.12126537785588752</v>
      </c>
      <c r="V31" s="35"/>
      <c r="W31" s="26">
        <f t="shared" si="16"/>
        <v>0.99956082564778226</v>
      </c>
      <c r="X31" s="26">
        <f t="shared" si="17"/>
        <v>1.0537037037037036</v>
      </c>
      <c r="Y31" s="26">
        <f t="shared" si="18"/>
        <v>1.0640486208508648</v>
      </c>
      <c r="Z31" s="26">
        <f t="shared" si="13"/>
        <v>0</v>
      </c>
      <c r="AA31" s="26">
        <f t="shared" si="14"/>
        <v>0</v>
      </c>
      <c r="AB31" s="26">
        <f t="shared" si="6"/>
        <v>1.0640486208508648</v>
      </c>
      <c r="AC31" s="38">
        <f t="shared" si="8"/>
        <v>31</v>
      </c>
      <c r="AD31" s="38" t="str">
        <f t="shared" si="9"/>
        <v>5</v>
      </c>
      <c r="AE31" s="26">
        <f t="shared" ref="AE31:AI34" si="22">IF(C31&gt;0,((I31*((3*69)+C31))/(4*C31*69))*(1-(C31-I31)/(569-69)),0)</f>
        <v>4.7220026350461176E-3</v>
      </c>
      <c r="AF31" s="26">
        <f t="shared" si="22"/>
        <v>9.7650000000000001E-2</v>
      </c>
      <c r="AG31" s="26">
        <f t="shared" si="22"/>
        <v>0.10525853202431043</v>
      </c>
      <c r="AH31" s="26">
        <f t="shared" si="22"/>
        <v>0</v>
      </c>
      <c r="AI31" s="26">
        <f t="shared" si="22"/>
        <v>0</v>
      </c>
      <c r="AZ31" s="5"/>
      <c r="BA31" s="5"/>
      <c r="BC31" s="5"/>
      <c r="BF31" s="4"/>
      <c r="BG31" s="5"/>
      <c r="BJ31" s="4"/>
      <c r="BK31" s="5"/>
      <c r="BN31" s="4"/>
      <c r="BO31" s="5"/>
      <c r="BR31" s="4"/>
      <c r="BS31" s="5"/>
    </row>
    <row r="32" spans="1:71" x14ac:dyDescent="0.3">
      <c r="A32" s="31" t="s">
        <v>34</v>
      </c>
      <c r="B32" t="s">
        <v>28</v>
      </c>
      <c r="C32">
        <v>161</v>
      </c>
      <c r="D32">
        <v>8</v>
      </c>
      <c r="E32">
        <v>0</v>
      </c>
      <c r="F32">
        <v>0</v>
      </c>
      <c r="G32">
        <v>0</v>
      </c>
      <c r="I32">
        <v>9</v>
      </c>
      <c r="J32">
        <v>0</v>
      </c>
      <c r="K32">
        <v>0</v>
      </c>
      <c r="L32">
        <v>0</v>
      </c>
      <c r="M32">
        <v>0</v>
      </c>
      <c r="O32" s="2">
        <f t="shared" si="0"/>
        <v>5.5900621118012424E-2</v>
      </c>
      <c r="P32" s="2">
        <f t="shared" si="1"/>
        <v>0</v>
      </c>
      <c r="Q32" s="2">
        <f t="shared" si="2"/>
        <v>0</v>
      </c>
      <c r="R32" s="2">
        <f t="shared" si="3"/>
        <v>0</v>
      </c>
      <c r="S32" s="2">
        <f t="shared" si="4"/>
        <v>0</v>
      </c>
      <c r="T32" s="2"/>
      <c r="U32" s="2">
        <f>69/569</f>
        <v>0.12126537785588752</v>
      </c>
      <c r="V32" s="2"/>
      <c r="W32" s="3">
        <f t="shared" si="16"/>
        <v>0.46097758574129089</v>
      </c>
      <c r="X32" s="3">
        <f t="shared" si="17"/>
        <v>0</v>
      </c>
      <c r="Y32" s="3">
        <f t="shared" si="18"/>
        <v>0</v>
      </c>
      <c r="Z32" s="3">
        <f t="shared" si="13"/>
        <v>0</v>
      </c>
      <c r="AA32" s="3">
        <f t="shared" si="14"/>
        <v>0</v>
      </c>
      <c r="AB32" s="3">
        <f t="shared" si="6"/>
        <v>0.46097758574129089</v>
      </c>
      <c r="AC32" s="38">
        <f t="shared" si="8"/>
        <v>161</v>
      </c>
      <c r="AD32" s="38" t="str">
        <f t="shared" si="9"/>
        <v>3</v>
      </c>
      <c r="AE32" s="3">
        <f t="shared" si="22"/>
        <v>5.1875776397515526E-2</v>
      </c>
      <c r="AF32" s="3">
        <f t="shared" si="22"/>
        <v>0</v>
      </c>
      <c r="AG32" s="3">
        <f t="shared" si="22"/>
        <v>0</v>
      </c>
      <c r="AH32" s="3">
        <f t="shared" si="22"/>
        <v>0</v>
      </c>
      <c r="AI32" s="3">
        <f t="shared" si="22"/>
        <v>0</v>
      </c>
      <c r="AZ32" s="5"/>
      <c r="BA32" s="5"/>
      <c r="BC32" s="5"/>
      <c r="BF32" s="4"/>
      <c r="BG32" s="5"/>
      <c r="BJ32" s="4"/>
      <c r="BK32" s="5"/>
      <c r="BN32" s="4"/>
      <c r="BO32" s="5"/>
      <c r="BR32" s="4"/>
      <c r="BS32" s="5"/>
    </row>
    <row r="33" spans="1:71" x14ac:dyDescent="0.3">
      <c r="A33" s="31" t="s">
        <v>34</v>
      </c>
      <c r="B33" t="s">
        <v>29</v>
      </c>
      <c r="C33">
        <v>568</v>
      </c>
      <c r="D33">
        <v>510</v>
      </c>
      <c r="E33">
        <v>167</v>
      </c>
      <c r="F33">
        <v>6</v>
      </c>
      <c r="G33">
        <v>0</v>
      </c>
      <c r="I33">
        <v>69</v>
      </c>
      <c r="J33">
        <v>64</v>
      </c>
      <c r="K33">
        <v>23</v>
      </c>
      <c r="L33">
        <v>2</v>
      </c>
      <c r="M33">
        <v>0</v>
      </c>
      <c r="O33" s="2">
        <f t="shared" si="0"/>
        <v>0.12147887323943662</v>
      </c>
      <c r="P33" s="2">
        <f t="shared" si="1"/>
        <v>0.12549019607843137</v>
      </c>
      <c r="Q33" s="2">
        <f t="shared" si="2"/>
        <v>0.1377245508982036</v>
      </c>
      <c r="R33" s="2">
        <f t="shared" si="3"/>
        <v>0.33333333333333331</v>
      </c>
      <c r="S33" s="2">
        <f t="shared" si="4"/>
        <v>0</v>
      </c>
      <c r="T33" s="2"/>
      <c r="U33" s="2">
        <f>69/569</f>
        <v>0.12126537785588752</v>
      </c>
      <c r="V33" s="2"/>
      <c r="W33" s="3">
        <f t="shared" si="16"/>
        <v>1.0017605633802817</v>
      </c>
      <c r="X33" s="3">
        <f t="shared" si="17"/>
        <v>1.0348394430235863</v>
      </c>
      <c r="Y33" s="3">
        <f t="shared" si="18"/>
        <v>1.1357285429141717</v>
      </c>
      <c r="Z33" s="3">
        <f t="shared" si="13"/>
        <v>2.7487922705314007</v>
      </c>
      <c r="AA33" s="3">
        <f t="shared" si="14"/>
        <v>0</v>
      </c>
      <c r="AB33" s="3">
        <f t="shared" si="6"/>
        <v>2.7487922705314007</v>
      </c>
      <c r="AC33" s="38">
        <f t="shared" si="8"/>
        <v>6</v>
      </c>
      <c r="AD33" s="38" t="str">
        <f t="shared" si="9"/>
        <v>6</v>
      </c>
      <c r="AE33" s="3">
        <f t="shared" si="22"/>
        <v>6.8221830985915554E-4</v>
      </c>
      <c r="AF33" s="3">
        <f t="shared" si="22"/>
        <v>3.52081841432225E-2</v>
      </c>
      <c r="AG33" s="3">
        <f t="shared" si="22"/>
        <v>0.13287824351297403</v>
      </c>
      <c r="AH33" s="3">
        <f t="shared" si="22"/>
        <v>0.25518840579710145</v>
      </c>
      <c r="AI33" s="3">
        <f t="shared" si="22"/>
        <v>0</v>
      </c>
      <c r="AR33" s="17"/>
      <c r="AS33" s="7"/>
      <c r="AT33" s="7"/>
      <c r="AU33" s="7"/>
      <c r="AV33" s="7"/>
      <c r="AW33" s="18"/>
      <c r="AX33" s="4"/>
      <c r="AZ33" s="5"/>
      <c r="BA33" s="5"/>
      <c r="BC33" s="5"/>
      <c r="BF33" s="4"/>
      <c r="BG33" s="5"/>
      <c r="BJ33" s="4"/>
      <c r="BK33" s="5"/>
      <c r="BN33" s="4"/>
      <c r="BO33" s="5"/>
      <c r="BR33" s="4"/>
      <c r="BS33" s="5"/>
    </row>
    <row r="34" spans="1:71" s="1" customFormat="1" x14ac:dyDescent="0.3">
      <c r="A34" s="31" t="s">
        <v>34</v>
      </c>
      <c r="B34" s="1" t="s">
        <v>30</v>
      </c>
      <c r="C34" s="1">
        <v>14</v>
      </c>
      <c r="D34" s="1">
        <v>0</v>
      </c>
      <c r="E34" s="1">
        <v>0</v>
      </c>
      <c r="F34" s="1">
        <v>0</v>
      </c>
      <c r="G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O34" s="9">
        <f t="shared" si="0"/>
        <v>0</v>
      </c>
      <c r="P34" s="9">
        <f t="shared" si="1"/>
        <v>0</v>
      </c>
      <c r="Q34" s="9">
        <f t="shared" si="2"/>
        <v>0</v>
      </c>
      <c r="R34" s="9">
        <f t="shared" si="3"/>
        <v>0</v>
      </c>
      <c r="S34" s="9">
        <f t="shared" si="4"/>
        <v>0</v>
      </c>
      <c r="T34" s="9"/>
      <c r="U34" s="9">
        <f>69/569</f>
        <v>0.12126537785588752</v>
      </c>
      <c r="V34" s="9"/>
      <c r="W34" s="10">
        <f t="shared" si="16"/>
        <v>0</v>
      </c>
      <c r="X34" s="10">
        <f t="shared" si="17"/>
        <v>0</v>
      </c>
      <c r="Y34" s="10">
        <f t="shared" si="18"/>
        <v>0</v>
      </c>
      <c r="Z34" s="10">
        <f t="shared" si="13"/>
        <v>0</v>
      </c>
      <c r="AA34" s="10">
        <f t="shared" si="14"/>
        <v>0</v>
      </c>
      <c r="AB34" s="10">
        <f t="shared" si="6"/>
        <v>0</v>
      </c>
      <c r="AC34" s="38">
        <f t="shared" si="8"/>
        <v>14</v>
      </c>
      <c r="AD34" s="38" t="str">
        <f t="shared" si="9"/>
        <v>3</v>
      </c>
      <c r="AE34" s="10">
        <f t="shared" si="22"/>
        <v>0</v>
      </c>
      <c r="AF34" s="10">
        <f t="shared" si="22"/>
        <v>0</v>
      </c>
      <c r="AG34" s="10">
        <f t="shared" si="22"/>
        <v>0</v>
      </c>
      <c r="AH34" s="10">
        <f t="shared" si="22"/>
        <v>0</v>
      </c>
      <c r="AI34" s="10">
        <f t="shared" si="22"/>
        <v>0</v>
      </c>
      <c r="AR34" s="21"/>
      <c r="AS34" s="4"/>
      <c r="AT34" s="4"/>
      <c r="AU34" s="4"/>
      <c r="AV34" s="4"/>
      <c r="AW34" s="22"/>
      <c r="AX34" s="13"/>
      <c r="AZ34" s="14"/>
      <c r="BA34" s="14"/>
      <c r="BC34" s="14"/>
      <c r="BF34" s="4"/>
      <c r="BG34" s="14"/>
      <c r="BJ34" s="4"/>
      <c r="BK34" s="5"/>
      <c r="BN34" s="13"/>
      <c r="BO34" s="14"/>
      <c r="BR34" s="13"/>
      <c r="BS34" s="14"/>
    </row>
    <row r="35" spans="1:71" x14ac:dyDescent="0.3">
      <c r="A35" s="31" t="s">
        <v>56</v>
      </c>
      <c r="B35" s="34" t="s">
        <v>27</v>
      </c>
      <c r="C35">
        <v>533</v>
      </c>
      <c r="D35">
        <v>250</v>
      </c>
      <c r="E35">
        <v>11</v>
      </c>
      <c r="F35">
        <v>0</v>
      </c>
      <c r="G35">
        <v>0</v>
      </c>
      <c r="I35">
        <v>46</v>
      </c>
      <c r="J35">
        <v>21</v>
      </c>
      <c r="K35">
        <v>4</v>
      </c>
      <c r="L35">
        <v>0</v>
      </c>
      <c r="M35">
        <v>0</v>
      </c>
      <c r="N35" s="34"/>
      <c r="O35" s="36">
        <f t="shared" ref="O35:O54" si="23">IF(I35&gt;0, I35/C35, 0)</f>
        <v>8.6303939962476553E-2</v>
      </c>
      <c r="P35" s="36">
        <f t="shared" ref="P35:P54" si="24">IF(J35&gt;0, J35/D35, 0)</f>
        <v>8.4000000000000005E-2</v>
      </c>
      <c r="Q35" s="36">
        <f t="shared" ref="Q35:Q54" si="25">IF(K35&gt;0, K35/E35, 0)</f>
        <v>0.36363636363636365</v>
      </c>
      <c r="R35" s="36">
        <f t="shared" ref="R35:R54" si="26">IF(L35&gt;0, L35/F35, 0)</f>
        <v>0</v>
      </c>
      <c r="S35" s="36">
        <f t="shared" ref="S35:S54" si="27">IF(M35&gt;0, M35/G35, 0)</f>
        <v>0</v>
      </c>
      <c r="T35" s="36"/>
      <c r="U35" s="36">
        <f>53/569</f>
        <v>9.3145869947275917E-2</v>
      </c>
      <c r="V35" s="36"/>
      <c r="W35" s="37">
        <f t="shared" si="16"/>
        <v>0.92654607242734266</v>
      </c>
      <c r="X35" s="37">
        <f t="shared" si="17"/>
        <v>0.90181132075471715</v>
      </c>
      <c r="Y35" s="37">
        <f t="shared" si="18"/>
        <v>3.9039451114922818</v>
      </c>
      <c r="Z35" s="37">
        <f t="shared" si="13"/>
        <v>0</v>
      </c>
      <c r="AA35" s="37">
        <f t="shared" si="14"/>
        <v>0</v>
      </c>
      <c r="AB35" s="37">
        <f t="shared" ref="AB35:AB54" si="28">MAX(W35:AA35)</f>
        <v>3.9039451114922818</v>
      </c>
      <c r="AC35" s="38">
        <f t="shared" si="8"/>
        <v>11</v>
      </c>
      <c r="AD35" s="38" t="str">
        <f t="shared" si="9"/>
        <v>5</v>
      </c>
      <c r="AE35" s="37">
        <f t="shared" ref="AE35:AI38" si="29">IF(C35&gt;0,((I35*((3*53)+C35))/(4*C35*53))*(1-(C35-I35)/(569-53)),0)</f>
        <v>1.5832487450334384E-2</v>
      </c>
      <c r="AF35" s="37">
        <f t="shared" si="29"/>
        <v>9.0136134269416412E-2</v>
      </c>
      <c r="AG35" s="37">
        <f t="shared" si="29"/>
        <v>0.28763944845559586</v>
      </c>
      <c r="AH35" s="37">
        <f t="shared" si="29"/>
        <v>0</v>
      </c>
      <c r="AI35" s="37">
        <f t="shared" si="29"/>
        <v>0</v>
      </c>
      <c r="AR35" s="21"/>
      <c r="AS35" s="4"/>
      <c r="AT35" s="4"/>
      <c r="AU35" s="4"/>
      <c r="AV35" s="4"/>
      <c r="AW35" s="22"/>
      <c r="AX35" s="4"/>
    </row>
    <row r="36" spans="1:71" x14ac:dyDescent="0.3">
      <c r="A36" s="31" t="s">
        <v>56</v>
      </c>
      <c r="B36" t="s">
        <v>28</v>
      </c>
      <c r="C36">
        <v>45</v>
      </c>
      <c r="D36">
        <v>2</v>
      </c>
      <c r="E36">
        <v>0</v>
      </c>
      <c r="F36">
        <v>0</v>
      </c>
      <c r="G36">
        <v>0</v>
      </c>
      <c r="I36">
        <v>5</v>
      </c>
      <c r="J36">
        <v>1</v>
      </c>
      <c r="K36">
        <v>0</v>
      </c>
      <c r="L36">
        <v>0</v>
      </c>
      <c r="M36">
        <v>0</v>
      </c>
      <c r="O36" s="27">
        <f t="shared" si="23"/>
        <v>0.1111111111111111</v>
      </c>
      <c r="P36" s="27">
        <f t="shared" si="24"/>
        <v>0.5</v>
      </c>
      <c r="Q36" s="27">
        <f t="shared" si="25"/>
        <v>0</v>
      </c>
      <c r="R36" s="27">
        <f t="shared" si="26"/>
        <v>0</v>
      </c>
      <c r="S36" s="27">
        <f t="shared" si="27"/>
        <v>0</v>
      </c>
      <c r="T36" s="27"/>
      <c r="U36" s="27">
        <f>53/569</f>
        <v>9.3145869947275917E-2</v>
      </c>
      <c r="V36" s="27"/>
      <c r="W36" s="28">
        <f t="shared" si="16"/>
        <v>1.1928721174004193</v>
      </c>
      <c r="X36" s="28">
        <f t="shared" si="17"/>
        <v>5.367924528301887</v>
      </c>
      <c r="Y36" s="28">
        <f t="shared" si="18"/>
        <v>0</v>
      </c>
      <c r="Z36" s="28">
        <f t="shared" si="13"/>
        <v>0</v>
      </c>
      <c r="AA36" s="28">
        <f t="shared" si="14"/>
        <v>0</v>
      </c>
      <c r="AB36" s="28">
        <f t="shared" si="28"/>
        <v>5.367924528301887</v>
      </c>
      <c r="AC36" s="38">
        <f t="shared" si="8"/>
        <v>2</v>
      </c>
      <c r="AD36" s="38" t="str">
        <f t="shared" si="9"/>
        <v>4</v>
      </c>
      <c r="AE36" s="28">
        <f t="shared" si="29"/>
        <v>9.8630003412802883E-2</v>
      </c>
      <c r="AF36" s="28">
        <f t="shared" si="29"/>
        <v>0.37898109550972647</v>
      </c>
      <c r="AG36" s="28">
        <f t="shared" si="29"/>
        <v>0</v>
      </c>
      <c r="AH36" s="28">
        <f t="shared" si="29"/>
        <v>0</v>
      </c>
      <c r="AI36" s="28">
        <f t="shared" si="29"/>
        <v>0</v>
      </c>
      <c r="AR36" s="21"/>
      <c r="AS36" s="4"/>
      <c r="AT36" s="4"/>
      <c r="AU36" s="4"/>
      <c r="AV36" s="4"/>
      <c r="AW36" s="22"/>
      <c r="AX36" s="4"/>
    </row>
    <row r="37" spans="1:71" x14ac:dyDescent="0.3">
      <c r="A37" s="31" t="s">
        <v>56</v>
      </c>
      <c r="B37" t="s">
        <v>29</v>
      </c>
      <c r="C37">
        <v>550</v>
      </c>
      <c r="D37">
        <v>142</v>
      </c>
      <c r="E37">
        <v>4</v>
      </c>
      <c r="F37">
        <v>0</v>
      </c>
      <c r="G37">
        <v>0</v>
      </c>
      <c r="I37">
        <v>52</v>
      </c>
      <c r="J37">
        <v>21</v>
      </c>
      <c r="K37">
        <v>3</v>
      </c>
      <c r="L37">
        <v>0</v>
      </c>
      <c r="M37">
        <v>0</v>
      </c>
      <c r="O37" s="27">
        <f t="shared" si="23"/>
        <v>9.4545454545454544E-2</v>
      </c>
      <c r="P37" s="27">
        <f t="shared" si="24"/>
        <v>0.14788732394366197</v>
      </c>
      <c r="Q37" s="27">
        <f t="shared" si="25"/>
        <v>0.75</v>
      </c>
      <c r="R37" s="27">
        <f t="shared" si="26"/>
        <v>0</v>
      </c>
      <c r="S37" s="27">
        <f t="shared" si="27"/>
        <v>0</v>
      </c>
      <c r="T37" s="27"/>
      <c r="U37" s="27">
        <f>53/569</f>
        <v>9.3145869947275917E-2</v>
      </c>
      <c r="V37" s="27"/>
      <c r="W37" s="28">
        <f t="shared" si="16"/>
        <v>1.0150257289879931</v>
      </c>
      <c r="X37" s="28">
        <f t="shared" si="17"/>
        <v>1.58769598724422</v>
      </c>
      <c r="Y37" s="28">
        <f t="shared" si="18"/>
        <v>8.0518867924528301</v>
      </c>
      <c r="Z37" s="28">
        <f t="shared" si="13"/>
        <v>0</v>
      </c>
      <c r="AA37" s="28">
        <f t="shared" si="14"/>
        <v>0</v>
      </c>
      <c r="AB37" s="28">
        <f t="shared" si="28"/>
        <v>8.0518867924528301</v>
      </c>
      <c r="AC37" s="38">
        <f t="shared" si="8"/>
        <v>4</v>
      </c>
      <c r="AD37" s="38" t="str">
        <f t="shared" si="9"/>
        <v>5</v>
      </c>
      <c r="AE37" s="28">
        <f t="shared" si="29"/>
        <v>1.1029957317802848E-2</v>
      </c>
      <c r="AF37" s="28">
        <f t="shared" si="29"/>
        <v>0.16073445389317034</v>
      </c>
      <c r="AG37" s="28">
        <f t="shared" si="29"/>
        <v>0.57553340280824927</v>
      </c>
      <c r="AH37" s="28">
        <f t="shared" si="29"/>
        <v>0</v>
      </c>
      <c r="AI37" s="28">
        <f t="shared" si="29"/>
        <v>0</v>
      </c>
      <c r="AR37" s="19"/>
      <c r="AS37" s="1"/>
      <c r="AT37" s="1"/>
      <c r="AU37" s="1"/>
      <c r="AV37" s="1"/>
      <c r="AW37" s="23"/>
    </row>
    <row r="38" spans="1:71" x14ac:dyDescent="0.3">
      <c r="A38" s="31" t="s">
        <v>56</v>
      </c>
      <c r="B38" s="1" t="s">
        <v>30</v>
      </c>
      <c r="C38" s="1">
        <v>50</v>
      </c>
      <c r="D38" s="1">
        <v>14</v>
      </c>
      <c r="E38" s="1">
        <v>1</v>
      </c>
      <c r="F38" s="1">
        <v>0</v>
      </c>
      <c r="G38" s="1">
        <v>0</v>
      </c>
      <c r="H38" s="1"/>
      <c r="I38" s="1">
        <v>6</v>
      </c>
      <c r="J38" s="1">
        <v>2</v>
      </c>
      <c r="K38" s="1">
        <v>0</v>
      </c>
      <c r="L38" s="1">
        <v>0</v>
      </c>
      <c r="M38" s="1">
        <v>0</v>
      </c>
      <c r="N38" s="1"/>
      <c r="O38" s="29">
        <f t="shared" si="23"/>
        <v>0.12</v>
      </c>
      <c r="P38" s="29">
        <f t="shared" si="24"/>
        <v>0.14285714285714285</v>
      </c>
      <c r="Q38" s="29">
        <f t="shared" si="25"/>
        <v>0</v>
      </c>
      <c r="R38" s="29">
        <f t="shared" si="26"/>
        <v>0</v>
      </c>
      <c r="S38" s="29">
        <f t="shared" si="27"/>
        <v>0</v>
      </c>
      <c r="T38" s="29"/>
      <c r="U38" s="29">
        <f>53/569</f>
        <v>9.3145869947275917E-2</v>
      </c>
      <c r="V38" s="29"/>
      <c r="W38" s="30">
        <f t="shared" si="16"/>
        <v>1.2883018867924529</v>
      </c>
      <c r="X38" s="30">
        <f t="shared" si="17"/>
        <v>1.5336927223719676</v>
      </c>
      <c r="Y38" s="30">
        <f t="shared" si="18"/>
        <v>0</v>
      </c>
      <c r="Z38" s="30">
        <f t="shared" si="13"/>
        <v>0</v>
      </c>
      <c r="AA38" s="30">
        <f t="shared" si="14"/>
        <v>0</v>
      </c>
      <c r="AB38" s="30">
        <f t="shared" si="28"/>
        <v>1.5336927223719676</v>
      </c>
      <c r="AC38" s="38">
        <f t="shared" si="8"/>
        <v>14</v>
      </c>
      <c r="AD38" s="38" t="str">
        <f t="shared" si="9"/>
        <v>4</v>
      </c>
      <c r="AE38" s="30">
        <f t="shared" si="29"/>
        <v>0.1082141290039491</v>
      </c>
      <c r="AF38" s="30">
        <f t="shared" si="29"/>
        <v>0.1138657305835893</v>
      </c>
      <c r="AG38" s="30">
        <f t="shared" si="29"/>
        <v>0</v>
      </c>
      <c r="AH38" s="30">
        <f t="shared" si="29"/>
        <v>0</v>
      </c>
      <c r="AI38" s="30">
        <f t="shared" si="29"/>
        <v>0</v>
      </c>
    </row>
    <row r="39" spans="1:71" x14ac:dyDescent="0.3">
      <c r="A39" s="31" t="s">
        <v>57</v>
      </c>
      <c r="B39" s="34" t="s">
        <v>27</v>
      </c>
      <c r="C39">
        <v>551</v>
      </c>
      <c r="D39">
        <v>347</v>
      </c>
      <c r="E39">
        <v>38</v>
      </c>
      <c r="F39">
        <v>0</v>
      </c>
      <c r="G39">
        <v>0</v>
      </c>
      <c r="I39">
        <v>47</v>
      </c>
      <c r="J39">
        <v>25</v>
      </c>
      <c r="K39">
        <v>3</v>
      </c>
      <c r="L39">
        <v>0</v>
      </c>
      <c r="M39">
        <v>0</v>
      </c>
      <c r="N39" s="34"/>
      <c r="O39" s="36">
        <f t="shared" si="23"/>
        <v>8.5299455535390201E-2</v>
      </c>
      <c r="P39" s="36">
        <f t="shared" si="24"/>
        <v>7.2046109510086456E-2</v>
      </c>
      <c r="Q39" s="36">
        <f t="shared" si="25"/>
        <v>7.8947368421052627E-2</v>
      </c>
      <c r="R39" s="36">
        <f t="shared" si="26"/>
        <v>0</v>
      </c>
      <c r="S39" s="36">
        <f t="shared" si="27"/>
        <v>0</v>
      </c>
      <c r="T39" s="36"/>
      <c r="U39" s="36">
        <f>57/569</f>
        <v>0.10017574692442882</v>
      </c>
      <c r="V39" s="36"/>
      <c r="W39" s="37">
        <f t="shared" si="16"/>
        <v>0.85149807367784258</v>
      </c>
      <c r="X39" s="37">
        <f t="shared" si="17"/>
        <v>0.71919712826735427</v>
      </c>
      <c r="Y39" s="37">
        <f t="shared" si="18"/>
        <v>0.78808864265927969</v>
      </c>
      <c r="Z39" s="37">
        <f t="shared" si="13"/>
        <v>0</v>
      </c>
      <c r="AA39" s="37">
        <f t="shared" si="14"/>
        <v>0</v>
      </c>
      <c r="AB39" s="37">
        <f t="shared" si="28"/>
        <v>0.85149807367784258</v>
      </c>
      <c r="AC39" s="38">
        <f t="shared" si="8"/>
        <v>551</v>
      </c>
      <c r="AD39" s="38" t="str">
        <f t="shared" si="9"/>
        <v>3</v>
      </c>
      <c r="AE39" s="37">
        <f t="shared" ref="AE39:AI42" si="30">IF(C39&gt;0,((I39*((3*57)+C39))/(4*C39*57))*(1-(C39-I39)/(569-57)),0)</f>
        <v>4.2205459770114943E-3</v>
      </c>
      <c r="AF39" s="37">
        <f t="shared" si="30"/>
        <v>6.0741999879923153E-2</v>
      </c>
      <c r="AG39" s="37">
        <f t="shared" si="30"/>
        <v>6.742136101973685E-2</v>
      </c>
      <c r="AH39" s="37">
        <f t="shared" si="30"/>
        <v>0</v>
      </c>
      <c r="AI39" s="37">
        <f t="shared" si="30"/>
        <v>0</v>
      </c>
      <c r="AY39" s="1"/>
      <c r="AZ39" s="1"/>
    </row>
    <row r="40" spans="1:71" x14ac:dyDescent="0.3">
      <c r="A40" s="31" t="s">
        <v>57</v>
      </c>
      <c r="B40" t="s">
        <v>28</v>
      </c>
      <c r="C40">
        <v>567</v>
      </c>
      <c r="D40">
        <v>532</v>
      </c>
      <c r="E40">
        <v>196</v>
      </c>
      <c r="F40">
        <v>5</v>
      </c>
      <c r="G40">
        <v>0</v>
      </c>
      <c r="I40">
        <v>57</v>
      </c>
      <c r="J40">
        <v>48</v>
      </c>
      <c r="K40">
        <v>11</v>
      </c>
      <c r="L40">
        <v>1</v>
      </c>
      <c r="M40">
        <v>0</v>
      </c>
      <c r="O40" s="27">
        <f t="shared" si="23"/>
        <v>0.10052910052910052</v>
      </c>
      <c r="P40" s="27">
        <f t="shared" si="24"/>
        <v>9.0225563909774431E-2</v>
      </c>
      <c r="Q40" s="27">
        <f t="shared" si="25"/>
        <v>5.6122448979591837E-2</v>
      </c>
      <c r="R40" s="27">
        <f t="shared" si="26"/>
        <v>0.2</v>
      </c>
      <c r="S40" s="27">
        <f t="shared" si="27"/>
        <v>0</v>
      </c>
      <c r="T40" s="27"/>
      <c r="U40" s="27">
        <f>57/569</f>
        <v>0.10017574692442882</v>
      </c>
      <c r="V40" s="27"/>
      <c r="W40" s="28">
        <f t="shared" si="16"/>
        <v>1.0035273368606701</v>
      </c>
      <c r="X40" s="28">
        <f t="shared" si="17"/>
        <v>0.90067273446774831</v>
      </c>
      <c r="Y40" s="28">
        <f t="shared" si="18"/>
        <v>0.56023988542785541</v>
      </c>
      <c r="Z40" s="28">
        <f t="shared" si="13"/>
        <v>1.9964912280701756</v>
      </c>
      <c r="AA40" s="28">
        <f t="shared" si="14"/>
        <v>0</v>
      </c>
      <c r="AB40" s="28">
        <f t="shared" si="28"/>
        <v>1.9964912280701756</v>
      </c>
      <c r="AC40" s="38">
        <f t="shared" si="8"/>
        <v>5</v>
      </c>
      <c r="AD40" s="38" t="str">
        <f t="shared" si="9"/>
        <v>6</v>
      </c>
      <c r="AE40" s="28">
        <f t="shared" si="30"/>
        <v>1.2710813492063492E-3</v>
      </c>
      <c r="AF40" s="28">
        <f t="shared" si="30"/>
        <v>1.5213815789473683E-2</v>
      </c>
      <c r="AG40" s="28">
        <f t="shared" si="30"/>
        <v>5.7695989065856608E-2</v>
      </c>
      <c r="AH40" s="28">
        <f t="shared" si="30"/>
        <v>0.15317982456140353</v>
      </c>
      <c r="AI40" s="28">
        <f t="shared" si="30"/>
        <v>0</v>
      </c>
    </row>
    <row r="41" spans="1:71" x14ac:dyDescent="0.3">
      <c r="A41" s="31" t="s">
        <v>57</v>
      </c>
      <c r="B41" t="s">
        <v>29</v>
      </c>
      <c r="C41">
        <v>509</v>
      </c>
      <c r="D41">
        <v>248</v>
      </c>
      <c r="E41">
        <v>17</v>
      </c>
      <c r="F41">
        <v>0</v>
      </c>
      <c r="G41">
        <v>0</v>
      </c>
      <c r="I41">
        <v>44</v>
      </c>
      <c r="J41">
        <v>11</v>
      </c>
      <c r="K41">
        <v>0</v>
      </c>
      <c r="L41">
        <v>0</v>
      </c>
      <c r="M41">
        <v>0</v>
      </c>
      <c r="O41" s="27">
        <f t="shared" si="23"/>
        <v>8.6444007858546168E-2</v>
      </c>
      <c r="P41" s="27">
        <f t="shared" si="24"/>
        <v>4.4354838709677422E-2</v>
      </c>
      <c r="Q41" s="27">
        <f t="shared" si="25"/>
        <v>0</v>
      </c>
      <c r="R41" s="27">
        <f t="shared" si="26"/>
        <v>0</v>
      </c>
      <c r="S41" s="27">
        <f t="shared" si="27"/>
        <v>0</v>
      </c>
      <c r="T41" s="27"/>
      <c r="U41" s="27">
        <f>57/569</f>
        <v>0.10017574692442882</v>
      </c>
      <c r="V41" s="27"/>
      <c r="W41" s="28">
        <f t="shared" si="16"/>
        <v>0.86292351704408365</v>
      </c>
      <c r="X41" s="28">
        <f t="shared" si="17"/>
        <v>0.44277023203169213</v>
      </c>
      <c r="Y41" s="28">
        <f t="shared" si="18"/>
        <v>0</v>
      </c>
      <c r="Z41" s="28">
        <f t="shared" si="13"/>
        <v>0</v>
      </c>
      <c r="AA41" s="28">
        <f t="shared" si="14"/>
        <v>0</v>
      </c>
      <c r="AB41" s="28">
        <f t="shared" si="28"/>
        <v>0.86292351704408365</v>
      </c>
      <c r="AC41" s="38">
        <f t="shared" si="8"/>
        <v>509</v>
      </c>
      <c r="AD41" s="38" t="str">
        <f t="shared" si="9"/>
        <v>3</v>
      </c>
      <c r="AE41" s="28">
        <f t="shared" si="30"/>
        <v>2.3666653741426256E-2</v>
      </c>
      <c r="AF41" s="28">
        <f t="shared" si="30"/>
        <v>4.3780721374062671E-2</v>
      </c>
      <c r="AG41" s="28">
        <f t="shared" si="30"/>
        <v>0</v>
      </c>
      <c r="AH41" s="28">
        <f t="shared" si="30"/>
        <v>0</v>
      </c>
      <c r="AI41" s="28">
        <f t="shared" si="30"/>
        <v>0</v>
      </c>
    </row>
    <row r="42" spans="1:71" x14ac:dyDescent="0.3">
      <c r="A42" s="33" t="s">
        <v>57</v>
      </c>
      <c r="B42" s="1" t="s">
        <v>30</v>
      </c>
      <c r="C42" s="1">
        <v>18</v>
      </c>
      <c r="D42" s="1">
        <v>3</v>
      </c>
      <c r="E42" s="1">
        <v>0</v>
      </c>
      <c r="F42" s="1">
        <v>0</v>
      </c>
      <c r="G42" s="1">
        <v>0</v>
      </c>
      <c r="H42" s="1"/>
      <c r="I42" s="1">
        <v>1</v>
      </c>
      <c r="J42" s="1">
        <v>0</v>
      </c>
      <c r="K42" s="1">
        <v>0</v>
      </c>
      <c r="L42" s="1">
        <v>0</v>
      </c>
      <c r="M42" s="1">
        <v>0</v>
      </c>
      <c r="N42" s="1"/>
      <c r="O42" s="29">
        <f t="shared" si="23"/>
        <v>5.5555555555555552E-2</v>
      </c>
      <c r="P42" s="29">
        <f t="shared" si="24"/>
        <v>0</v>
      </c>
      <c r="Q42" s="29">
        <f t="shared" si="25"/>
        <v>0</v>
      </c>
      <c r="R42" s="29">
        <f t="shared" si="26"/>
        <v>0</v>
      </c>
      <c r="S42" s="29">
        <f t="shared" si="27"/>
        <v>0</v>
      </c>
      <c r="T42" s="29"/>
      <c r="U42" s="29">
        <f>57/569</f>
        <v>0.10017574692442882</v>
      </c>
      <c r="V42" s="29"/>
      <c r="W42" s="30">
        <f t="shared" si="16"/>
        <v>0.55458089668615984</v>
      </c>
      <c r="X42" s="30">
        <f t="shared" si="17"/>
        <v>0</v>
      </c>
      <c r="Y42" s="30">
        <f t="shared" si="18"/>
        <v>0</v>
      </c>
      <c r="Z42" s="30">
        <f t="shared" si="13"/>
        <v>0</v>
      </c>
      <c r="AA42" s="30">
        <f t="shared" si="14"/>
        <v>0</v>
      </c>
      <c r="AB42" s="30">
        <f t="shared" si="28"/>
        <v>0.55458089668615984</v>
      </c>
      <c r="AC42" s="38">
        <f t="shared" si="8"/>
        <v>18</v>
      </c>
      <c r="AD42" s="38" t="str">
        <f t="shared" si="9"/>
        <v>3</v>
      </c>
      <c r="AE42" s="30">
        <f t="shared" si="30"/>
        <v>4.4523540296052627E-2</v>
      </c>
      <c r="AF42" s="30">
        <f t="shared" si="30"/>
        <v>0</v>
      </c>
      <c r="AG42" s="30">
        <f t="shared" si="30"/>
        <v>0</v>
      </c>
      <c r="AH42" s="30">
        <f t="shared" si="30"/>
        <v>0</v>
      </c>
      <c r="AI42" s="30">
        <f t="shared" si="30"/>
        <v>0</v>
      </c>
    </row>
    <row r="43" spans="1:71" x14ac:dyDescent="0.3">
      <c r="A43" s="31" t="s">
        <v>35</v>
      </c>
      <c r="B43" s="34" t="s">
        <v>27</v>
      </c>
      <c r="C43">
        <v>512</v>
      </c>
      <c r="D43">
        <v>121</v>
      </c>
      <c r="E43">
        <v>5</v>
      </c>
      <c r="F43">
        <v>0</v>
      </c>
      <c r="G43">
        <v>0</v>
      </c>
      <c r="I43">
        <v>38</v>
      </c>
      <c r="J43">
        <v>11</v>
      </c>
      <c r="K43">
        <v>0</v>
      </c>
      <c r="L43">
        <v>0</v>
      </c>
      <c r="M43">
        <v>0</v>
      </c>
      <c r="N43" s="34"/>
      <c r="O43" s="35">
        <f t="shared" si="23"/>
        <v>7.421875E-2</v>
      </c>
      <c r="P43" s="35">
        <f t="shared" si="24"/>
        <v>9.0909090909090912E-2</v>
      </c>
      <c r="Q43" s="35">
        <f t="shared" si="25"/>
        <v>0</v>
      </c>
      <c r="R43" s="35">
        <f t="shared" si="26"/>
        <v>0</v>
      </c>
      <c r="S43" s="35">
        <f t="shared" si="27"/>
        <v>0</v>
      </c>
      <c r="T43" s="35"/>
      <c r="U43" s="35">
        <f>39/569</f>
        <v>6.8541300527240778E-2</v>
      </c>
      <c r="V43" s="35"/>
      <c r="W43" s="26">
        <f t="shared" si="16"/>
        <v>1.0828325320512819</v>
      </c>
      <c r="X43" s="26">
        <f t="shared" si="17"/>
        <v>1.3263403263403262</v>
      </c>
      <c r="Y43" s="26">
        <f t="shared" si="18"/>
        <v>0</v>
      </c>
      <c r="Z43" s="26">
        <f t="shared" si="13"/>
        <v>0</v>
      </c>
      <c r="AA43" s="26">
        <f t="shared" si="14"/>
        <v>0</v>
      </c>
      <c r="AB43" s="26">
        <f t="shared" si="28"/>
        <v>1.3263403263403262</v>
      </c>
      <c r="AC43" s="38">
        <f t="shared" si="8"/>
        <v>121</v>
      </c>
      <c r="AD43" s="38" t="str">
        <f t="shared" si="9"/>
        <v>4</v>
      </c>
      <c r="AE43" s="26">
        <f t="shared" ref="AE43:AI46" si="31">IF(C43&gt;0,((I43*((3*39)+C43))/(4*C43*39))*(1-(C43-I43)/(569-39)),0)</f>
        <v>3.1619270077406864E-2</v>
      </c>
      <c r="AF43" s="26">
        <f t="shared" si="31"/>
        <v>0.10990895896556274</v>
      </c>
      <c r="AG43" s="26">
        <f t="shared" si="31"/>
        <v>0</v>
      </c>
      <c r="AH43" s="26">
        <f t="shared" si="31"/>
        <v>0</v>
      </c>
      <c r="AI43" s="26">
        <f t="shared" si="31"/>
        <v>0</v>
      </c>
    </row>
    <row r="44" spans="1:71" x14ac:dyDescent="0.3">
      <c r="A44" s="31" t="s">
        <v>35</v>
      </c>
      <c r="B44" t="s">
        <v>28</v>
      </c>
      <c r="C44">
        <v>33</v>
      </c>
      <c r="D44">
        <v>14</v>
      </c>
      <c r="E44">
        <v>0</v>
      </c>
      <c r="F44">
        <v>0</v>
      </c>
      <c r="G44">
        <v>0</v>
      </c>
      <c r="I44">
        <v>1</v>
      </c>
      <c r="J44">
        <v>0</v>
      </c>
      <c r="K44">
        <v>0</v>
      </c>
      <c r="L44">
        <v>0</v>
      </c>
      <c r="M44">
        <v>0</v>
      </c>
      <c r="O44" s="2">
        <f t="shared" si="23"/>
        <v>3.0303030303030304E-2</v>
      </c>
      <c r="P44" s="2">
        <f t="shared" si="24"/>
        <v>0</v>
      </c>
      <c r="Q44" s="2">
        <f t="shared" si="25"/>
        <v>0</v>
      </c>
      <c r="R44" s="2">
        <f t="shared" si="26"/>
        <v>0</v>
      </c>
      <c r="S44" s="2">
        <f t="shared" si="27"/>
        <v>0</v>
      </c>
      <c r="T44" s="2"/>
      <c r="U44" s="2">
        <f>39/569</f>
        <v>6.8541300527240778E-2</v>
      </c>
      <c r="V44" s="2"/>
      <c r="W44" s="3">
        <f t="shared" si="16"/>
        <v>0.44211344211344211</v>
      </c>
      <c r="X44" s="3">
        <f t="shared" si="17"/>
        <v>0</v>
      </c>
      <c r="Y44" s="3">
        <f t="shared" si="18"/>
        <v>0</v>
      </c>
      <c r="Z44" s="3">
        <f t="shared" si="13"/>
        <v>0</v>
      </c>
      <c r="AA44" s="3">
        <f t="shared" si="14"/>
        <v>0</v>
      </c>
      <c r="AB44" s="3">
        <f t="shared" si="28"/>
        <v>0.44211344211344211</v>
      </c>
      <c r="AC44" s="38">
        <f t="shared" si="8"/>
        <v>33</v>
      </c>
      <c r="AD44" s="38" t="str">
        <f t="shared" si="9"/>
        <v>3</v>
      </c>
      <c r="AE44" s="3">
        <f t="shared" si="31"/>
        <v>2.7378282095263228E-2</v>
      </c>
      <c r="AF44" s="3">
        <f t="shared" si="31"/>
        <v>0</v>
      </c>
      <c r="AG44" s="3">
        <f t="shared" si="31"/>
        <v>0</v>
      </c>
      <c r="AH44" s="3">
        <f t="shared" si="31"/>
        <v>0</v>
      </c>
      <c r="AI44" s="3">
        <f t="shared" si="31"/>
        <v>0</v>
      </c>
    </row>
    <row r="45" spans="1:71" x14ac:dyDescent="0.3">
      <c r="A45" s="31" t="s">
        <v>35</v>
      </c>
      <c r="B45" t="s">
        <v>29</v>
      </c>
      <c r="C45">
        <v>568</v>
      </c>
      <c r="D45">
        <v>528</v>
      </c>
      <c r="E45">
        <v>223</v>
      </c>
      <c r="F45">
        <v>17</v>
      </c>
      <c r="G45">
        <v>0</v>
      </c>
      <c r="I45">
        <v>39</v>
      </c>
      <c r="J45">
        <v>37</v>
      </c>
      <c r="K45">
        <v>16</v>
      </c>
      <c r="L45">
        <v>1</v>
      </c>
      <c r="M45">
        <v>0</v>
      </c>
      <c r="O45" s="2">
        <f t="shared" si="23"/>
        <v>6.8661971830985921E-2</v>
      </c>
      <c r="P45" s="2">
        <f t="shared" si="24"/>
        <v>7.0075757575757569E-2</v>
      </c>
      <c r="Q45" s="2">
        <f t="shared" si="25"/>
        <v>7.1748878923766815E-2</v>
      </c>
      <c r="R45" s="2">
        <f t="shared" si="26"/>
        <v>5.8823529411764705E-2</v>
      </c>
      <c r="S45" s="2">
        <f t="shared" si="27"/>
        <v>0</v>
      </c>
      <c r="T45" s="2"/>
      <c r="U45" s="2">
        <f>39/569</f>
        <v>6.8541300527240778E-2</v>
      </c>
      <c r="V45" s="2"/>
      <c r="W45" s="3">
        <f t="shared" si="16"/>
        <v>1.0017605633802817</v>
      </c>
      <c r="X45" s="3">
        <f t="shared" si="17"/>
        <v>1.0223873348873347</v>
      </c>
      <c r="Y45" s="3">
        <f t="shared" si="18"/>
        <v>1.0467977463493157</v>
      </c>
      <c r="Z45" s="3">
        <f t="shared" si="13"/>
        <v>0.85822021116138758</v>
      </c>
      <c r="AA45" s="3">
        <f t="shared" si="14"/>
        <v>0</v>
      </c>
      <c r="AB45" s="3">
        <f t="shared" si="28"/>
        <v>1.0467977463493157</v>
      </c>
      <c r="AC45" s="38">
        <f t="shared" si="8"/>
        <v>223</v>
      </c>
      <c r="AD45" s="38" t="str">
        <f t="shared" si="9"/>
        <v>5</v>
      </c>
      <c r="AE45" s="3">
        <f t="shared" si="31"/>
        <v>5.6886128089290446E-4</v>
      </c>
      <c r="AF45" s="3">
        <f t="shared" si="31"/>
        <v>2.1320218696397934E-2</v>
      </c>
      <c r="AG45" s="3">
        <f t="shared" si="31"/>
        <v>9.530070008959933E-2</v>
      </c>
      <c r="AH45" s="3">
        <f t="shared" si="31"/>
        <v>4.9002532798315263E-2</v>
      </c>
      <c r="AI45" s="3">
        <f t="shared" si="31"/>
        <v>0</v>
      </c>
    </row>
    <row r="46" spans="1:71" x14ac:dyDescent="0.3">
      <c r="A46" s="31" t="s">
        <v>35</v>
      </c>
      <c r="B46" s="1" t="s">
        <v>30</v>
      </c>
      <c r="C46" s="1">
        <v>458</v>
      </c>
      <c r="D46" s="1">
        <v>22</v>
      </c>
      <c r="E46" s="1">
        <v>1</v>
      </c>
      <c r="F46" s="1">
        <v>0</v>
      </c>
      <c r="G46" s="1">
        <v>0</v>
      </c>
      <c r="H46" s="1"/>
      <c r="I46" s="1">
        <v>35</v>
      </c>
      <c r="J46" s="1">
        <v>2</v>
      </c>
      <c r="K46" s="1">
        <v>0</v>
      </c>
      <c r="L46" s="1">
        <v>0</v>
      </c>
      <c r="M46" s="1">
        <v>0</v>
      </c>
      <c r="N46" s="1"/>
      <c r="O46" s="9">
        <f t="shared" si="23"/>
        <v>7.6419213973799124E-2</v>
      </c>
      <c r="P46" s="9">
        <f t="shared" si="24"/>
        <v>9.0909090909090912E-2</v>
      </c>
      <c r="Q46" s="9">
        <f t="shared" si="25"/>
        <v>0</v>
      </c>
      <c r="R46" s="9">
        <f t="shared" si="26"/>
        <v>0</v>
      </c>
      <c r="S46" s="9">
        <f t="shared" si="27"/>
        <v>0</v>
      </c>
      <c r="T46" s="9"/>
      <c r="U46" s="9">
        <f>39/569</f>
        <v>6.8541300527240778E-2</v>
      </c>
      <c r="V46" s="9"/>
      <c r="W46" s="10">
        <f t="shared" si="16"/>
        <v>1.1149367372074794</v>
      </c>
      <c r="X46" s="10">
        <f t="shared" si="17"/>
        <v>1.3263403263403262</v>
      </c>
      <c r="Y46" s="10">
        <f t="shared" si="18"/>
        <v>0</v>
      </c>
      <c r="Z46" s="10">
        <f t="shared" si="13"/>
        <v>0</v>
      </c>
      <c r="AA46" s="10">
        <f t="shared" si="14"/>
        <v>0</v>
      </c>
      <c r="AB46" s="10">
        <f t="shared" si="28"/>
        <v>1.3263403263403262</v>
      </c>
      <c r="AC46" s="38">
        <f t="shared" si="8"/>
        <v>22</v>
      </c>
      <c r="AD46" s="38" t="str">
        <f t="shared" si="9"/>
        <v>4</v>
      </c>
      <c r="AE46" s="10">
        <f t="shared" si="31"/>
        <v>5.6866136184542698E-2</v>
      </c>
      <c r="AF46" s="10">
        <f t="shared" si="31"/>
        <v>7.7945639266393987E-2</v>
      </c>
      <c r="AG46" s="10">
        <f t="shared" si="31"/>
        <v>0</v>
      </c>
      <c r="AH46" s="10">
        <f t="shared" si="31"/>
        <v>0</v>
      </c>
      <c r="AI46" s="10">
        <f t="shared" si="31"/>
        <v>0</v>
      </c>
    </row>
    <row r="47" spans="1:71" x14ac:dyDescent="0.3">
      <c r="A47" s="31" t="s">
        <v>37</v>
      </c>
      <c r="B47" s="34" t="s">
        <v>27</v>
      </c>
      <c r="C47">
        <v>532</v>
      </c>
      <c r="D47">
        <v>152</v>
      </c>
      <c r="E47">
        <v>13</v>
      </c>
      <c r="F47">
        <v>0</v>
      </c>
      <c r="G47">
        <v>0</v>
      </c>
      <c r="I47">
        <v>56</v>
      </c>
      <c r="J47">
        <v>14</v>
      </c>
      <c r="K47">
        <v>0</v>
      </c>
      <c r="L47">
        <v>0</v>
      </c>
      <c r="M47">
        <v>0</v>
      </c>
      <c r="N47" s="34"/>
      <c r="O47" s="35">
        <f t="shared" si="23"/>
        <v>0.10526315789473684</v>
      </c>
      <c r="P47" s="35">
        <f t="shared" si="24"/>
        <v>9.2105263157894732E-2</v>
      </c>
      <c r="Q47" s="35">
        <f t="shared" si="25"/>
        <v>0</v>
      </c>
      <c r="R47" s="35">
        <f t="shared" si="26"/>
        <v>0</v>
      </c>
      <c r="S47" s="35">
        <f t="shared" si="27"/>
        <v>0</v>
      </c>
      <c r="T47" s="35"/>
      <c r="U47" s="35">
        <f>56/569</f>
        <v>9.8418277680140595E-2</v>
      </c>
      <c r="V47" s="35"/>
      <c r="W47" s="26">
        <f t="shared" si="16"/>
        <v>1.0695488721804511</v>
      </c>
      <c r="X47" s="26">
        <f t="shared" si="17"/>
        <v>0.93585526315789469</v>
      </c>
      <c r="Y47" s="26">
        <f t="shared" si="18"/>
        <v>0</v>
      </c>
      <c r="Z47" s="26">
        <f t="shared" si="13"/>
        <v>0</v>
      </c>
      <c r="AA47" s="26">
        <f t="shared" si="14"/>
        <v>0</v>
      </c>
      <c r="AB47" s="26">
        <f t="shared" si="28"/>
        <v>1.0695488721804511</v>
      </c>
      <c r="AC47" s="38">
        <f t="shared" si="8"/>
        <v>532</v>
      </c>
      <c r="AD47" s="38" t="str">
        <f t="shared" si="9"/>
        <v>3</v>
      </c>
      <c r="AE47" s="26">
        <f t="shared" ref="AE47:AI50" si="32">IF(C47&gt;0,((I47*((3*56)+C47))/(4*C47*56))*(1-(C47-I47)/(569-56)),0)</f>
        <v>2.372524879450089E-2</v>
      </c>
      <c r="AF47" s="26">
        <f t="shared" si="32"/>
        <v>9.6183441058787317E-2</v>
      </c>
      <c r="AG47" s="26">
        <f t="shared" si="32"/>
        <v>0</v>
      </c>
      <c r="AH47" s="26">
        <f t="shared" si="32"/>
        <v>0</v>
      </c>
      <c r="AI47" s="26">
        <f t="shared" si="32"/>
        <v>0</v>
      </c>
    </row>
    <row r="48" spans="1:71" x14ac:dyDescent="0.3">
      <c r="A48" s="31" t="s">
        <v>37</v>
      </c>
      <c r="B48" t="s">
        <v>28</v>
      </c>
      <c r="C48">
        <v>336</v>
      </c>
      <c r="D48">
        <v>52</v>
      </c>
      <c r="E48">
        <v>0</v>
      </c>
      <c r="F48">
        <v>0</v>
      </c>
      <c r="G48">
        <v>0</v>
      </c>
      <c r="I48">
        <v>34</v>
      </c>
      <c r="J48">
        <v>9</v>
      </c>
      <c r="K48">
        <v>0</v>
      </c>
      <c r="L48">
        <v>0</v>
      </c>
      <c r="M48">
        <v>0</v>
      </c>
      <c r="O48" s="2">
        <f t="shared" si="23"/>
        <v>0.10119047619047619</v>
      </c>
      <c r="P48" s="2">
        <f t="shared" si="24"/>
        <v>0.17307692307692307</v>
      </c>
      <c r="Q48" s="2">
        <f t="shared" si="25"/>
        <v>0</v>
      </c>
      <c r="R48" s="2">
        <f t="shared" si="26"/>
        <v>0</v>
      </c>
      <c r="S48" s="2">
        <f t="shared" si="27"/>
        <v>0</v>
      </c>
      <c r="T48" s="2"/>
      <c r="U48" s="2">
        <f>56/569</f>
        <v>9.8418277680140595E-2</v>
      </c>
      <c r="V48" s="2"/>
      <c r="W48" s="3">
        <f t="shared" si="16"/>
        <v>1.0281675170068028</v>
      </c>
      <c r="X48" s="3">
        <f t="shared" si="17"/>
        <v>1.7585851648351649</v>
      </c>
      <c r="Y48" s="3">
        <f t="shared" si="18"/>
        <v>0</v>
      </c>
      <c r="Z48" s="3">
        <f t="shared" si="13"/>
        <v>0</v>
      </c>
      <c r="AA48" s="3">
        <f t="shared" si="14"/>
        <v>0</v>
      </c>
      <c r="AB48" s="3">
        <f t="shared" si="28"/>
        <v>1.7585851648351649</v>
      </c>
      <c r="AC48" s="38">
        <f t="shared" si="8"/>
        <v>52</v>
      </c>
      <c r="AD48" s="38" t="str">
        <f t="shared" si="9"/>
        <v>4</v>
      </c>
      <c r="AE48" s="3">
        <f t="shared" si="32"/>
        <v>9.3645572263993324E-2</v>
      </c>
      <c r="AF48" s="3">
        <f t="shared" si="32"/>
        <v>0.15573790244842878</v>
      </c>
      <c r="AG48" s="3">
        <f t="shared" si="32"/>
        <v>0</v>
      </c>
      <c r="AH48" s="3">
        <f t="shared" si="32"/>
        <v>0</v>
      </c>
      <c r="AI48" s="3">
        <f t="shared" si="32"/>
        <v>0</v>
      </c>
    </row>
    <row r="49" spans="1:35" x14ac:dyDescent="0.3">
      <c r="A49" s="31" t="s">
        <v>37</v>
      </c>
      <c r="B49" t="s">
        <v>29</v>
      </c>
      <c r="C49">
        <v>544</v>
      </c>
      <c r="D49">
        <v>261</v>
      </c>
      <c r="E49">
        <v>24</v>
      </c>
      <c r="F49">
        <v>1</v>
      </c>
      <c r="G49">
        <v>0</v>
      </c>
      <c r="I49">
        <v>56</v>
      </c>
      <c r="J49">
        <v>32</v>
      </c>
      <c r="K49">
        <v>1</v>
      </c>
      <c r="L49">
        <v>0</v>
      </c>
      <c r="M49">
        <v>0</v>
      </c>
      <c r="O49" s="2">
        <f t="shared" si="23"/>
        <v>0.10294117647058823</v>
      </c>
      <c r="P49" s="2">
        <f t="shared" si="24"/>
        <v>0.12260536398467432</v>
      </c>
      <c r="Q49" s="2">
        <f t="shared" si="25"/>
        <v>4.1666666666666664E-2</v>
      </c>
      <c r="R49" s="2">
        <f t="shared" si="26"/>
        <v>0</v>
      </c>
      <c r="S49" s="2">
        <f t="shared" si="27"/>
        <v>0</v>
      </c>
      <c r="T49" s="2"/>
      <c r="U49" s="2">
        <f>56/569</f>
        <v>9.8418277680140595E-2</v>
      </c>
      <c r="V49" s="2"/>
      <c r="W49" s="3">
        <f t="shared" si="16"/>
        <v>1.0459558823529411</v>
      </c>
      <c r="X49" s="3">
        <f t="shared" si="17"/>
        <v>1.2457580733442801</v>
      </c>
      <c r="Y49" s="3">
        <f t="shared" si="18"/>
        <v>0.42336309523809523</v>
      </c>
      <c r="Z49" s="3">
        <f t="shared" si="13"/>
        <v>0</v>
      </c>
      <c r="AA49" s="3">
        <f t="shared" si="14"/>
        <v>0</v>
      </c>
      <c r="AB49" s="26">
        <f t="shared" si="28"/>
        <v>1.2457580733442801</v>
      </c>
      <c r="AC49" s="38">
        <f t="shared" si="8"/>
        <v>261</v>
      </c>
      <c r="AD49" s="38" t="str">
        <f t="shared" si="9"/>
        <v>4</v>
      </c>
      <c r="AE49" s="3">
        <f t="shared" si="32"/>
        <v>1.594570576768721E-2</v>
      </c>
      <c r="AF49" s="3">
        <f t="shared" si="32"/>
        <v>0.12999292612117777</v>
      </c>
      <c r="AG49" s="3">
        <f t="shared" si="32"/>
        <v>3.4113060428849901E-2</v>
      </c>
      <c r="AH49" s="3">
        <f t="shared" si="32"/>
        <v>0</v>
      </c>
      <c r="AI49" s="3">
        <f t="shared" si="32"/>
        <v>0</v>
      </c>
    </row>
    <row r="50" spans="1:35" x14ac:dyDescent="0.3">
      <c r="A50" s="31" t="s">
        <v>37</v>
      </c>
      <c r="B50" s="1" t="s">
        <v>30</v>
      </c>
      <c r="C50" s="1">
        <v>17</v>
      </c>
      <c r="D50" s="1">
        <v>1</v>
      </c>
      <c r="E50" s="1">
        <v>0</v>
      </c>
      <c r="F50" s="1">
        <v>0</v>
      </c>
      <c r="G50" s="1">
        <v>0</v>
      </c>
      <c r="H50" s="1"/>
      <c r="I50" s="1">
        <v>1</v>
      </c>
      <c r="J50" s="1">
        <v>1</v>
      </c>
      <c r="K50" s="1">
        <v>0</v>
      </c>
      <c r="L50" s="1">
        <v>0</v>
      </c>
      <c r="M50" s="1">
        <v>0</v>
      </c>
      <c r="N50" s="1"/>
      <c r="O50" s="9">
        <f t="shared" si="23"/>
        <v>5.8823529411764705E-2</v>
      </c>
      <c r="P50" s="9">
        <f t="shared" si="24"/>
        <v>1</v>
      </c>
      <c r="Q50" s="9">
        <f t="shared" si="25"/>
        <v>0</v>
      </c>
      <c r="R50" s="9">
        <f t="shared" si="26"/>
        <v>0</v>
      </c>
      <c r="S50" s="9">
        <f t="shared" si="27"/>
        <v>0</v>
      </c>
      <c r="T50" s="9"/>
      <c r="U50" s="9">
        <f>56/569</f>
        <v>9.8418277680140595E-2</v>
      </c>
      <c r="V50" s="9"/>
      <c r="W50" s="10">
        <f t="shared" si="16"/>
        <v>0.59768907563025209</v>
      </c>
      <c r="X50" s="10">
        <f t="shared" si="17"/>
        <v>10.160714285714286</v>
      </c>
      <c r="Y50" s="10">
        <f t="shared" si="18"/>
        <v>0</v>
      </c>
      <c r="Z50" s="10">
        <f t="shared" si="13"/>
        <v>0</v>
      </c>
      <c r="AA50" s="10">
        <f t="shared" si="14"/>
        <v>0</v>
      </c>
      <c r="AB50" s="10">
        <f t="shared" si="28"/>
        <v>10.160714285714286</v>
      </c>
      <c r="AC50" s="38">
        <f t="shared" si="8"/>
        <v>1</v>
      </c>
      <c r="AD50" s="38" t="str">
        <f t="shared" si="9"/>
        <v>4</v>
      </c>
      <c r="AE50" s="10">
        <f t="shared" si="32"/>
        <v>4.7066706799678934E-2</v>
      </c>
      <c r="AF50" s="10">
        <f t="shared" si="32"/>
        <v>0.7544642857142857</v>
      </c>
      <c r="AG50" s="10">
        <f t="shared" si="32"/>
        <v>0</v>
      </c>
      <c r="AH50" s="10">
        <f t="shared" si="32"/>
        <v>0</v>
      </c>
      <c r="AI50" s="10">
        <f t="shared" si="32"/>
        <v>0</v>
      </c>
    </row>
    <row r="51" spans="1:35" x14ac:dyDescent="0.3">
      <c r="A51" s="31" t="s">
        <v>38</v>
      </c>
      <c r="B51" s="34" t="s">
        <v>27</v>
      </c>
      <c r="C51">
        <v>568</v>
      </c>
      <c r="D51">
        <v>487</v>
      </c>
      <c r="E51">
        <v>63</v>
      </c>
      <c r="F51">
        <v>1</v>
      </c>
      <c r="G51">
        <v>0</v>
      </c>
      <c r="I51">
        <v>53</v>
      </c>
      <c r="J51">
        <v>50</v>
      </c>
      <c r="K51">
        <v>8</v>
      </c>
      <c r="L51">
        <v>0</v>
      </c>
      <c r="M51">
        <v>0</v>
      </c>
      <c r="N51" s="34"/>
      <c r="O51" s="35">
        <f t="shared" si="23"/>
        <v>9.3309859154929578E-2</v>
      </c>
      <c r="P51" s="35">
        <f t="shared" si="24"/>
        <v>0.10266940451745379</v>
      </c>
      <c r="Q51" s="35">
        <f t="shared" si="25"/>
        <v>0.12698412698412698</v>
      </c>
      <c r="R51" s="35">
        <f t="shared" si="26"/>
        <v>0</v>
      </c>
      <c r="S51" s="35">
        <f t="shared" si="27"/>
        <v>0</v>
      </c>
      <c r="T51" s="35"/>
      <c r="U51" s="35">
        <f>53/569</f>
        <v>9.3145869947275917E-2</v>
      </c>
      <c r="V51" s="35"/>
      <c r="W51" s="26">
        <f t="shared" si="16"/>
        <v>1.0017605633802817</v>
      </c>
      <c r="X51" s="26">
        <f t="shared" si="17"/>
        <v>1.1022432296307776</v>
      </c>
      <c r="Y51" s="26">
        <f t="shared" si="18"/>
        <v>1.3632824198861935</v>
      </c>
      <c r="Z51" s="26">
        <f t="shared" si="13"/>
        <v>0</v>
      </c>
      <c r="AA51" s="26">
        <f t="shared" si="14"/>
        <v>0</v>
      </c>
      <c r="AB51" s="26">
        <f t="shared" si="28"/>
        <v>1.3632824198861935</v>
      </c>
      <c r="AC51" s="38">
        <f t="shared" si="8"/>
        <v>63</v>
      </c>
      <c r="AD51" s="38" t="str">
        <f t="shared" si="9"/>
        <v>5</v>
      </c>
      <c r="AE51" s="26">
        <f t="shared" ref="AE51:AI54" si="33">IF(C51&gt;0,((I51*((3*53)+C51))/(4*C51*53))*(1-(C51-I51)/(569-53)),0)</f>
        <v>6.2012091931433672E-4</v>
      </c>
      <c r="AF51" s="26">
        <f t="shared" si="33"/>
        <v>4.7897747459994686E-2</v>
      </c>
      <c r="AG51" s="26">
        <f t="shared" si="33"/>
        <v>0.1188003649609617</v>
      </c>
      <c r="AH51" s="26">
        <f t="shared" si="33"/>
        <v>0</v>
      </c>
      <c r="AI51" s="26">
        <f t="shared" si="33"/>
        <v>0</v>
      </c>
    </row>
    <row r="52" spans="1:35" x14ac:dyDescent="0.3">
      <c r="A52" s="31" t="s">
        <v>38</v>
      </c>
      <c r="B52" t="s">
        <v>28</v>
      </c>
      <c r="C52">
        <v>15</v>
      </c>
      <c r="D52">
        <v>0</v>
      </c>
      <c r="E52">
        <v>0</v>
      </c>
      <c r="F52">
        <v>0</v>
      </c>
      <c r="G52">
        <v>0</v>
      </c>
      <c r="I52">
        <v>0</v>
      </c>
      <c r="J52">
        <v>0</v>
      </c>
      <c r="K52">
        <v>0</v>
      </c>
      <c r="L52">
        <v>0</v>
      </c>
      <c r="M52">
        <v>0</v>
      </c>
      <c r="O52" s="2">
        <f t="shared" si="23"/>
        <v>0</v>
      </c>
      <c r="P52" s="2">
        <f t="shared" si="24"/>
        <v>0</v>
      </c>
      <c r="Q52" s="2">
        <f t="shared" si="25"/>
        <v>0</v>
      </c>
      <c r="R52" s="2">
        <f t="shared" si="26"/>
        <v>0</v>
      </c>
      <c r="S52" s="2">
        <f t="shared" si="27"/>
        <v>0</v>
      </c>
      <c r="T52" s="2"/>
      <c r="U52" s="2">
        <f>53/569</f>
        <v>9.3145869947275917E-2</v>
      </c>
      <c r="V52" s="2"/>
      <c r="W52" s="3">
        <f t="shared" si="16"/>
        <v>0</v>
      </c>
      <c r="X52" s="3">
        <f t="shared" si="17"/>
        <v>0</v>
      </c>
      <c r="Y52" s="3">
        <f t="shared" si="18"/>
        <v>0</v>
      </c>
      <c r="Z52" s="3">
        <f t="shared" si="13"/>
        <v>0</v>
      </c>
      <c r="AA52" s="3">
        <f t="shared" si="14"/>
        <v>0</v>
      </c>
      <c r="AB52" s="3">
        <f t="shared" si="28"/>
        <v>0</v>
      </c>
      <c r="AC52" s="38">
        <f t="shared" si="8"/>
        <v>15</v>
      </c>
      <c r="AD52" s="38" t="str">
        <f t="shared" si="9"/>
        <v>3</v>
      </c>
      <c r="AE52" s="3">
        <f t="shared" si="33"/>
        <v>0</v>
      </c>
      <c r="AF52" s="3">
        <f t="shared" si="33"/>
        <v>0</v>
      </c>
      <c r="AG52" s="3">
        <f t="shared" si="33"/>
        <v>0</v>
      </c>
      <c r="AH52" s="3">
        <f t="shared" si="33"/>
        <v>0</v>
      </c>
      <c r="AI52" s="3">
        <f t="shared" si="33"/>
        <v>0</v>
      </c>
    </row>
    <row r="53" spans="1:35" x14ac:dyDescent="0.3">
      <c r="A53" s="31" t="s">
        <v>38</v>
      </c>
      <c r="B53" t="s">
        <v>29</v>
      </c>
      <c r="C53">
        <v>566</v>
      </c>
      <c r="D53">
        <v>469</v>
      </c>
      <c r="E53">
        <v>34</v>
      </c>
      <c r="F53">
        <v>3</v>
      </c>
      <c r="G53">
        <v>0</v>
      </c>
      <c r="I53">
        <v>53</v>
      </c>
      <c r="J53">
        <v>50</v>
      </c>
      <c r="K53">
        <v>1</v>
      </c>
      <c r="L53">
        <v>0</v>
      </c>
      <c r="M53">
        <v>0</v>
      </c>
      <c r="O53" s="2">
        <f t="shared" si="23"/>
        <v>9.3639575971731448E-2</v>
      </c>
      <c r="P53" s="2">
        <f t="shared" si="24"/>
        <v>0.10660980810234541</v>
      </c>
      <c r="Q53" s="2">
        <f t="shared" si="25"/>
        <v>2.9411764705882353E-2</v>
      </c>
      <c r="R53" s="2">
        <f t="shared" si="26"/>
        <v>0</v>
      </c>
      <c r="S53" s="2">
        <f t="shared" si="27"/>
        <v>0</v>
      </c>
      <c r="T53" s="2"/>
      <c r="U53" s="2">
        <f>53/569</f>
        <v>9.3145869947275917E-2</v>
      </c>
      <c r="V53" s="2"/>
      <c r="W53" s="3">
        <f t="shared" si="16"/>
        <v>1.0053003533568905</v>
      </c>
      <c r="X53" s="3">
        <f t="shared" si="17"/>
        <v>1.1445468077402743</v>
      </c>
      <c r="Y53" s="3">
        <f t="shared" si="18"/>
        <v>0.31576026637069926</v>
      </c>
      <c r="Z53" s="3">
        <f t="shared" si="13"/>
        <v>0</v>
      </c>
      <c r="AA53" s="3">
        <f t="shared" si="14"/>
        <v>0</v>
      </c>
      <c r="AB53" s="3">
        <f t="shared" si="28"/>
        <v>1.1445468077402743</v>
      </c>
      <c r="AC53" s="38">
        <f t="shared" si="8"/>
        <v>469</v>
      </c>
      <c r="AD53" s="38" t="str">
        <f t="shared" si="9"/>
        <v>4</v>
      </c>
      <c r="AE53" s="3">
        <f t="shared" si="33"/>
        <v>1.8618004766209253E-3</v>
      </c>
      <c r="AF53" s="3">
        <f t="shared" si="33"/>
        <v>5.9366709360487734E-2</v>
      </c>
      <c r="AG53" s="3">
        <f t="shared" si="33"/>
        <v>2.5063398549415378E-2</v>
      </c>
      <c r="AH53" s="3">
        <f t="shared" si="33"/>
        <v>0</v>
      </c>
      <c r="AI53" s="3">
        <f t="shared" si="33"/>
        <v>0</v>
      </c>
    </row>
    <row r="54" spans="1:35" x14ac:dyDescent="0.3">
      <c r="A54" s="32" t="s">
        <v>38</v>
      </c>
      <c r="B54" s="1" t="s">
        <v>30</v>
      </c>
      <c r="C54" s="1">
        <v>14</v>
      </c>
      <c r="D54" s="1">
        <v>0</v>
      </c>
      <c r="E54" s="1">
        <v>0</v>
      </c>
      <c r="F54" s="1">
        <v>0</v>
      </c>
      <c r="G54" s="1">
        <v>0</v>
      </c>
      <c r="H54" s="1"/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/>
      <c r="O54" s="9">
        <f t="shared" si="23"/>
        <v>0</v>
      </c>
      <c r="P54" s="9">
        <f t="shared" si="24"/>
        <v>0</v>
      </c>
      <c r="Q54" s="9">
        <f t="shared" si="25"/>
        <v>0</v>
      </c>
      <c r="R54" s="9">
        <f t="shared" si="26"/>
        <v>0</v>
      </c>
      <c r="S54" s="9">
        <f t="shared" si="27"/>
        <v>0</v>
      </c>
      <c r="T54" s="9"/>
      <c r="U54" s="9">
        <f>53/569</f>
        <v>9.3145869947275917E-2</v>
      </c>
      <c r="V54" s="9"/>
      <c r="W54" s="10">
        <f t="shared" si="16"/>
        <v>0</v>
      </c>
      <c r="X54" s="10">
        <f t="shared" si="17"/>
        <v>0</v>
      </c>
      <c r="Y54" s="10">
        <f t="shared" si="18"/>
        <v>0</v>
      </c>
      <c r="Z54" s="10">
        <f t="shared" si="13"/>
        <v>0</v>
      </c>
      <c r="AA54" s="10">
        <f t="shared" si="14"/>
        <v>0</v>
      </c>
      <c r="AB54" s="10">
        <f t="shared" si="28"/>
        <v>0</v>
      </c>
      <c r="AC54" s="38">
        <f t="shared" si="8"/>
        <v>14</v>
      </c>
      <c r="AD54" s="38" t="str">
        <f t="shared" si="9"/>
        <v>3</v>
      </c>
      <c r="AE54" s="10">
        <f t="shared" si="33"/>
        <v>0</v>
      </c>
      <c r="AF54" s="10">
        <f t="shared" si="33"/>
        <v>0</v>
      </c>
      <c r="AG54" s="10">
        <f t="shared" si="33"/>
        <v>0</v>
      </c>
      <c r="AH54" s="10">
        <f t="shared" si="33"/>
        <v>0</v>
      </c>
      <c r="AI54" s="10">
        <f t="shared" si="33"/>
        <v>0</v>
      </c>
    </row>
  </sheetData>
  <sortState xmlns:xlrd2="http://schemas.microsoft.com/office/spreadsheetml/2017/richdata2" ref="A3:AI54">
    <sortCondition ref="A3:A54"/>
  </sortState>
  <phoneticPr fontId="2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469A2-38B1-47E0-BFB0-52DF88F43E40}">
  <sheetPr codeName="Sheet2"/>
  <dimension ref="A1:BS59"/>
  <sheetViews>
    <sheetView topLeftCell="X22" zoomScale="70" zoomScaleNormal="70" workbookViewId="0">
      <selection activeCell="AD2" sqref="AD2:AD54"/>
    </sheetView>
  </sheetViews>
  <sheetFormatPr defaultRowHeight="14.4" x14ac:dyDescent="0.3"/>
  <cols>
    <col min="3" max="5" width="9.6640625" bestFit="1" customWidth="1"/>
    <col min="6" max="7" width="9.6640625" customWidth="1"/>
    <col min="38" max="38" width="12.77734375" bestFit="1" customWidth="1"/>
    <col min="45" max="47" width="9.33203125" bestFit="1" customWidth="1"/>
    <col min="48" max="50" width="9.33203125" customWidth="1"/>
  </cols>
  <sheetData>
    <row r="1" spans="1:61" x14ac:dyDescent="0.3">
      <c r="A1" t="s">
        <v>0</v>
      </c>
      <c r="E1" t="s">
        <v>1</v>
      </c>
      <c r="K1" t="s">
        <v>2</v>
      </c>
      <c r="P1" t="s">
        <v>3</v>
      </c>
      <c r="U1" t="s">
        <v>4</v>
      </c>
      <c r="Y1" t="s">
        <v>5</v>
      </c>
      <c r="AG1" t="s">
        <v>6</v>
      </c>
      <c r="AN1" t="s">
        <v>7</v>
      </c>
      <c r="AU1" t="s">
        <v>8</v>
      </c>
      <c r="BA1" t="s">
        <v>9</v>
      </c>
      <c r="BG1" t="s">
        <v>10</v>
      </c>
    </row>
    <row r="2" spans="1:61" s="1" customFormat="1" x14ac:dyDescent="0.3">
      <c r="C2" s="1" t="s">
        <v>11</v>
      </c>
      <c r="D2" s="1" t="s">
        <v>12</v>
      </c>
      <c r="E2" s="1" t="s">
        <v>13</v>
      </c>
      <c r="F2" s="1" t="s">
        <v>14</v>
      </c>
      <c r="G2" s="1" t="s">
        <v>15</v>
      </c>
      <c r="I2" s="1" t="s">
        <v>16</v>
      </c>
      <c r="J2" s="1" t="s">
        <v>17</v>
      </c>
      <c r="K2" s="1" t="s">
        <v>18</v>
      </c>
      <c r="L2" s="1" t="s">
        <v>19</v>
      </c>
      <c r="M2" s="1" t="s">
        <v>20</v>
      </c>
      <c r="O2" s="1" t="s">
        <v>16</v>
      </c>
      <c r="P2" s="1" t="s">
        <v>17</v>
      </c>
      <c r="Q2" s="1" t="s">
        <v>18</v>
      </c>
      <c r="R2" s="1" t="s">
        <v>19</v>
      </c>
      <c r="S2" s="1" t="s">
        <v>20</v>
      </c>
      <c r="W2" s="1" t="s">
        <v>16</v>
      </c>
      <c r="X2" s="1" t="s">
        <v>17</v>
      </c>
      <c r="Y2" s="1" t="s">
        <v>18</v>
      </c>
      <c r="Z2" s="1" t="s">
        <v>19</v>
      </c>
      <c r="AA2" s="1" t="s">
        <v>20</v>
      </c>
      <c r="AB2" s="1" t="s">
        <v>51</v>
      </c>
      <c r="AC2" s="1" t="s">
        <v>58</v>
      </c>
      <c r="AD2" s="1" t="s">
        <v>59</v>
      </c>
      <c r="AE2" s="1" t="s">
        <v>16</v>
      </c>
      <c r="AF2" s="1" t="s">
        <v>17</v>
      </c>
      <c r="AG2" s="1" t="s">
        <v>18</v>
      </c>
      <c r="AH2" s="1" t="s">
        <v>19</v>
      </c>
      <c r="AI2" s="1" t="s">
        <v>20</v>
      </c>
      <c r="AL2" s="1" t="s">
        <v>21</v>
      </c>
      <c r="AM2" s="1" t="s">
        <v>22</v>
      </c>
      <c r="AN2" s="1" t="s">
        <v>23</v>
      </c>
      <c r="AO2" s="1" t="s">
        <v>24</v>
      </c>
      <c r="AP2" s="1" t="s">
        <v>25</v>
      </c>
      <c r="AS2" s="1" t="s">
        <v>21</v>
      </c>
      <c r="AT2" s="1" t="s">
        <v>22</v>
      </c>
      <c r="AU2" s="1" t="s">
        <v>23</v>
      </c>
      <c r="AV2" s="1" t="s">
        <v>24</v>
      </c>
      <c r="AW2" s="1" t="s">
        <v>25</v>
      </c>
      <c r="AY2" s="1" t="s">
        <v>21</v>
      </c>
      <c r="AZ2" s="1" t="s">
        <v>22</v>
      </c>
      <c r="BA2" s="1" t="s">
        <v>23</v>
      </c>
      <c r="BB2" s="1" t="s">
        <v>24</v>
      </c>
      <c r="BC2" s="1" t="s">
        <v>25</v>
      </c>
      <c r="BE2" s="1" t="s">
        <v>21</v>
      </c>
      <c r="BF2" s="1" t="s">
        <v>22</v>
      </c>
      <c r="BG2" s="1" t="s">
        <v>23</v>
      </c>
      <c r="BH2" s="1" t="s">
        <v>24</v>
      </c>
      <c r="BI2" s="1" t="s">
        <v>25</v>
      </c>
    </row>
    <row r="3" spans="1:61" x14ac:dyDescent="0.3">
      <c r="A3" s="31" t="s">
        <v>53</v>
      </c>
      <c r="B3" t="s">
        <v>27</v>
      </c>
      <c r="C3">
        <v>563</v>
      </c>
      <c r="D3">
        <v>282</v>
      </c>
      <c r="E3">
        <v>57</v>
      </c>
      <c r="F3">
        <v>4</v>
      </c>
      <c r="G3">
        <v>0</v>
      </c>
      <c r="I3">
        <v>65</v>
      </c>
      <c r="J3">
        <v>33</v>
      </c>
      <c r="K3">
        <v>7</v>
      </c>
      <c r="L3">
        <v>0</v>
      </c>
      <c r="M3">
        <v>0</v>
      </c>
      <c r="O3" s="27">
        <f t="shared" ref="O3:O34" si="0">IF(I3&gt;0, I3/C3, 0)</f>
        <v>0.11545293072824156</v>
      </c>
      <c r="P3" s="27">
        <f t="shared" ref="P3:P34" si="1">IF(J3&gt;0, J3/D3, 0)</f>
        <v>0.11702127659574468</v>
      </c>
      <c r="Q3" s="27">
        <f t="shared" ref="Q3:Q34" si="2">IF(K3&gt;0, K3/E3, 0)</f>
        <v>0.12280701754385964</v>
      </c>
      <c r="R3" s="27">
        <f t="shared" ref="R3:R34" si="3">IF(L3&gt;0, L3/F3, 0)</f>
        <v>0</v>
      </c>
      <c r="S3" s="27">
        <f t="shared" ref="S3:S34" si="4">IF(M3&gt;0, M3/G3, 0)</f>
        <v>0</v>
      </c>
      <c r="T3" s="27"/>
      <c r="U3" s="27">
        <f>65/569</f>
        <v>0.11423550087873462</v>
      </c>
      <c r="V3" s="27"/>
      <c r="W3" s="28">
        <f t="shared" ref="W3:AA10" si="5">O3/$U3</f>
        <v>1.0106571936056838</v>
      </c>
      <c r="X3" s="28">
        <f t="shared" si="5"/>
        <v>1.0243862520458267</v>
      </c>
      <c r="Y3" s="28">
        <f t="shared" si="5"/>
        <v>1.0750337381916328</v>
      </c>
      <c r="Z3" s="28">
        <f t="shared" si="5"/>
        <v>0</v>
      </c>
      <c r="AA3" s="28">
        <f t="shared" si="5"/>
        <v>0</v>
      </c>
      <c r="AB3" s="28">
        <f t="shared" ref="AB3:AB34" si="6">MAX(W3:AA3)</f>
        <v>1.0750337381916328</v>
      </c>
      <c r="AC3" s="39">
        <f>INDEX(C3:AA3, 1, MATCH(AB3, W3:AA3, 0))</f>
        <v>57</v>
      </c>
      <c r="AD3" s="39" t="str">
        <f>LEFT(INDEX(C$2:G$2, 1, MATCH(AB3, W3:AA3, 0)),1)</f>
        <v>5</v>
      </c>
      <c r="AE3" s="28">
        <f>IF(C3&gt;0,((I3*((3*65)+C3))/(4*C3*65))*(1-(C3-I3)/(569-65)),0)</f>
        <v>4.0070202148354758E-3</v>
      </c>
      <c r="AF3" s="28">
        <f>IF(D3&gt;0,((J3*((3*65)+D3))/(4*D3*65))*(1-(D3-J3)/(569-65)),0)</f>
        <v>0.10862242810381108</v>
      </c>
      <c r="AG3" s="28">
        <f>IF(E3&gt;0,((K3*((3*65)+E3))/(4*E3*65))*(1-(E3-K3)/(569-65)),0)</f>
        <v>0.10721997300944669</v>
      </c>
      <c r="AH3" s="28">
        <f>IF(F3&gt;0,((L3*((3*65)+F3))/(4*F3*65))*(1-(F3-L3)/(569-65)),0)</f>
        <v>0</v>
      </c>
      <c r="AI3" s="28">
        <f>IF(G3&gt;0,((M3*((3*65)+G3))/(4*G3*65))*(1-(G3-M3)/(569-65)),0)</f>
        <v>0</v>
      </c>
      <c r="AJ3" s="2"/>
      <c r="AK3" t="s">
        <v>27</v>
      </c>
      <c r="AL3" s="2">
        <f>AVERAGE(O7,O11,O19,O23,O27,O31)</f>
        <v>0.10941074816984193</v>
      </c>
      <c r="AM3" s="2">
        <f>AVERAGE(P7,P11,P19,P23,P27,P31)</f>
        <v>0.11697501434234364</v>
      </c>
      <c r="AN3" s="2">
        <f>AVERAGE(Q7,Q11,Q19,Q23,Q27,Q31)</f>
        <v>0.11540736032393428</v>
      </c>
      <c r="AO3" s="2">
        <f>AVERAGE(R7,R11,R19,R23,R27,R31)</f>
        <v>5.1289682539682545E-2</v>
      </c>
      <c r="AP3" s="2">
        <f>AVERAGE(S7,S11,S19,S23,S27,S31)</f>
        <v>0</v>
      </c>
      <c r="AR3" t="s">
        <v>27</v>
      </c>
      <c r="AS3" s="4">
        <f>AVERAGE(W3,W7,W11,W15,W19,W23,W27,W31)</f>
        <v>1.0116539507769409</v>
      </c>
      <c r="AT3" s="4">
        <f>AVERAGE(X3,X7,X11,X15,X19,X23,X27,X31)</f>
        <v>1.0349715295087558</v>
      </c>
      <c r="AU3" s="4">
        <f>AVERAGE(Y3,Y7,Y11,Y15,Y19,Y23,Y27,Y31)</f>
        <v>0.98489487507065987</v>
      </c>
      <c r="AV3" s="4">
        <f>AVERAGE(Z3,Z7,Z11,Z15,Z19,Z23,Z27,Z31)</f>
        <v>0.30508347571418187</v>
      </c>
      <c r="AW3" s="4">
        <f>AVERAGE(AA3,AA7,AA11,AA15,AA19,AA23,AA27,AA31)</f>
        <v>0</v>
      </c>
      <c r="AX3" s="4"/>
      <c r="AY3" s="4">
        <f t="shared" ref="AY3:BC6" si="7">AVERAGE(AE3,AE7,AE11,AE15,AE19,AE23,AE27,AE31)</f>
        <v>6.3044268859799874E-3</v>
      </c>
      <c r="AZ3" s="4">
        <f t="shared" si="7"/>
        <v>6.0884620430198023E-2</v>
      </c>
      <c r="BA3" s="4">
        <f t="shared" si="7"/>
        <v>9.8022730444204759E-2</v>
      </c>
      <c r="BB3" s="4">
        <f t="shared" si="7"/>
        <v>3.1229558627766482E-2</v>
      </c>
      <c r="BC3" s="4">
        <f t="shared" si="7"/>
        <v>0</v>
      </c>
      <c r="BE3" s="5">
        <f>MAX(AE3,AE7,AE11,AE15,AE19,AE23,AE27,AE31)</f>
        <v>3.6965374490966769E-2</v>
      </c>
      <c r="BF3" s="5">
        <f t="shared" ref="BF3:BI6" si="8">MAX(AF3,AF7,AF11,AF15,AF19,AF23,AF27,AF31)</f>
        <v>0.14678021929436733</v>
      </c>
      <c r="BG3" s="5">
        <f t="shared" si="8"/>
        <v>0.17312661498708012</v>
      </c>
      <c r="BH3" s="5">
        <f t="shared" si="8"/>
        <v>0.14139376680904919</v>
      </c>
      <c r="BI3" s="5">
        <f t="shared" si="8"/>
        <v>0</v>
      </c>
    </row>
    <row r="4" spans="1:61" x14ac:dyDescent="0.3">
      <c r="A4" s="31" t="s">
        <v>53</v>
      </c>
      <c r="B4" t="s">
        <v>28</v>
      </c>
      <c r="C4">
        <v>537</v>
      </c>
      <c r="D4">
        <v>282</v>
      </c>
      <c r="E4">
        <v>25</v>
      </c>
      <c r="F4">
        <v>0</v>
      </c>
      <c r="G4">
        <v>0</v>
      </c>
      <c r="I4">
        <v>65</v>
      </c>
      <c r="J4">
        <v>42</v>
      </c>
      <c r="K4">
        <v>4</v>
      </c>
      <c r="L4">
        <v>0</v>
      </c>
      <c r="M4">
        <v>0</v>
      </c>
      <c r="O4" s="27">
        <f t="shared" si="0"/>
        <v>0.12104283054003724</v>
      </c>
      <c r="P4" s="27">
        <f t="shared" si="1"/>
        <v>0.14893617021276595</v>
      </c>
      <c r="Q4" s="27">
        <f t="shared" si="2"/>
        <v>0.16</v>
      </c>
      <c r="R4" s="27">
        <f t="shared" si="3"/>
        <v>0</v>
      </c>
      <c r="S4" s="27">
        <f t="shared" si="4"/>
        <v>0</v>
      </c>
      <c r="T4" s="27"/>
      <c r="U4" s="27">
        <f>65/569</f>
        <v>0.11423550087873462</v>
      </c>
      <c r="V4" s="27"/>
      <c r="W4" s="28">
        <f t="shared" si="5"/>
        <v>1.0595903165735567</v>
      </c>
      <c r="X4" s="28">
        <f t="shared" si="5"/>
        <v>1.3037643207855973</v>
      </c>
      <c r="Y4" s="28">
        <f t="shared" si="5"/>
        <v>1.4006153846153848</v>
      </c>
      <c r="Z4" s="28">
        <f t="shared" si="5"/>
        <v>0</v>
      </c>
      <c r="AA4" s="28">
        <f t="shared" si="5"/>
        <v>0</v>
      </c>
      <c r="AB4" s="28">
        <f t="shared" si="6"/>
        <v>1.4006153846153848</v>
      </c>
      <c r="AC4" s="39">
        <f>INDEX(C4:AA4, 1, MATCH(AB4, W4:AA4, 0))</f>
        <v>25</v>
      </c>
      <c r="AD4" s="39" t="str">
        <f t="shared" ref="AD4:AD54" si="9">LEFT(INDEX(C$2:G$2, 1, MATCH(AB4, W4:AA4, 0)),1)</f>
        <v>5</v>
      </c>
      <c r="AE4" s="28">
        <f>IF(C4&gt;0,((I4*((3*65)+C4))/(4*C4*65))*(1-(C4-I4)/(569-65)),0)</f>
        <v>2.1636960184446215E-2</v>
      </c>
      <c r="AF4" s="28">
        <f>IF(D4&gt;0,((J4*((3*65)+D4))/(4*D4*65))*(1-(D4-J4)/(569-65)),0)</f>
        <v>0.14312602291325696</v>
      </c>
      <c r="AG4" s="28">
        <f>IF(E4&gt;0,((K4*((3*65)+E4))/(4*E4*65))*(1-(E4-K4)/(569-65)),0)</f>
        <v>0.12974358974358974</v>
      </c>
      <c r="AH4" s="28">
        <f>IF(F4&gt;0,((L4*((3*65)+F4))/(4*F4*65))*(1-(F4-L4)/(569-65)),0)</f>
        <v>0</v>
      </c>
      <c r="AI4" s="28">
        <f>IF(G4&gt;0,((M4*((3*65)+G4))/(4*G4*65))*(1-(G4-M4)/(569-65)),0)</f>
        <v>0</v>
      </c>
      <c r="AJ4" s="2"/>
      <c r="AK4" t="s">
        <v>28</v>
      </c>
      <c r="AL4" s="6">
        <f>AVERAGE(O8,O12,O20,O24,O28,O32)</f>
        <v>0.10810837749241443</v>
      </c>
      <c r="AM4" s="6">
        <f>AVERAGE(P8,P12,P20,P24,P28,P32)</f>
        <v>9.6934339426501551E-2</v>
      </c>
      <c r="AN4" s="6">
        <f>AVERAGE(Q8,Q12,Q20,Q24,Q28,Q32)</f>
        <v>0.13951754107627182</v>
      </c>
      <c r="AO4" s="6">
        <f>AVERAGE(R8,R12,R20,R24,R28,R32)</f>
        <v>8.3333333333333329E-2</v>
      </c>
      <c r="AP4" s="6">
        <f>AVERAGE(S8,S12,S20,S24,S28,S32)</f>
        <v>0</v>
      </c>
      <c r="AR4" t="s">
        <v>28</v>
      </c>
      <c r="AS4" s="7">
        <f>AVERAGE(W4,W8,W12,W16,W20,W24,W28,W32)</f>
        <v>1.0135036046362207</v>
      </c>
      <c r="AT4" s="7">
        <f>AVERAGE(X4,X8,X12,X16,X20,X24,X28,X32)</f>
        <v>0.93565728996579856</v>
      </c>
      <c r="AU4" s="7">
        <f>AVERAGE(Y4,Y8,Y12,Y16,Y20,Y24,Y28,Y32)</f>
        <v>1.4956006604410637</v>
      </c>
      <c r="AV4" s="7">
        <f>AVERAGE(Z4,Z8,Z12,Z16,Z20,Z24,Z28,Z32)</f>
        <v>0.41351744186046513</v>
      </c>
      <c r="AW4" s="7">
        <f>AVERAGE(AA4,AA8,AA12,AA16,AA20,AA24,AA28,AA32)</f>
        <v>0</v>
      </c>
      <c r="AX4" s="4"/>
      <c r="AY4" s="7">
        <f t="shared" si="7"/>
        <v>7.0141255010648359E-3</v>
      </c>
      <c r="AZ4" s="7">
        <f t="shared" si="7"/>
        <v>7.1127631978804839E-2</v>
      </c>
      <c r="BA4" s="7">
        <f t="shared" si="7"/>
        <v>0.11680339934232066</v>
      </c>
      <c r="BB4" s="7">
        <f t="shared" si="7"/>
        <v>4.7140570080408298E-2</v>
      </c>
      <c r="BC4" s="7">
        <f t="shared" si="7"/>
        <v>0</v>
      </c>
      <c r="BE4" s="5">
        <f t="shared" ref="BE4:BE6" si="10">MAX(AE4,AE8,AE12,AE16,AE20,AE24,AE28,AE32)</f>
        <v>2.1636960184446215E-2</v>
      </c>
      <c r="BF4" s="5">
        <f t="shared" si="8"/>
        <v>0.14312602291325696</v>
      </c>
      <c r="BG4" s="8">
        <f t="shared" si="8"/>
        <v>0.21095318815089231</v>
      </c>
      <c r="BH4" s="8">
        <f t="shared" si="8"/>
        <v>0.37712456064326638</v>
      </c>
      <c r="BI4" s="8">
        <f t="shared" si="8"/>
        <v>0</v>
      </c>
    </row>
    <row r="5" spans="1:61" x14ac:dyDescent="0.3">
      <c r="A5" s="31" t="s">
        <v>53</v>
      </c>
      <c r="B5" t="s">
        <v>29</v>
      </c>
      <c r="C5">
        <v>552</v>
      </c>
      <c r="D5">
        <v>161</v>
      </c>
      <c r="E5">
        <v>0</v>
      </c>
      <c r="F5">
        <v>0</v>
      </c>
      <c r="G5">
        <v>0</v>
      </c>
      <c r="I5">
        <v>65</v>
      </c>
      <c r="J5">
        <v>20</v>
      </c>
      <c r="K5">
        <v>0</v>
      </c>
      <c r="L5">
        <v>0</v>
      </c>
      <c r="M5">
        <v>0</v>
      </c>
      <c r="O5" s="27">
        <f t="shared" si="0"/>
        <v>0.11775362318840579</v>
      </c>
      <c r="P5" s="27">
        <f t="shared" si="1"/>
        <v>0.12422360248447205</v>
      </c>
      <c r="Q5" s="27">
        <f t="shared" si="2"/>
        <v>0</v>
      </c>
      <c r="R5" s="27">
        <f t="shared" si="3"/>
        <v>0</v>
      </c>
      <c r="S5" s="27">
        <f t="shared" si="4"/>
        <v>0</v>
      </c>
      <c r="T5" s="27"/>
      <c r="U5" s="27">
        <f>65/569</f>
        <v>0.11423550087873462</v>
      </c>
      <c r="V5" s="27"/>
      <c r="W5" s="28">
        <f t="shared" si="5"/>
        <v>1.0307971014492754</v>
      </c>
      <c r="X5" s="28">
        <f t="shared" si="5"/>
        <v>1.0874343048256092</v>
      </c>
      <c r="Y5" s="28">
        <f t="shared" si="5"/>
        <v>0</v>
      </c>
      <c r="Z5" s="28">
        <f t="shared" si="5"/>
        <v>0</v>
      </c>
      <c r="AA5" s="28">
        <f t="shared" si="5"/>
        <v>0</v>
      </c>
      <c r="AB5" s="28">
        <f t="shared" si="6"/>
        <v>1.0874343048256092</v>
      </c>
      <c r="AC5" s="39">
        <f>INDEX(C5:AA5, 1, MATCH(AB5, W5:AA5, 0))</f>
        <v>161</v>
      </c>
      <c r="AD5" s="39" t="str">
        <f t="shared" si="9"/>
        <v>4</v>
      </c>
      <c r="AE5" s="28">
        <f>IF(C5&gt;0,((I5*((3*65)+C5))/(4*C5*65))*(1-(C5-I5)/(569-65)),0)</f>
        <v>1.1411425983436849E-2</v>
      </c>
      <c r="AF5" s="28">
        <f>IF(D5&gt;0,((J5*((3*65)+D5))/(4*D5*65))*(1-(D5-J5)/(569-65)),0)</f>
        <v>0.12250585853070325</v>
      </c>
      <c r="AG5" s="28">
        <f>IF(E5&gt;0,((K5*((3*65)+E5))/(4*E5*65))*(1-(E5-K5)/(569-65)),0)</f>
        <v>0</v>
      </c>
      <c r="AH5" s="28">
        <f>IF(F5&gt;0,((L5*((3*65)+F5))/(4*F5*65))*(1-(F5-L5)/(569-65)),0)</f>
        <v>0</v>
      </c>
      <c r="AI5" s="28">
        <f>IF(G5&gt;0,((M5*((3*65)+G5))/(4*G5*65))*(1-(G5-M5)/(569-65)),0)</f>
        <v>0</v>
      </c>
      <c r="AJ5" s="2"/>
      <c r="AK5" t="s">
        <v>29</v>
      </c>
      <c r="AL5" s="6">
        <f>AVERAGE(O9,O13,O21,O25,O29,O33)</f>
        <v>0.10794458786635121</v>
      </c>
      <c r="AM5" s="6">
        <f>AVERAGE(P9,P13,P21,P25,P29,P33)</f>
        <v>0.11286686192292783</v>
      </c>
      <c r="AN5" s="6">
        <f>AVERAGE(Q9,Q13,Q21,Q25,Q29,Q33)</f>
        <v>0.11698542460040651</v>
      </c>
      <c r="AO5" s="6">
        <f>AVERAGE(R9,R13,R21,R25,R29,R33)</f>
        <v>6.1111111111111116E-2</v>
      </c>
      <c r="AP5" s="6">
        <f>AVERAGE(S9,S13,S21,S25,S29,S33)</f>
        <v>0</v>
      </c>
      <c r="AR5" t="s">
        <v>29</v>
      </c>
      <c r="AS5" s="7">
        <f>AVERAGE(W5,W9,W13,W17,W21,W25,W29,W33)</f>
        <v>0.99631148701934891</v>
      </c>
      <c r="AT5" s="7">
        <f>AVERAGE(X5,X9,X13,X17,X21,X25,X29,X33)</f>
        <v>1.0123441718260457</v>
      </c>
      <c r="AU5" s="7">
        <f>AVERAGE(Y5,Y9,Y13,Y17,Y21,Y25,Y29,Y33)</f>
        <v>0.79334673425651825</v>
      </c>
      <c r="AV5" s="7">
        <f>AVERAGE(Z5,Z9,Z13,Z17,Z21,Z25,Z29,Z33)</f>
        <v>0.33720649365239863</v>
      </c>
      <c r="AW5" s="7">
        <f>AVERAGE(AA5,AA9,AA13,AA17,AA21,AA25,AA29,AA33)</f>
        <v>0</v>
      </c>
      <c r="AX5" s="4"/>
      <c r="AY5" s="7">
        <f t="shared" si="7"/>
        <v>3.5971860958330451E-3</v>
      </c>
      <c r="AZ5" s="7">
        <f t="shared" si="7"/>
        <v>6.4431881166826438E-2</v>
      </c>
      <c r="BA5" s="7">
        <f t="shared" si="7"/>
        <v>8.4454595311324293E-2</v>
      </c>
      <c r="BB5" s="7">
        <f t="shared" si="7"/>
        <v>3.4872202862439208E-2</v>
      </c>
      <c r="BC5" s="7">
        <f t="shared" si="7"/>
        <v>0</v>
      </c>
      <c r="BE5" s="5">
        <f t="shared" si="10"/>
        <v>1.1411425983436849E-2</v>
      </c>
      <c r="BF5" s="5">
        <f t="shared" si="8"/>
        <v>0.12250585853070325</v>
      </c>
      <c r="BG5" s="8">
        <f t="shared" si="8"/>
        <v>0.2130621712790273</v>
      </c>
      <c r="BH5" s="8">
        <f t="shared" si="8"/>
        <v>0.15164066637777457</v>
      </c>
      <c r="BI5" s="8">
        <f t="shared" si="8"/>
        <v>0</v>
      </c>
    </row>
    <row r="6" spans="1:61" s="1" customFormat="1" x14ac:dyDescent="0.3">
      <c r="A6" s="31" t="s">
        <v>53</v>
      </c>
      <c r="B6" s="1" t="s">
        <v>30</v>
      </c>
      <c r="C6" s="1">
        <v>46</v>
      </c>
      <c r="D6" s="1">
        <v>18</v>
      </c>
      <c r="E6" s="1">
        <v>3</v>
      </c>
      <c r="F6" s="1">
        <v>0</v>
      </c>
      <c r="G6" s="1">
        <v>0</v>
      </c>
      <c r="I6" s="1">
        <v>4</v>
      </c>
      <c r="J6" s="1">
        <v>1</v>
      </c>
      <c r="K6" s="1">
        <v>1</v>
      </c>
      <c r="L6" s="1">
        <v>0</v>
      </c>
      <c r="M6" s="1">
        <v>0</v>
      </c>
      <c r="O6" s="29">
        <f t="shared" si="0"/>
        <v>8.6956521739130432E-2</v>
      </c>
      <c r="P6" s="29">
        <f t="shared" si="1"/>
        <v>5.5555555555555552E-2</v>
      </c>
      <c r="Q6" s="29">
        <f t="shared" si="2"/>
        <v>0.33333333333333331</v>
      </c>
      <c r="R6" s="29">
        <f t="shared" si="3"/>
        <v>0</v>
      </c>
      <c r="S6" s="29">
        <f t="shared" si="4"/>
        <v>0</v>
      </c>
      <c r="T6" s="29"/>
      <c r="U6" s="29">
        <f>65/569</f>
        <v>0.11423550087873462</v>
      </c>
      <c r="V6" s="29"/>
      <c r="W6" s="30">
        <f t="shared" si="5"/>
        <v>0.76120401337792643</v>
      </c>
      <c r="X6" s="30">
        <f t="shared" si="5"/>
        <v>0.48632478632478632</v>
      </c>
      <c r="Y6" s="30">
        <f t="shared" si="5"/>
        <v>2.9179487179487178</v>
      </c>
      <c r="Z6" s="30">
        <f t="shared" si="5"/>
        <v>0</v>
      </c>
      <c r="AA6" s="30">
        <f t="shared" si="5"/>
        <v>0</v>
      </c>
      <c r="AB6" s="30">
        <f t="shared" si="6"/>
        <v>2.9179487179487178</v>
      </c>
      <c r="AC6" s="40">
        <f>INDEX(C6:AA6, 1, MATCH(AB6, W6:AA6, 0))</f>
        <v>3</v>
      </c>
      <c r="AD6" s="40" t="str">
        <f t="shared" si="9"/>
        <v>5</v>
      </c>
      <c r="AE6" s="30">
        <f>IF(C6&gt;0,((I6*((3*65)+C6))/(4*C6*65))*(1-(C6-I6)/(569-65)),0)</f>
        <v>7.388517279821627E-2</v>
      </c>
      <c r="AF6" s="30">
        <f>IF(D6&gt;0,((J6*((3*65)+D6))/(4*D6*65))*(1-(D6-J6)/(569-65)),0)</f>
        <v>4.3977665852665854E-2</v>
      </c>
      <c r="AG6" s="30">
        <f>IF(E6&gt;0,((K6*((3*65)+E6))/(4*E6*65))*(1-(E6-K6)/(569-65)),0)</f>
        <v>0.25283882783882783</v>
      </c>
      <c r="AH6" s="30">
        <f>IF(F6&gt;0,((L6*((3*65)+F6))/(4*F6*65))*(1-(F6-L6)/(569-65)),0)</f>
        <v>0</v>
      </c>
      <c r="AI6" s="30">
        <f>IF(G6&gt;0,((M6*((3*65)+G6))/(4*G6*65))*(1-(G6-M6)/(569-65)),0)</f>
        <v>0</v>
      </c>
      <c r="AJ6" s="9"/>
      <c r="AK6" s="1" t="s">
        <v>30</v>
      </c>
      <c r="AL6" s="11">
        <f>AVERAGE(O10,O14,O22,O26,O30,O34)</f>
        <v>9.6302432818857572E-2</v>
      </c>
      <c r="AM6" s="11">
        <f>AVERAGE(P10,P14,P22,P26,P30,P34)</f>
        <v>0</v>
      </c>
      <c r="AN6" s="11">
        <f>AVERAGE(Q10,Q14,Q22,Q26,Q30,Q34)</f>
        <v>0</v>
      </c>
      <c r="AO6" s="11">
        <f>AVERAGE(R10,R14,R22,R26,R30,R34)</f>
        <v>0</v>
      </c>
      <c r="AP6" s="11">
        <f>AVERAGE(S10,S14,S22,S26,S30,S34)</f>
        <v>0</v>
      </c>
      <c r="AR6" s="1" t="s">
        <v>30</v>
      </c>
      <c r="AS6" s="12">
        <f>AVERAGE(W6,W10,W14,W18,W22,W26,W30,W34)</f>
        <v>1.6026618862212683</v>
      </c>
      <c r="AT6" s="12">
        <f>AVERAGE(X6,X10,X14,X18,X22,X26,X30,X34)</f>
        <v>6.079059829059829E-2</v>
      </c>
      <c r="AU6" s="12">
        <f>AVERAGE(Y6,Y10,Y14,Y18,Y22,Y26,Y30,Y34)</f>
        <v>0.36474358974358972</v>
      </c>
      <c r="AV6" s="12">
        <f>AVERAGE(Z6,Z10,Z14,Z18,Z22,Z26,Z30,Z34)</f>
        <v>0</v>
      </c>
      <c r="AW6" s="12">
        <f>AVERAGE(AA6,AA10,AA14,AA18,AA22,AA26,AA30,AA34)</f>
        <v>0</v>
      </c>
      <c r="AX6" s="13"/>
      <c r="AY6" s="12">
        <f t="shared" si="7"/>
        <v>0.10337551156789679</v>
      </c>
      <c r="AZ6" s="12">
        <f t="shared" si="7"/>
        <v>5.4972082315832317E-3</v>
      </c>
      <c r="BA6" s="12">
        <f t="shared" si="7"/>
        <v>3.1604853479853479E-2</v>
      </c>
      <c r="BB6" s="12">
        <f t="shared" si="7"/>
        <v>0</v>
      </c>
      <c r="BC6" s="12">
        <f t="shared" si="7"/>
        <v>0</v>
      </c>
      <c r="BE6" s="14">
        <f t="shared" si="10"/>
        <v>0.25830863071485577</v>
      </c>
      <c r="BF6" s="14">
        <f t="shared" si="8"/>
        <v>4.3977665852665854E-2</v>
      </c>
      <c r="BG6" s="15">
        <f t="shared" si="8"/>
        <v>0.25283882783882783</v>
      </c>
      <c r="BH6" s="15">
        <f t="shared" si="8"/>
        <v>0</v>
      </c>
      <c r="BI6" s="15">
        <f t="shared" si="8"/>
        <v>0</v>
      </c>
    </row>
    <row r="7" spans="1:61" x14ac:dyDescent="0.3">
      <c r="A7" s="31" t="s">
        <v>26</v>
      </c>
      <c r="B7" t="s">
        <v>27</v>
      </c>
      <c r="C7">
        <v>567</v>
      </c>
      <c r="D7">
        <v>545</v>
      </c>
      <c r="E7">
        <v>210</v>
      </c>
      <c r="F7">
        <v>28</v>
      </c>
      <c r="G7">
        <v>0</v>
      </c>
      <c r="I7">
        <v>86</v>
      </c>
      <c r="J7">
        <v>83</v>
      </c>
      <c r="K7">
        <v>40</v>
      </c>
      <c r="L7">
        <v>5</v>
      </c>
      <c r="M7">
        <v>0</v>
      </c>
      <c r="O7" s="2">
        <f t="shared" si="0"/>
        <v>0.15167548500881833</v>
      </c>
      <c r="P7" s="2">
        <f t="shared" si="1"/>
        <v>0.15229357798165138</v>
      </c>
      <c r="Q7" s="2">
        <f t="shared" si="2"/>
        <v>0.19047619047619047</v>
      </c>
      <c r="R7" s="2">
        <f t="shared" si="3"/>
        <v>0.17857142857142858</v>
      </c>
      <c r="S7" s="2">
        <f t="shared" si="4"/>
        <v>0</v>
      </c>
      <c r="T7" s="2"/>
      <c r="U7" s="2">
        <f t="shared" ref="U7:U14" si="11">86/569</f>
        <v>0.15114235500878734</v>
      </c>
      <c r="V7" s="2"/>
      <c r="W7" s="3">
        <f t="shared" si="5"/>
        <v>1.0035273368606701</v>
      </c>
      <c r="X7" s="3">
        <f t="shared" si="5"/>
        <v>1.0076168124599958</v>
      </c>
      <c r="Y7" s="3">
        <f t="shared" si="5"/>
        <v>1.2602436323366555</v>
      </c>
      <c r="Z7" s="3">
        <f t="shared" si="5"/>
        <v>1.1814784053156147</v>
      </c>
      <c r="AA7" s="3">
        <f t="shared" si="5"/>
        <v>0</v>
      </c>
      <c r="AB7" s="3">
        <f t="shared" si="6"/>
        <v>1.2602436323366555</v>
      </c>
      <c r="AC7" s="41">
        <f>INDEX(C7:AA7, 1, MATCH(AB7, W7:AA7, 0))</f>
        <v>210</v>
      </c>
      <c r="AD7" s="41" t="str">
        <f t="shared" si="9"/>
        <v>5</v>
      </c>
      <c r="AE7" s="3">
        <f>IF(C7&gt;0,((I7*((3*86)+C7))/(4*C7*86))*(1-(C7-I7)/(569-86)),0)</f>
        <v>1.5062385662799637E-3</v>
      </c>
      <c r="AF7" s="3">
        <f>IF(D7&gt;0,((J7*((3*86)+D7))/(4*D7*86))*(1-(D7-J7)/(569-86)),0)</f>
        <v>1.5456489271899135E-2</v>
      </c>
      <c r="AG7" s="3">
        <f>IF(E7&gt;0,((K7*((3*86)+E7))/(4*E7*86))*(1-(E7-K7)/(569-86)),0)</f>
        <v>0.16792885000309524</v>
      </c>
      <c r="AH7" s="3">
        <f>IF(F7&gt;0,((L7*((3*86)+F7))/(4*F7*86))*(1-(F7-L7)/(569-86)),0)</f>
        <v>0.14139376680904919</v>
      </c>
      <c r="AI7" s="3">
        <f>IF(G7&gt;0,((M7*((3*86)+G7))/(4*G7*86))*(1-(G7-M7)/(569-86)),0)</f>
        <v>0</v>
      </c>
      <c r="AJ7" s="2"/>
    </row>
    <row r="8" spans="1:61" x14ac:dyDescent="0.3">
      <c r="A8" s="31" t="s">
        <v>26</v>
      </c>
      <c r="B8" t="s">
        <v>28</v>
      </c>
      <c r="C8">
        <v>567</v>
      </c>
      <c r="D8">
        <v>454</v>
      </c>
      <c r="E8">
        <v>51</v>
      </c>
      <c r="F8">
        <v>2</v>
      </c>
      <c r="G8">
        <v>0</v>
      </c>
      <c r="I8">
        <v>86</v>
      </c>
      <c r="J8">
        <v>77</v>
      </c>
      <c r="K8">
        <v>13</v>
      </c>
      <c r="L8">
        <v>1</v>
      </c>
      <c r="M8">
        <v>0</v>
      </c>
      <c r="O8" s="2">
        <f t="shared" si="0"/>
        <v>0.15167548500881833</v>
      </c>
      <c r="P8" s="2">
        <f t="shared" si="1"/>
        <v>0.1696035242290749</v>
      </c>
      <c r="Q8" s="2">
        <f t="shared" si="2"/>
        <v>0.25490196078431371</v>
      </c>
      <c r="R8" s="2">
        <f t="shared" si="3"/>
        <v>0.5</v>
      </c>
      <c r="S8" s="2">
        <f t="shared" si="4"/>
        <v>0</v>
      </c>
      <c r="T8" s="2"/>
      <c r="U8" s="2">
        <f t="shared" si="11"/>
        <v>0.15114235500878734</v>
      </c>
      <c r="V8" s="2"/>
      <c r="W8" s="3">
        <f t="shared" si="5"/>
        <v>1.0035273368606701</v>
      </c>
      <c r="X8" s="3">
        <f t="shared" si="5"/>
        <v>1.1221442475156236</v>
      </c>
      <c r="Y8" s="3">
        <f t="shared" si="5"/>
        <v>1.6865025079799361</v>
      </c>
      <c r="Z8" s="3">
        <f t="shared" si="5"/>
        <v>3.308139534883721</v>
      </c>
      <c r="AA8" s="3">
        <f t="shared" si="5"/>
        <v>0</v>
      </c>
      <c r="AB8" s="3">
        <f t="shared" si="6"/>
        <v>3.308139534883721</v>
      </c>
      <c r="AC8" s="41">
        <f>INDEX(C8:AA8, 1, MATCH(AB8, W8:AA8, 0))</f>
        <v>2</v>
      </c>
      <c r="AD8" s="41" t="str">
        <f t="shared" si="9"/>
        <v>6</v>
      </c>
      <c r="AE8" s="3">
        <f>IF(C8&gt;0,((I8*((3*86)+C8))/(4*C8*86))*(1-(C8-I8)/(569-86)),0)</f>
        <v>1.5062385662799637E-3</v>
      </c>
      <c r="AF8" s="3">
        <f>IF(D8&gt;0,((J8*((3*86)+D8))/(4*D8*86))*(1-(D8-J8)/(569-86)),0)</f>
        <v>7.7039801992252521E-2</v>
      </c>
      <c r="AG8" s="3">
        <f>IF(E8&gt;0,((K8*((3*86)+E8))/(4*E8*86))*(1-(E8-K8)/(569-86)),0)</f>
        <v>0.21095318815089231</v>
      </c>
      <c r="AH8" s="3">
        <f>IF(F8&gt;0,((L8*((3*86)+F8))/(4*F8*86))*(1-(F8-L8)/(569-86)),0)</f>
        <v>0.37712456064326638</v>
      </c>
      <c r="AI8" s="3">
        <f>IF(G8&gt;0,((M8*((3*86)+G8))/(4*G8*86))*(1-(G8-M8)/(569-86)),0)</f>
        <v>0</v>
      </c>
      <c r="AJ8" s="2"/>
    </row>
    <row r="9" spans="1:61" x14ac:dyDescent="0.3">
      <c r="A9" s="31" t="s">
        <v>26</v>
      </c>
      <c r="B9" t="s">
        <v>29</v>
      </c>
      <c r="C9">
        <v>567</v>
      </c>
      <c r="D9">
        <v>477</v>
      </c>
      <c r="E9">
        <v>83</v>
      </c>
      <c r="F9">
        <v>5</v>
      </c>
      <c r="G9">
        <v>0</v>
      </c>
      <c r="I9">
        <v>86</v>
      </c>
      <c r="J9">
        <v>75</v>
      </c>
      <c r="K9">
        <v>17</v>
      </c>
      <c r="L9">
        <v>1</v>
      </c>
      <c r="M9">
        <v>0</v>
      </c>
      <c r="O9" s="2">
        <f t="shared" si="0"/>
        <v>0.15167548500881833</v>
      </c>
      <c r="P9" s="2">
        <f t="shared" si="1"/>
        <v>0.15723270440251572</v>
      </c>
      <c r="Q9" s="2">
        <f t="shared" si="2"/>
        <v>0.20481927710843373</v>
      </c>
      <c r="R9" s="2">
        <f t="shared" si="3"/>
        <v>0.2</v>
      </c>
      <c r="S9" s="2">
        <f t="shared" si="4"/>
        <v>0</v>
      </c>
      <c r="T9" s="2"/>
      <c r="U9" s="2">
        <f t="shared" si="11"/>
        <v>0.15114235500878734</v>
      </c>
      <c r="V9" s="2"/>
      <c r="W9" s="3">
        <f t="shared" si="5"/>
        <v>1.0035273368606701</v>
      </c>
      <c r="X9" s="3">
        <f t="shared" si="5"/>
        <v>1.0402954512212959</v>
      </c>
      <c r="Y9" s="3">
        <f t="shared" si="5"/>
        <v>1.355141496217428</v>
      </c>
      <c r="Z9" s="3">
        <f t="shared" si="5"/>
        <v>1.3232558139534885</v>
      </c>
      <c r="AA9" s="3">
        <f t="shared" si="5"/>
        <v>0</v>
      </c>
      <c r="AB9" s="3">
        <f t="shared" si="6"/>
        <v>1.355141496217428</v>
      </c>
      <c r="AC9" s="41">
        <f>INDEX(C9:AA9, 1, MATCH(AB9, W9:AA9, 0))</f>
        <v>83</v>
      </c>
      <c r="AD9" s="41" t="str">
        <f t="shared" si="9"/>
        <v>5</v>
      </c>
      <c r="AE9" s="3">
        <f>IF(C9&gt;0,((I9*((3*86)+C9))/(4*C9*86))*(1-(C9-I9)/(569-86)),0)</f>
        <v>1.5062385662799637E-3</v>
      </c>
      <c r="AF9" s="3">
        <f>IF(D9&gt;0,((J9*((3*86)+D9))/(4*D9*86))*(1-(D9-J9)/(569-86)),0)</f>
        <v>5.6339069385886245E-2</v>
      </c>
      <c r="AG9" s="3">
        <f>IF(E9&gt;0,((K9*((3*86)+E9))/(4*E9*86))*(1-(E9-K9)/(569-86)),0)</f>
        <v>0.17528941419295554</v>
      </c>
      <c r="AH9" s="3">
        <f>IF(F9&gt;0,((L9*((3*86)+F9))/(4*F9*86))*(1-(F9-L9)/(569-86)),0)</f>
        <v>0.15164066637777457</v>
      </c>
      <c r="AI9" s="3">
        <f>IF(G9&gt;0,((M9*((3*86)+G9))/(4*G9*86))*(1-(G9-M9)/(569-86)),0)</f>
        <v>0</v>
      </c>
      <c r="AJ9" s="2"/>
    </row>
    <row r="10" spans="1:61" s="1" customFormat="1" x14ac:dyDescent="0.3">
      <c r="A10" s="31" t="s">
        <v>26</v>
      </c>
      <c r="B10" s="1" t="s">
        <v>30</v>
      </c>
      <c r="C10" s="1">
        <v>21</v>
      </c>
      <c r="D10" s="1">
        <v>2</v>
      </c>
      <c r="E10" s="1">
        <v>0</v>
      </c>
      <c r="F10" s="1">
        <v>0</v>
      </c>
      <c r="G10" s="1">
        <v>0</v>
      </c>
      <c r="I10" s="1">
        <v>2</v>
      </c>
      <c r="J10" s="1">
        <v>0</v>
      </c>
      <c r="K10" s="1">
        <v>0</v>
      </c>
      <c r="L10" s="1">
        <v>0</v>
      </c>
      <c r="M10" s="1">
        <v>0</v>
      </c>
      <c r="O10" s="9">
        <f t="shared" si="0"/>
        <v>9.5238095238095233E-2</v>
      </c>
      <c r="P10" s="9">
        <f t="shared" si="1"/>
        <v>0</v>
      </c>
      <c r="Q10" s="9">
        <f t="shared" si="2"/>
        <v>0</v>
      </c>
      <c r="R10" s="9">
        <f t="shared" si="3"/>
        <v>0</v>
      </c>
      <c r="S10" s="9">
        <f t="shared" si="4"/>
        <v>0</v>
      </c>
      <c r="T10" s="9"/>
      <c r="U10" s="9">
        <f t="shared" si="11"/>
        <v>0.15114235500878734</v>
      </c>
      <c r="V10" s="9"/>
      <c r="W10" s="10">
        <f t="shared" si="5"/>
        <v>0.63012181616832774</v>
      </c>
      <c r="X10" s="10">
        <f t="shared" si="5"/>
        <v>0</v>
      </c>
      <c r="Y10" s="10">
        <f t="shared" si="5"/>
        <v>0</v>
      </c>
      <c r="Z10" s="10">
        <f t="shared" si="5"/>
        <v>0</v>
      </c>
      <c r="AA10" s="10">
        <f t="shared" si="5"/>
        <v>0</v>
      </c>
      <c r="AB10" s="10">
        <f t="shared" si="6"/>
        <v>0.63012181616832774</v>
      </c>
      <c r="AC10" s="42">
        <f>INDEX(C10:AA10, 1, MATCH(AB10, W10:AA10, 0))</f>
        <v>21</v>
      </c>
      <c r="AD10" s="42" t="str">
        <f t="shared" si="9"/>
        <v>3</v>
      </c>
      <c r="AE10" s="10">
        <f>IF(C10&gt;0,((I10*((3*86)+C10))/(4*C10*86))*(1-(C10-I10)/(569-86)),0)</f>
        <v>7.4203999092053413E-2</v>
      </c>
      <c r="AF10" s="10">
        <f>IF(D10&gt;0,((J10*((3*86)+D10))/(4*D10*86))*(1-(D10-J10)/(569-86)),0)</f>
        <v>0</v>
      </c>
      <c r="AG10" s="10">
        <f>IF(E10&gt;0,((K10*((3*86)+E10))/(4*E10*86))*(1-(E10-K10)/(569-86)),0)</f>
        <v>0</v>
      </c>
      <c r="AH10" s="10">
        <f>IF(F10&gt;0,((L10*((3*86)+F10))/(4*F10*86))*(1-(F10-L10)/(569-86)),0)</f>
        <v>0</v>
      </c>
      <c r="AI10" s="10">
        <f>IF(G10&gt;0,((M10*((3*86)+G10))/(4*G10*86))*(1-(G10-M10)/(569-86)),0)</f>
        <v>0</v>
      </c>
      <c r="AJ10" s="9"/>
      <c r="AR10" s="1" t="s">
        <v>40</v>
      </c>
    </row>
    <row r="11" spans="1:61" x14ac:dyDescent="0.3">
      <c r="A11" s="31" t="s">
        <v>54</v>
      </c>
      <c r="B11" t="s">
        <v>27</v>
      </c>
      <c r="C11">
        <v>565</v>
      </c>
      <c r="D11">
        <v>336</v>
      </c>
      <c r="E11">
        <v>18</v>
      </c>
      <c r="F11">
        <v>0</v>
      </c>
      <c r="G11">
        <v>0</v>
      </c>
      <c r="I11">
        <v>86</v>
      </c>
      <c r="J11">
        <v>54</v>
      </c>
      <c r="K11">
        <v>4</v>
      </c>
      <c r="L11">
        <v>0</v>
      </c>
      <c r="M11">
        <v>0</v>
      </c>
      <c r="O11" s="27">
        <f t="shared" si="0"/>
        <v>0.15221238938053097</v>
      </c>
      <c r="P11" s="27">
        <f t="shared" si="1"/>
        <v>0.16071428571428573</v>
      </c>
      <c r="Q11" s="27">
        <f t="shared" si="2"/>
        <v>0.22222222222222221</v>
      </c>
      <c r="R11" s="27">
        <f t="shared" si="3"/>
        <v>0</v>
      </c>
      <c r="S11" s="27">
        <f t="shared" si="4"/>
        <v>0</v>
      </c>
      <c r="T11" s="27"/>
      <c r="U11" s="27">
        <f t="shared" si="11"/>
        <v>0.15114235500878734</v>
      </c>
      <c r="V11" s="27"/>
      <c r="W11" s="28">
        <f t="shared" ref="W11:Y18" si="12">IF(O11&gt;0, O11/$U11, 0)</f>
        <v>1.0070796460176992</v>
      </c>
      <c r="X11" s="28">
        <f t="shared" si="12"/>
        <v>1.0633305647840532</v>
      </c>
      <c r="Y11" s="28">
        <f t="shared" si="12"/>
        <v>1.4702842377260983</v>
      </c>
      <c r="Z11" s="28">
        <f t="shared" ref="Z11:Z53" si="13">R11/$U11</f>
        <v>0</v>
      </c>
      <c r="AA11" s="28">
        <f t="shared" ref="AA11:AA53" si="14">S11/$U11</f>
        <v>0</v>
      </c>
      <c r="AB11" s="28">
        <f t="shared" si="6"/>
        <v>1.4702842377260983</v>
      </c>
      <c r="AC11" s="39">
        <f>INDEX(C11:AA11, 1, MATCH(AB11, W11:AA11, 0))</f>
        <v>18</v>
      </c>
      <c r="AD11" s="39" t="str">
        <f t="shared" si="9"/>
        <v>5</v>
      </c>
      <c r="AE11" s="28">
        <f>IF(C11&gt;0,((I11*((3*86)+C11))/(4*C11*86))*(1-(C11-I11)/(569-86)),0)</f>
        <v>3.0158119423221576E-3</v>
      </c>
      <c r="AF11" s="28">
        <f>IF(D11&gt;0,((J11*((3*86)+D11))/(4*D11*86))*(1-(D11-J11)/(569-86)),0)</f>
        <v>0.11548655104104333</v>
      </c>
      <c r="AG11" s="28">
        <f>IF(E11&gt;0,((K11*((3*86)+E11))/(4*E11*86))*(1-(E11-K11)/(569-86)),0)</f>
        <v>0.17312661498708012</v>
      </c>
      <c r="AH11" s="28">
        <f>IF(F11&gt;0,((L11*((3*86)+F11))/(4*F11*86))*(1-(F11-L11)/(569-86)),0)</f>
        <v>0</v>
      </c>
      <c r="AI11" s="28">
        <f>IF(G11&gt;0,((M11*((3*86)+G11))/(4*G11*86))*(1-(G11-M11)/(569-86)),0)</f>
        <v>0</v>
      </c>
      <c r="AJ11" s="2"/>
      <c r="AR11" t="s">
        <v>27</v>
      </c>
      <c r="AS11" s="5">
        <f>MAX(W3,W7,W11,W15,W19,W23,W27,W31)</f>
        <v>1.1222879684418148</v>
      </c>
      <c r="AT11" s="5">
        <f>MAX(X3,X7,X11,X15,X19,X23,X27,X31)</f>
        <v>1.7553393450403418</v>
      </c>
      <c r="AU11" s="5">
        <f>MAX(Y3,Y7,Y11,Y15,Y19,Y23,Y27,Y31)</f>
        <v>1.4702842377260983</v>
      </c>
      <c r="AV11" s="5">
        <f>MAX(Z3,Z7,Z11,Z15,Z19,Z23,Z27,Z31)</f>
        <v>1.1814784053156147</v>
      </c>
      <c r="AW11" s="5">
        <f>MAX(AA3,AA7,AA11,AA15,AA19,AA23,AA27,AA31)</f>
        <v>0</v>
      </c>
      <c r="AX11" s="5"/>
    </row>
    <row r="12" spans="1:61" x14ac:dyDescent="0.3">
      <c r="A12" s="31" t="s">
        <v>54</v>
      </c>
      <c r="B12" t="s">
        <v>28</v>
      </c>
      <c r="C12">
        <v>539</v>
      </c>
      <c r="D12">
        <v>171</v>
      </c>
      <c r="E12">
        <v>12</v>
      </c>
      <c r="F12">
        <v>1</v>
      </c>
      <c r="G12">
        <v>0</v>
      </c>
      <c r="I12">
        <v>84</v>
      </c>
      <c r="J12">
        <v>23</v>
      </c>
      <c r="K12">
        <v>2</v>
      </c>
      <c r="L12">
        <v>0</v>
      </c>
      <c r="M12">
        <v>0</v>
      </c>
      <c r="O12" s="27">
        <f t="shared" si="0"/>
        <v>0.15584415584415584</v>
      </c>
      <c r="P12" s="27">
        <f t="shared" si="1"/>
        <v>0.13450292397660818</v>
      </c>
      <c r="Q12" s="27">
        <f t="shared" si="2"/>
        <v>0.16666666666666666</v>
      </c>
      <c r="R12" s="27">
        <f t="shared" si="3"/>
        <v>0</v>
      </c>
      <c r="S12" s="27">
        <f t="shared" si="4"/>
        <v>0</v>
      </c>
      <c r="T12" s="27"/>
      <c r="U12" s="27">
        <f t="shared" si="11"/>
        <v>0.15114235500878734</v>
      </c>
      <c r="V12" s="27"/>
      <c r="W12" s="28">
        <f t="shared" si="12"/>
        <v>1.0311084264572636</v>
      </c>
      <c r="X12" s="28">
        <f t="shared" si="12"/>
        <v>0.88990888072895413</v>
      </c>
      <c r="Y12" s="28">
        <f t="shared" si="12"/>
        <v>1.1027131782945736</v>
      </c>
      <c r="Z12" s="28">
        <f t="shared" si="13"/>
        <v>0</v>
      </c>
      <c r="AA12" s="28">
        <f t="shared" si="14"/>
        <v>0</v>
      </c>
      <c r="AB12" s="28">
        <f t="shared" si="6"/>
        <v>1.1027131782945736</v>
      </c>
      <c r="AC12" s="39">
        <f>INDEX(C12:AA12, 1, MATCH(AB12, W12:AA12, 0))</f>
        <v>12</v>
      </c>
      <c r="AD12" s="39" t="str">
        <f t="shared" si="9"/>
        <v>5</v>
      </c>
      <c r="AE12" s="28">
        <f>IF(C12&gt;0,((I12*((3*86)+C12))/(4*C12*86))*(1-(C12-I12)/(569-86)),0)</f>
        <v>2.0931545704043188E-2</v>
      </c>
      <c r="AF12" s="28">
        <f>IF(D12&gt;0,((J12*((3*86)+D12))/(4*D12*86))*(1-(D12-J12)/(569-86)),0)</f>
        <v>0.11633978356744573</v>
      </c>
      <c r="AG12" s="28">
        <f>IF(E12&gt;0,((K12*((3*86)+E12))/(4*E12*86))*(1-(E12-K12)/(569-86)),0)</f>
        <v>0.12810559006211181</v>
      </c>
      <c r="AH12" s="28">
        <f>IF(F12&gt;0,((L12*((3*86)+F12))/(4*F12*86))*(1-(F12-L12)/(569-86)),0)</f>
        <v>0</v>
      </c>
      <c r="AI12" s="28">
        <f>IF(G12&gt;0,((M12*((3*86)+G12))/(4*G12*86))*(1-(G12-M12)/(569-86)),0)</f>
        <v>0</v>
      </c>
      <c r="AJ12" s="2"/>
      <c r="AR12" t="s">
        <v>28</v>
      </c>
      <c r="AS12" s="8">
        <f>MAX(W4,W8,W12,W16,W20,W24,W28,W32)</f>
        <v>1.0595903165735567</v>
      </c>
      <c r="AT12" s="8">
        <f>MAX(X4,X8,X12,X16,X20,X24,X28,X32)</f>
        <v>1.3037643207855973</v>
      </c>
      <c r="AU12" s="8">
        <f>MAX(Y4,Y8,Y12,Y16,Y20,Y24,Y28,Y32)</f>
        <v>2.6064129668780831</v>
      </c>
      <c r="AV12" s="5">
        <f>MAX(Z4,Z8,Z12,Z16,Z20,Z24,Z28,Z32)</f>
        <v>3.308139534883721</v>
      </c>
      <c r="AW12" s="5">
        <f>MAX(AA4,AA8,AA12,AA16,AA20,AA24,AA28,AA32)</f>
        <v>0</v>
      </c>
      <c r="AX12" s="5"/>
    </row>
    <row r="13" spans="1:61" x14ac:dyDescent="0.3">
      <c r="A13" s="31" t="s">
        <v>54</v>
      </c>
      <c r="B13" t="s">
        <v>29</v>
      </c>
      <c r="C13">
        <v>559</v>
      </c>
      <c r="D13">
        <v>350</v>
      </c>
      <c r="E13">
        <v>34</v>
      </c>
      <c r="F13">
        <v>3</v>
      </c>
      <c r="G13">
        <v>0</v>
      </c>
      <c r="I13">
        <v>85</v>
      </c>
      <c r="J13">
        <v>59</v>
      </c>
      <c r="K13">
        <v>9</v>
      </c>
      <c r="L13">
        <v>0</v>
      </c>
      <c r="M13">
        <v>0</v>
      </c>
      <c r="O13" s="27">
        <f t="shared" si="0"/>
        <v>0.15205724508050089</v>
      </c>
      <c r="P13" s="27">
        <f t="shared" si="1"/>
        <v>0.16857142857142857</v>
      </c>
      <c r="Q13" s="27">
        <f t="shared" si="2"/>
        <v>0.26470588235294118</v>
      </c>
      <c r="R13" s="27">
        <f t="shared" si="3"/>
        <v>0</v>
      </c>
      <c r="S13" s="27">
        <f t="shared" si="4"/>
        <v>0</v>
      </c>
      <c r="T13" s="27"/>
      <c r="U13" s="27">
        <f t="shared" si="11"/>
        <v>0.15114235500878734</v>
      </c>
      <c r="V13" s="27"/>
      <c r="W13" s="28">
        <f t="shared" si="12"/>
        <v>1.0060531680326164</v>
      </c>
      <c r="X13" s="28">
        <f t="shared" si="12"/>
        <v>1.1153156146179402</v>
      </c>
      <c r="Y13" s="28">
        <f t="shared" si="12"/>
        <v>1.7513679890560876</v>
      </c>
      <c r="Z13" s="28">
        <f t="shared" si="13"/>
        <v>0</v>
      </c>
      <c r="AA13" s="28">
        <f t="shared" si="14"/>
        <v>0</v>
      </c>
      <c r="AB13" s="28">
        <f t="shared" si="6"/>
        <v>1.7513679890560876</v>
      </c>
      <c r="AC13" s="39">
        <f>INDEX(C13:AA13, 1, MATCH(AB13, W13:AA13, 0))</f>
        <v>34</v>
      </c>
      <c r="AD13" s="39" t="str">
        <f t="shared" si="9"/>
        <v>5</v>
      </c>
      <c r="AE13" s="28">
        <f>IF(C13&gt;0,((I13*((3*86)+C13))/(4*C13*86))*(1-(C13-I13)/(569-86)),0)</f>
        <v>6.7292414360159685E-3</v>
      </c>
      <c r="AF13" s="28">
        <f>IF(D13&gt;0,((J13*((3*86)+D13))/(4*D13*86))*(1-(D13-J13)/(569-86)),0)</f>
        <v>0.11843585563649119</v>
      </c>
      <c r="AG13" s="28">
        <f>IF(E13&gt;0,((K13*((3*86)+E13))/(4*E13*86))*(1-(E13-K13)/(569-86)),0)</f>
        <v>0.2130621712790273</v>
      </c>
      <c r="AH13" s="28">
        <f>IF(F13&gt;0,((L13*((3*86)+F13))/(4*F13*86))*(1-(F13-L13)/(569-86)),0)</f>
        <v>0</v>
      </c>
      <c r="AI13" s="28">
        <f>IF(G13&gt;0,((M13*((3*86)+G13))/(4*G13*86))*(1-(G13-M13)/(569-86)),0)</f>
        <v>0</v>
      </c>
      <c r="AJ13" s="2"/>
      <c r="AR13" t="s">
        <v>29</v>
      </c>
      <c r="AS13" s="8">
        <f>MAX(W5,W9,W13,W17,W21,W25,W29,W33)</f>
        <v>1.0307971014492754</v>
      </c>
      <c r="AT13" s="8">
        <f>MAX(X5,X9,X13,X17,X21,X25,X29,X33)</f>
        <v>1.1620660122537716</v>
      </c>
      <c r="AU13" s="8">
        <f>MAX(Y5,Y9,Y13,Y17,Y21,Y25,Y29,Y33)</f>
        <v>1.7513679890560876</v>
      </c>
      <c r="AV13" s="5">
        <f>MAX(Z5,Z9,Z13,Z17,Z21,Z25,Z29,Z33)</f>
        <v>1.3743961352657004</v>
      </c>
      <c r="AW13" s="5">
        <f>MAX(AA5,AA9,AA13,AA17,AA21,AA25,AA29,AA33)</f>
        <v>0</v>
      </c>
      <c r="AX13" s="5"/>
    </row>
    <row r="14" spans="1:61" s="1" customFormat="1" x14ac:dyDescent="0.3">
      <c r="A14" s="31" t="s">
        <v>54</v>
      </c>
      <c r="B14" s="1" t="s">
        <v>30</v>
      </c>
      <c r="C14" s="1">
        <v>21</v>
      </c>
      <c r="D14" s="1">
        <v>4</v>
      </c>
      <c r="E14" s="1">
        <v>0</v>
      </c>
      <c r="F14" s="1">
        <v>0</v>
      </c>
      <c r="G14" s="1">
        <v>0</v>
      </c>
      <c r="I14" s="1">
        <v>2</v>
      </c>
      <c r="J14" s="1">
        <v>0</v>
      </c>
      <c r="K14" s="1">
        <v>0</v>
      </c>
      <c r="L14" s="1">
        <v>0</v>
      </c>
      <c r="M14" s="1">
        <v>0</v>
      </c>
      <c r="O14" s="29">
        <f t="shared" si="0"/>
        <v>9.5238095238095233E-2</v>
      </c>
      <c r="P14" s="29">
        <f t="shared" si="1"/>
        <v>0</v>
      </c>
      <c r="Q14" s="29">
        <f t="shared" si="2"/>
        <v>0</v>
      </c>
      <c r="R14" s="29">
        <f t="shared" si="3"/>
        <v>0</v>
      </c>
      <c r="S14" s="29">
        <f t="shared" si="4"/>
        <v>0</v>
      </c>
      <c r="T14" s="29"/>
      <c r="U14" s="29">
        <f t="shared" si="11"/>
        <v>0.15114235500878734</v>
      </c>
      <c r="V14" s="29"/>
      <c r="W14" s="30">
        <f t="shared" si="12"/>
        <v>0.63012181616832774</v>
      </c>
      <c r="X14" s="30">
        <f t="shared" si="12"/>
        <v>0</v>
      </c>
      <c r="Y14" s="30">
        <f t="shared" si="12"/>
        <v>0</v>
      </c>
      <c r="Z14" s="30">
        <f t="shared" si="13"/>
        <v>0</v>
      </c>
      <c r="AA14" s="30">
        <f t="shared" si="14"/>
        <v>0</v>
      </c>
      <c r="AB14" s="30">
        <f t="shared" si="6"/>
        <v>0.63012181616832774</v>
      </c>
      <c r="AC14" s="40">
        <f>INDEX(C14:AA14, 1, MATCH(AB14, W14:AA14, 0))</f>
        <v>21</v>
      </c>
      <c r="AD14" s="40" t="str">
        <f t="shared" si="9"/>
        <v>3</v>
      </c>
      <c r="AE14" s="30">
        <f>IF(C14&gt;0,((I14*((3*86)+C14))/(4*C14*86))*(1-(C14-I14)/(569-86)),0)</f>
        <v>7.4203999092053413E-2</v>
      </c>
      <c r="AF14" s="30">
        <f>IF(D14&gt;0,((J14*((3*86)+D14))/(4*D14*86))*(1-(D14-J14)/(569-86)),0)</f>
        <v>0</v>
      </c>
      <c r="AG14" s="30">
        <f>IF(E14&gt;0,((K14*((3*86)+E14))/(4*E14*86))*(1-(E14-K14)/(569-86)),0)</f>
        <v>0</v>
      </c>
      <c r="AH14" s="30">
        <f>IF(F14&gt;0,((L14*((3*86)+F14))/(4*F14*86))*(1-(F14-L14)/(569-86)),0)</f>
        <v>0</v>
      </c>
      <c r="AI14" s="30">
        <f>IF(G14&gt;0,((M14*((3*86)+G14))/(4*G14*86))*(1-(G14-M14)/(569-86)),0)</f>
        <v>0</v>
      </c>
      <c r="AJ14" s="9"/>
      <c r="AR14" s="1" t="s">
        <v>30</v>
      </c>
      <c r="AS14" s="15">
        <f>MAX(W6,W10,W14,W18,W22,W26,W30,W34)</f>
        <v>4.9051724137931032</v>
      </c>
      <c r="AT14" s="15">
        <f>MAX(X6,X10,X14,X18,X22,X26,X30,X34)</f>
        <v>0.48632478632478632</v>
      </c>
      <c r="AU14" s="15">
        <f>MAX(Y6,Y10,Y14,Y18,Y22,Y26,Y30,Y34)</f>
        <v>2.9179487179487178</v>
      </c>
      <c r="AV14" s="14">
        <f>MAX(Z6,Z10,Z14,Z18,Z22,Z26,Z30,Z34)</f>
        <v>0</v>
      </c>
      <c r="AW14" s="14">
        <f>MAX(AA6,AA10,AA14,AA18,AA22,AA26,AA30,AA34)</f>
        <v>0</v>
      </c>
      <c r="AX14" s="14"/>
    </row>
    <row r="15" spans="1:61" x14ac:dyDescent="0.3">
      <c r="A15" s="31" t="s">
        <v>31</v>
      </c>
      <c r="B15" t="s">
        <v>27</v>
      </c>
      <c r="C15">
        <v>562</v>
      </c>
      <c r="D15">
        <v>294</v>
      </c>
      <c r="E15">
        <v>48</v>
      </c>
      <c r="F15">
        <v>2</v>
      </c>
      <c r="G15">
        <v>0</v>
      </c>
      <c r="I15">
        <v>27</v>
      </c>
      <c r="J15">
        <v>9</v>
      </c>
      <c r="K15">
        <v>3</v>
      </c>
      <c r="L15">
        <v>0</v>
      </c>
      <c r="M15">
        <v>0</v>
      </c>
      <c r="O15" s="2">
        <f t="shared" si="0"/>
        <v>4.8042704626334518E-2</v>
      </c>
      <c r="P15" s="2">
        <f t="shared" si="1"/>
        <v>3.0612244897959183E-2</v>
      </c>
      <c r="Q15" s="2">
        <f t="shared" si="2"/>
        <v>6.25E-2</v>
      </c>
      <c r="R15" s="2">
        <f t="shared" si="3"/>
        <v>0</v>
      </c>
      <c r="S15" s="2">
        <f t="shared" si="4"/>
        <v>0</v>
      </c>
      <c r="T15" s="2"/>
      <c r="U15" s="2">
        <f>29/569</f>
        <v>5.0966608084358524E-2</v>
      </c>
      <c r="V15" s="2"/>
      <c r="W15" s="3">
        <f t="shared" si="12"/>
        <v>0.94263099766842551</v>
      </c>
      <c r="X15" s="3">
        <f t="shared" si="12"/>
        <v>0.60063335679099228</v>
      </c>
      <c r="Y15" s="3">
        <f t="shared" si="12"/>
        <v>1.2262931034482758</v>
      </c>
      <c r="Z15" s="3">
        <f t="shared" si="13"/>
        <v>0</v>
      </c>
      <c r="AA15" s="3">
        <f t="shared" si="14"/>
        <v>0</v>
      </c>
      <c r="AB15" s="3">
        <f t="shared" si="6"/>
        <v>1.2262931034482758</v>
      </c>
      <c r="AC15" s="41">
        <f>INDEX(C15:AA15, 1, MATCH(AB15, W15:AA15, 0))</f>
        <v>48</v>
      </c>
      <c r="AD15" s="41" t="str">
        <f t="shared" si="9"/>
        <v>5</v>
      </c>
      <c r="AE15" s="3">
        <f>IF(C15&gt;0,((I15*((3*29)+C15))/(4*C15*29))*(1-(C15-I15)/(569-29)),0)</f>
        <v>2.4888023070315482E-3</v>
      </c>
      <c r="AF15" s="3">
        <f>IF(D15&gt;0,((J15*((3*29)+D15))/(4*D15*29))*(1-(D15-J15)/(569-29)),0)</f>
        <v>4.7479767769176638E-2</v>
      </c>
      <c r="AG15" s="3">
        <f>IF(E15&gt;0,((K15*((3*29)+E15))/(4*E15*29))*(1-(E15-K15)/(569-29)),0)</f>
        <v>6.667564655172413E-2</v>
      </c>
      <c r="AH15" s="3">
        <f>IF(F15&gt;0,((L15*((3*29)+F15))/(4*F15*29))*(1-(F15-L15)/(569-29)),0)</f>
        <v>0</v>
      </c>
      <c r="AI15" s="3">
        <f>IF(G15&gt;0,((M15*((3*29)+G15))/(4*G15*29))*(1-(G15-M15)/(569-29)),0)</f>
        <v>0</v>
      </c>
      <c r="AJ15" s="2"/>
    </row>
    <row r="16" spans="1:61" x14ac:dyDescent="0.3">
      <c r="A16" s="31" t="s">
        <v>31</v>
      </c>
      <c r="B16" t="s">
        <v>28</v>
      </c>
      <c r="C16">
        <v>561</v>
      </c>
      <c r="D16">
        <v>244</v>
      </c>
      <c r="E16">
        <v>11</v>
      </c>
      <c r="F16">
        <v>0</v>
      </c>
      <c r="G16">
        <v>0</v>
      </c>
      <c r="I16">
        <v>29</v>
      </c>
      <c r="J16">
        <v>10</v>
      </c>
      <c r="K16">
        <v>1</v>
      </c>
      <c r="L16">
        <v>0</v>
      </c>
      <c r="M16">
        <v>0</v>
      </c>
      <c r="O16" s="2">
        <f t="shared" si="0"/>
        <v>5.1693404634581108E-2</v>
      </c>
      <c r="P16" s="2">
        <f t="shared" si="1"/>
        <v>4.0983606557377046E-2</v>
      </c>
      <c r="Q16" s="2">
        <f t="shared" si="2"/>
        <v>9.0909090909090912E-2</v>
      </c>
      <c r="R16" s="2">
        <f t="shared" si="3"/>
        <v>0</v>
      </c>
      <c r="S16" s="2">
        <f t="shared" si="4"/>
        <v>0</v>
      </c>
      <c r="T16" s="2"/>
      <c r="U16" s="2">
        <f>29/569</f>
        <v>5.0966608084358524E-2</v>
      </c>
      <c r="V16" s="2"/>
      <c r="W16" s="3">
        <f t="shared" si="12"/>
        <v>1.0142602495543673</v>
      </c>
      <c r="X16" s="3">
        <f t="shared" si="12"/>
        <v>0.80412662521198408</v>
      </c>
      <c r="Y16" s="3">
        <f t="shared" si="12"/>
        <v>1.7836990595611286</v>
      </c>
      <c r="Z16" s="3">
        <f t="shared" si="13"/>
        <v>0</v>
      </c>
      <c r="AA16" s="3">
        <f t="shared" si="14"/>
        <v>0</v>
      </c>
      <c r="AB16" s="3">
        <f t="shared" si="6"/>
        <v>1.7836990595611286</v>
      </c>
      <c r="AC16" s="41">
        <f>INDEX(C16:AA16, 1, MATCH(AB16, W16:AA16, 0))</f>
        <v>11</v>
      </c>
      <c r="AD16" s="41" t="str">
        <f t="shared" si="9"/>
        <v>5</v>
      </c>
      <c r="AE16" s="3">
        <f>IF(C16&gt;0,((I16*((3*29)+C16))/(4*C16*29))*(1-(C16-I16)/(569-29)),0)</f>
        <v>4.2780748663101666E-3</v>
      </c>
      <c r="AF16" s="3">
        <f>IF(D16&gt;0,((J16*((3*29)+D16))/(4*D16*29))*(1-(D16-J16)/(569-29)),0)</f>
        <v>6.6268607499528925E-2</v>
      </c>
      <c r="AG16" s="3">
        <f>IF(E16&gt;0,((K16*((3*29)+E16))/(4*E16*29))*(1-(E16-K16)/(569-29)),0)</f>
        <v>7.538023917334262E-2</v>
      </c>
      <c r="AH16" s="3">
        <f>IF(F16&gt;0,((L16*((3*29)+F16))/(4*F16*29))*(1-(F16-L16)/(569-29)),0)</f>
        <v>0</v>
      </c>
      <c r="AI16" s="3">
        <f>IF(G16&gt;0,((M16*((3*29)+G16))/(4*G16*29))*(1-(G16-M16)/(569-29)),0)</f>
        <v>0</v>
      </c>
      <c r="AJ16" s="2"/>
    </row>
    <row r="17" spans="1:71" x14ac:dyDescent="0.3">
      <c r="A17" s="31" t="s">
        <v>31</v>
      </c>
      <c r="B17" t="s">
        <v>29</v>
      </c>
      <c r="C17">
        <v>558</v>
      </c>
      <c r="D17">
        <v>314</v>
      </c>
      <c r="E17">
        <v>25</v>
      </c>
      <c r="F17">
        <v>1</v>
      </c>
      <c r="G17">
        <v>0</v>
      </c>
      <c r="I17">
        <v>26</v>
      </c>
      <c r="J17">
        <v>12</v>
      </c>
      <c r="K17">
        <v>1</v>
      </c>
      <c r="L17">
        <v>0</v>
      </c>
      <c r="M17">
        <v>0</v>
      </c>
      <c r="O17" s="2">
        <f t="shared" si="0"/>
        <v>4.6594982078853049E-2</v>
      </c>
      <c r="P17" s="2">
        <f t="shared" si="1"/>
        <v>3.8216560509554139E-2</v>
      </c>
      <c r="Q17" s="2">
        <f t="shared" si="2"/>
        <v>0.04</v>
      </c>
      <c r="R17" s="2">
        <f t="shared" si="3"/>
        <v>0</v>
      </c>
      <c r="S17" s="2">
        <f t="shared" si="4"/>
        <v>0</v>
      </c>
      <c r="T17" s="2"/>
      <c r="U17" s="2">
        <f>29/569</f>
        <v>5.0966608084358524E-2</v>
      </c>
      <c r="V17" s="2"/>
      <c r="W17" s="3">
        <f t="shared" si="12"/>
        <v>0.91422568285749606</v>
      </c>
      <c r="X17" s="3">
        <f t="shared" si="12"/>
        <v>0.74983527344607948</v>
      </c>
      <c r="Y17" s="3">
        <f t="shared" si="12"/>
        <v>0.78482758620689652</v>
      </c>
      <c r="Z17" s="3">
        <f t="shared" si="13"/>
        <v>0</v>
      </c>
      <c r="AA17" s="3">
        <f t="shared" si="14"/>
        <v>0</v>
      </c>
      <c r="AB17" s="3">
        <f t="shared" si="6"/>
        <v>0.91422568285749606</v>
      </c>
      <c r="AC17" s="41">
        <f>INDEX(C17:AA17, 1, MATCH(AB17, W17:AA17, 0))</f>
        <v>558</v>
      </c>
      <c r="AD17" s="41" t="str">
        <f t="shared" si="9"/>
        <v>3</v>
      </c>
      <c r="AE17" s="3">
        <f>IF(C17&gt;0,((I17*((3*29)+C17))/(4*C17*29))*(1-(C17-I17)/(569-29)),0)</f>
        <v>3.8382839643499689E-3</v>
      </c>
      <c r="AF17" s="3">
        <f>IF(D17&gt;0,((J17*((3*29)+D17))/(4*D17*29))*(1-(D17-J17)/(569-29)),0)</f>
        <v>5.8226566122458946E-2</v>
      </c>
      <c r="AG17" s="3">
        <f>IF(E17&gt;0,((K17*((3*29)+E17))/(4*E17*29))*(1-(E17-K17)/(569-29)),0)</f>
        <v>3.6904214559386979E-2</v>
      </c>
      <c r="AH17" s="3">
        <f>IF(F17&gt;0,((L17*((3*29)+F17))/(4*F17*29))*(1-(F17-L17)/(569-29)),0)</f>
        <v>0</v>
      </c>
      <c r="AI17" s="3">
        <f>IF(G17&gt;0,((M17*((3*29)+G17))/(4*G17*29))*(1-(G17-M17)/(569-29)),0)</f>
        <v>0</v>
      </c>
      <c r="AJ17" s="2"/>
    </row>
    <row r="18" spans="1:71" s="1" customFormat="1" x14ac:dyDescent="0.3">
      <c r="A18" s="31" t="s">
        <v>31</v>
      </c>
      <c r="B18" s="1" t="s">
        <v>30</v>
      </c>
      <c r="C18" s="1">
        <v>20</v>
      </c>
      <c r="D18" s="1">
        <v>3</v>
      </c>
      <c r="E18" s="1">
        <v>0</v>
      </c>
      <c r="F18" s="1">
        <v>0</v>
      </c>
      <c r="G18" s="1">
        <v>0</v>
      </c>
      <c r="I18" s="1">
        <v>5</v>
      </c>
      <c r="J18" s="1">
        <v>0</v>
      </c>
      <c r="K18" s="1">
        <v>0</v>
      </c>
      <c r="L18" s="1">
        <v>0</v>
      </c>
      <c r="M18" s="1">
        <v>0</v>
      </c>
      <c r="O18" s="9">
        <f t="shared" si="0"/>
        <v>0.25</v>
      </c>
      <c r="P18" s="9">
        <f t="shared" si="1"/>
        <v>0</v>
      </c>
      <c r="Q18" s="9">
        <f t="shared" si="2"/>
        <v>0</v>
      </c>
      <c r="R18" s="9">
        <f t="shared" si="3"/>
        <v>0</v>
      </c>
      <c r="S18" s="9">
        <f t="shared" si="4"/>
        <v>0</v>
      </c>
      <c r="T18" s="9"/>
      <c r="U18" s="9">
        <f>29/569</f>
        <v>5.0966608084358524E-2</v>
      </c>
      <c r="V18" s="9"/>
      <c r="W18" s="10">
        <f t="shared" si="12"/>
        <v>4.9051724137931032</v>
      </c>
      <c r="X18" s="10">
        <f t="shared" si="12"/>
        <v>0</v>
      </c>
      <c r="Y18" s="10">
        <f t="shared" si="12"/>
        <v>0</v>
      </c>
      <c r="Z18" s="10">
        <f t="shared" si="13"/>
        <v>0</v>
      </c>
      <c r="AA18" s="10">
        <f t="shared" si="14"/>
        <v>0</v>
      </c>
      <c r="AB18" s="10">
        <f t="shared" si="6"/>
        <v>4.9051724137931032</v>
      </c>
      <c r="AC18" s="42">
        <f>INDEX(C18:AA18, 1, MATCH(AB18, W18:AA18, 0))</f>
        <v>20</v>
      </c>
      <c r="AD18" s="42" t="str">
        <f t="shared" si="9"/>
        <v>3</v>
      </c>
      <c r="AE18" s="10">
        <f>IF(C18&gt;0,((I18*((3*29)+C18))/(4*C18*29))*(1-(C18-I18)/(569-29)),0)</f>
        <v>0.22419779693486591</v>
      </c>
      <c r="AF18" s="10">
        <f>IF(D18&gt;0,((J18*((3*29)+D18))/(4*D18*29))*(1-(D18-J18)/(569-29)),0)</f>
        <v>0</v>
      </c>
      <c r="AG18" s="10">
        <f>IF(E18&gt;0,((K18*((3*29)+E18))/(4*E18*29))*(1-(E18-K18)/(569-29)),0)</f>
        <v>0</v>
      </c>
      <c r="AH18" s="10">
        <f>IF(F18&gt;0,((L18*((3*29)+F18))/(4*F18*29))*(1-(F18-L18)/(569-29)),0)</f>
        <v>0</v>
      </c>
      <c r="AI18" s="10">
        <f>IF(G18&gt;0,((M18*((3*29)+G18))/(4*G18*29))*(1-(G18-M18)/(569-29)),0)</f>
        <v>0</v>
      </c>
      <c r="AJ18" s="9"/>
    </row>
    <row r="19" spans="1:71" x14ac:dyDescent="0.3">
      <c r="A19" s="31" t="s">
        <v>55</v>
      </c>
      <c r="B19" t="s">
        <v>27</v>
      </c>
      <c r="C19">
        <v>568</v>
      </c>
      <c r="D19">
        <v>496</v>
      </c>
      <c r="E19">
        <v>62</v>
      </c>
      <c r="F19">
        <v>0</v>
      </c>
      <c r="G19">
        <v>0</v>
      </c>
      <c r="I19">
        <v>32</v>
      </c>
      <c r="J19">
        <v>24</v>
      </c>
      <c r="K19">
        <v>2</v>
      </c>
      <c r="L19">
        <v>0</v>
      </c>
      <c r="M19">
        <v>0</v>
      </c>
      <c r="O19" s="27">
        <f t="shared" si="0"/>
        <v>5.6338028169014086E-2</v>
      </c>
      <c r="P19" s="27">
        <f t="shared" si="1"/>
        <v>4.8387096774193547E-2</v>
      </c>
      <c r="Q19" s="27">
        <f t="shared" si="2"/>
        <v>3.2258064516129031E-2</v>
      </c>
      <c r="R19" s="27">
        <f t="shared" si="3"/>
        <v>0</v>
      </c>
      <c r="S19" s="27">
        <f t="shared" si="4"/>
        <v>0</v>
      </c>
      <c r="T19" s="27"/>
      <c r="U19" s="27">
        <f>32/569</f>
        <v>5.6239015817223195E-2</v>
      </c>
      <c r="V19" s="27"/>
      <c r="W19" s="28">
        <f t="shared" ref="W19:W53" si="15">O19/$U19</f>
        <v>1.0017605633802817</v>
      </c>
      <c r="X19" s="28">
        <f t="shared" ref="X19:X53" si="16">P19/$U19</f>
        <v>0.86038306451612911</v>
      </c>
      <c r="Y19" s="28">
        <f t="shared" ref="Y19:Y53" si="17">Q19/$U19</f>
        <v>0.57358870967741937</v>
      </c>
      <c r="Z19" s="28">
        <f t="shared" si="13"/>
        <v>0</v>
      </c>
      <c r="AA19" s="28">
        <f t="shared" si="14"/>
        <v>0</v>
      </c>
      <c r="AB19" s="28">
        <f t="shared" si="6"/>
        <v>1.0017605633802817</v>
      </c>
      <c r="AC19" s="39">
        <f>INDEX(C19:AA19, 1, MATCH(AB19, W19:AA19, 0))</f>
        <v>568</v>
      </c>
      <c r="AD19" s="39" t="str">
        <f t="shared" si="9"/>
        <v>3</v>
      </c>
      <c r="AE19" s="28">
        <f>IF(C19&gt;0,((I19*((3*32)+C19))/(4*C19*32))*(1-(C19-I19)/(569-32)),0)</f>
        <v>5.4423374511502597E-4</v>
      </c>
      <c r="AF19" s="28">
        <f>IF(D19&gt;0,((J19*((3*32)+D19))/(4*D19*32))*(1-(D19-J19)/(569-32)),0)</f>
        <v>2.708821409262931E-2</v>
      </c>
      <c r="AG19" s="28">
        <f>IF(E19&gt;0,((K19*((3*32)+E19))/(4*E19*32))*(1-(E19-K19)/(569-32)),0)</f>
        <v>3.5369548567309422E-2</v>
      </c>
      <c r="AH19" s="28">
        <f>IF(F19&gt;0,((L19*((3*32)+F19))/(4*F19*32))*(1-(F19-L19)/(569-32)),0)</f>
        <v>0</v>
      </c>
      <c r="AI19" s="28">
        <f>IF(G19&gt;0,((M19*((3*32)+G19))/(4*G19*32))*(1-(G19-M19)/(569-32)),0)</f>
        <v>0</v>
      </c>
      <c r="AJ19" s="2"/>
      <c r="AR19" t="s">
        <v>27</v>
      </c>
      <c r="AT19" s="5"/>
    </row>
    <row r="20" spans="1:71" x14ac:dyDescent="0.3">
      <c r="A20" s="31" t="s">
        <v>55</v>
      </c>
      <c r="B20" t="s">
        <v>28</v>
      </c>
      <c r="C20">
        <v>556</v>
      </c>
      <c r="D20">
        <v>226</v>
      </c>
      <c r="E20">
        <v>7</v>
      </c>
      <c r="F20">
        <v>0</v>
      </c>
      <c r="G20">
        <v>0</v>
      </c>
      <c r="I20">
        <v>32</v>
      </c>
      <c r="J20">
        <v>10</v>
      </c>
      <c r="K20">
        <v>1</v>
      </c>
      <c r="L20">
        <v>0</v>
      </c>
      <c r="M20">
        <v>0</v>
      </c>
      <c r="O20" s="27">
        <f t="shared" si="0"/>
        <v>5.7553956834532377E-2</v>
      </c>
      <c r="P20" s="27">
        <f t="shared" si="1"/>
        <v>4.4247787610619468E-2</v>
      </c>
      <c r="Q20" s="27">
        <f t="shared" si="2"/>
        <v>0.14285714285714285</v>
      </c>
      <c r="R20" s="27">
        <f t="shared" si="3"/>
        <v>0</v>
      </c>
      <c r="S20" s="27">
        <f t="shared" si="4"/>
        <v>0</v>
      </c>
      <c r="T20" s="27"/>
      <c r="U20" s="27">
        <f>32/569</f>
        <v>5.6239015817223195E-2</v>
      </c>
      <c r="V20" s="27"/>
      <c r="W20" s="28">
        <f t="shared" si="15"/>
        <v>1.0233812949640289</v>
      </c>
      <c r="X20" s="28">
        <f t="shared" si="16"/>
        <v>0.78678097345132747</v>
      </c>
      <c r="Y20" s="28">
        <f t="shared" si="17"/>
        <v>2.5401785714285716</v>
      </c>
      <c r="Z20" s="28">
        <f t="shared" si="13"/>
        <v>0</v>
      </c>
      <c r="AA20" s="28">
        <f t="shared" si="14"/>
        <v>0</v>
      </c>
      <c r="AB20" s="28">
        <f t="shared" si="6"/>
        <v>2.5401785714285716</v>
      </c>
      <c r="AC20" s="39">
        <f>INDEX(C20:AA20, 1, MATCH(AB20, W20:AA20, 0))</f>
        <v>7</v>
      </c>
      <c r="AD20" s="39" t="str">
        <f t="shared" si="9"/>
        <v>5</v>
      </c>
      <c r="AE20" s="28">
        <f>IF(C20&gt;0,((I20*((3*32)+C20))/(4*C20*32))*(1-(C20-I20)/(569-32)),0)</f>
        <v>7.0971156036065096E-3</v>
      </c>
      <c r="AF20" s="28">
        <f>IF(D20&gt;0,((J20*((3*32)+D20))/(4*D20*32))*(1-(D20-J20)/(569-32)),0)</f>
        <v>6.6537765115934136E-2</v>
      </c>
      <c r="AG20" s="28">
        <f>IF(E20&gt;0,((K20*((3*32)+E20))/(4*E20*32))*(1-(E20-K20)/(569-32)),0)</f>
        <v>0.11367093974461293</v>
      </c>
      <c r="AH20" s="28">
        <f>IF(F20&gt;0,((L20*((3*32)+F20))/(4*F20*32))*(1-(F20-L20)/(569-32)),0)</f>
        <v>0</v>
      </c>
      <c r="AI20" s="28">
        <f>IF(G20&gt;0,((M20*((3*32)+G20))/(4*G20*32))*(1-(G20-M20)/(569-32)),0)</f>
        <v>0</v>
      </c>
      <c r="AJ20" s="2"/>
      <c r="AR20" t="s">
        <v>28</v>
      </c>
    </row>
    <row r="21" spans="1:71" x14ac:dyDescent="0.3">
      <c r="A21" s="31" t="s">
        <v>55</v>
      </c>
      <c r="B21" t="s">
        <v>29</v>
      </c>
      <c r="C21">
        <v>566</v>
      </c>
      <c r="D21">
        <v>533</v>
      </c>
      <c r="E21">
        <v>183</v>
      </c>
      <c r="F21">
        <v>10</v>
      </c>
      <c r="G21">
        <v>0</v>
      </c>
      <c r="I21">
        <v>32</v>
      </c>
      <c r="J21">
        <v>29</v>
      </c>
      <c r="K21">
        <v>7</v>
      </c>
      <c r="L21">
        <v>0</v>
      </c>
      <c r="M21">
        <v>0</v>
      </c>
      <c r="O21" s="27">
        <f t="shared" si="0"/>
        <v>5.6537102473498232E-2</v>
      </c>
      <c r="P21" s="27">
        <f t="shared" si="1"/>
        <v>5.4409005628517824E-2</v>
      </c>
      <c r="Q21" s="27">
        <f t="shared" si="2"/>
        <v>3.825136612021858E-2</v>
      </c>
      <c r="R21" s="27">
        <f t="shared" si="3"/>
        <v>0</v>
      </c>
      <c r="S21" s="27">
        <f t="shared" si="4"/>
        <v>0</v>
      </c>
      <c r="T21" s="27"/>
      <c r="U21" s="27">
        <f>32/569</f>
        <v>5.6239015817223195E-2</v>
      </c>
      <c r="V21" s="27"/>
      <c r="W21" s="28">
        <f t="shared" si="15"/>
        <v>1.0053003533568905</v>
      </c>
      <c r="X21" s="28">
        <f t="shared" si="16"/>
        <v>0.96746013133208264</v>
      </c>
      <c r="Y21" s="28">
        <f t="shared" si="17"/>
        <v>0.68015710382513672</v>
      </c>
      <c r="Z21" s="28">
        <f t="shared" si="13"/>
        <v>0</v>
      </c>
      <c r="AA21" s="28">
        <f t="shared" si="14"/>
        <v>0</v>
      </c>
      <c r="AB21" s="28">
        <f t="shared" si="6"/>
        <v>1.0053003533568905</v>
      </c>
      <c r="AC21" s="39">
        <f>INDEX(C21:AA21, 1, MATCH(AB21, W21:AA21, 0))</f>
        <v>566</v>
      </c>
      <c r="AD21" s="39" t="str">
        <f t="shared" si="9"/>
        <v>3</v>
      </c>
      <c r="AE21" s="28">
        <f>IF(C21&gt;0,((I21*((3*32)+C21))/(4*C21*32))*(1-(C21-I21)/(569-32)),0)</f>
        <v>1.6335353455593647E-3</v>
      </c>
      <c r="AF21" s="28">
        <f>IF(D21&gt;0,((J21*((3*32)+D21))/(4*D21*32))*(1-(D21-J21)/(569-32)),0)</f>
        <v>1.6430512829247325E-2</v>
      </c>
      <c r="AG21" s="28">
        <f>IF(E21&gt;0,((K21*((3*32)+E21))/(4*E21*32))*(1-(E21-K21)/(569-32)),0)</f>
        <v>5.6049804240315054E-2</v>
      </c>
      <c r="AH21" s="28">
        <f>IF(F21&gt;0,((L21*((3*32)+F21))/(4*F21*32))*(1-(F21-L21)/(569-32)),0)</f>
        <v>0</v>
      </c>
      <c r="AI21" s="28">
        <f>IF(G21&gt;0,((M21*((3*32)+G21))/(4*G21*32))*(1-(G21-M21)/(569-32)),0)</f>
        <v>0</v>
      </c>
      <c r="AJ21" s="2"/>
      <c r="AR21" t="s">
        <v>29</v>
      </c>
    </row>
    <row r="22" spans="1:71" s="1" customFormat="1" x14ac:dyDescent="0.3">
      <c r="A22" s="31" t="s">
        <v>55</v>
      </c>
      <c r="B22" s="1" t="s">
        <v>30</v>
      </c>
      <c r="C22" s="1">
        <v>49</v>
      </c>
      <c r="D22" s="1">
        <v>7</v>
      </c>
      <c r="E22" s="1">
        <v>0</v>
      </c>
      <c r="F22" s="1">
        <v>0</v>
      </c>
      <c r="G22" s="1">
        <v>0</v>
      </c>
      <c r="I22" s="1">
        <v>12</v>
      </c>
      <c r="J22" s="1">
        <v>0</v>
      </c>
      <c r="K22" s="1">
        <v>0</v>
      </c>
      <c r="L22" s="1">
        <v>0</v>
      </c>
      <c r="M22" s="1">
        <v>0</v>
      </c>
      <c r="O22" s="29">
        <f t="shared" si="0"/>
        <v>0.24489795918367346</v>
      </c>
      <c r="P22" s="29">
        <f t="shared" si="1"/>
        <v>0</v>
      </c>
      <c r="Q22" s="29">
        <f t="shared" si="2"/>
        <v>0</v>
      </c>
      <c r="R22" s="29">
        <f t="shared" si="3"/>
        <v>0</v>
      </c>
      <c r="S22" s="29">
        <f t="shared" si="4"/>
        <v>0</v>
      </c>
      <c r="T22" s="29"/>
      <c r="U22" s="29">
        <f>32/569</f>
        <v>5.6239015817223195E-2</v>
      </c>
      <c r="V22" s="29"/>
      <c r="W22" s="30">
        <f t="shared" si="15"/>
        <v>4.3545918367346941</v>
      </c>
      <c r="X22" s="30">
        <f t="shared" si="16"/>
        <v>0</v>
      </c>
      <c r="Y22" s="30">
        <f t="shared" si="17"/>
        <v>0</v>
      </c>
      <c r="Z22" s="30">
        <f t="shared" si="13"/>
        <v>0</v>
      </c>
      <c r="AA22" s="30">
        <f t="shared" si="14"/>
        <v>0</v>
      </c>
      <c r="AB22" s="30">
        <f t="shared" si="6"/>
        <v>4.3545918367346941</v>
      </c>
      <c r="AC22" s="40">
        <f>INDEX(C22:AA22, 1, MATCH(AB22, W22:AA22, 0))</f>
        <v>49</v>
      </c>
      <c r="AD22" s="40" t="str">
        <f t="shared" si="9"/>
        <v>3</v>
      </c>
      <c r="AE22" s="30">
        <f>IF(C22&gt;0,((I22*((3*32)+C22))/(4*C22*32))*(1-(C22-I22)/(569-32)),0)</f>
        <v>0.25830863071485577</v>
      </c>
      <c r="AF22" s="30">
        <f>IF(D22&gt;0,((J22*((3*32)+D22))/(4*D22*32))*(1-(D22-J22)/(569-32)),0)</f>
        <v>0</v>
      </c>
      <c r="AG22" s="30">
        <f>IF(E22&gt;0,((K22*((3*32)+E22))/(4*E22*32))*(1-(E22-K22)/(569-32)),0)</f>
        <v>0</v>
      </c>
      <c r="AH22" s="30">
        <f>IF(F22&gt;0,((L22*((3*32)+F22))/(4*F22*32))*(1-(F22-L22)/(569-32)),0)</f>
        <v>0</v>
      </c>
      <c r="AI22" s="30">
        <f>IF(G22&gt;0,((M22*((3*32)+G22))/(4*G22*32))*(1-(G22-M22)/(569-32)),0)</f>
        <v>0</v>
      </c>
      <c r="AJ22" s="9"/>
      <c r="AR22" s="1" t="s">
        <v>30</v>
      </c>
    </row>
    <row r="23" spans="1:71" x14ac:dyDescent="0.3">
      <c r="A23" s="31" t="s">
        <v>32</v>
      </c>
      <c r="B23" t="s">
        <v>27</v>
      </c>
      <c r="C23">
        <v>507</v>
      </c>
      <c r="D23">
        <v>98</v>
      </c>
      <c r="E23">
        <v>6</v>
      </c>
      <c r="F23">
        <v>0</v>
      </c>
      <c r="G23">
        <v>0</v>
      </c>
      <c r="I23">
        <v>43</v>
      </c>
      <c r="J23">
        <v>13</v>
      </c>
      <c r="K23">
        <v>0</v>
      </c>
      <c r="L23">
        <v>0</v>
      </c>
      <c r="M23">
        <v>0</v>
      </c>
      <c r="O23" s="2">
        <f t="shared" si="0"/>
        <v>8.4812623274161739E-2</v>
      </c>
      <c r="P23" s="2">
        <f t="shared" si="1"/>
        <v>0.1326530612244898</v>
      </c>
      <c r="Q23" s="2">
        <f t="shared" si="2"/>
        <v>0</v>
      </c>
      <c r="R23" s="2">
        <f t="shared" si="3"/>
        <v>0</v>
      </c>
      <c r="S23" s="2">
        <f t="shared" si="4"/>
        <v>0</v>
      </c>
      <c r="T23" s="2"/>
      <c r="U23" s="2">
        <f>43/569</f>
        <v>7.5571177504393669E-2</v>
      </c>
      <c r="V23" s="2"/>
      <c r="W23" s="3">
        <f t="shared" si="15"/>
        <v>1.1222879684418148</v>
      </c>
      <c r="X23" s="3">
        <f t="shared" si="16"/>
        <v>1.7553393450403418</v>
      </c>
      <c r="Y23" s="3">
        <f t="shared" si="17"/>
        <v>0</v>
      </c>
      <c r="Z23" s="3">
        <f t="shared" si="13"/>
        <v>0</v>
      </c>
      <c r="AA23" s="3">
        <f t="shared" si="14"/>
        <v>0</v>
      </c>
      <c r="AB23" s="3">
        <f t="shared" si="6"/>
        <v>1.7553393450403418</v>
      </c>
      <c r="AC23" s="41">
        <f>INDEX(C23:AA23, 1, MATCH(AB23, W23:AA23, 0))</f>
        <v>98</v>
      </c>
      <c r="AD23" s="41" t="str">
        <f t="shared" si="9"/>
        <v>4</v>
      </c>
      <c r="AE23" s="3">
        <f>IF(C23&gt;0,((I23*((3*43)+C23))/(4*C23*43))*(1-(C23-I23)/(569-43)),0)</f>
        <v>3.6965374490966769E-2</v>
      </c>
      <c r="AF23" s="3">
        <f>IF(D23&gt;0,((J23*((3*43)+D23))/(4*D23*43))*(1-(D23-J23)/(569-43)),0)</f>
        <v>0.14678021929436733</v>
      </c>
      <c r="AG23" s="3">
        <f>IF(E23&gt;0,((K23*((3*43)+E23))/(4*E23*43))*(1-(E23-K23)/(569-43)),0)</f>
        <v>0</v>
      </c>
      <c r="AH23" s="3">
        <f>IF(F23&gt;0,((L23*((3*43)+F23))/(4*F23*43))*(1-(F23-L23)/(569-43)),0)</f>
        <v>0</v>
      </c>
      <c r="AI23" s="3">
        <f>IF(G23&gt;0,((M23*((3*43)+G23))/(4*G23*43))*(1-(G23-M23)/(569-43)),0)</f>
        <v>0</v>
      </c>
    </row>
    <row r="24" spans="1:71" x14ac:dyDescent="0.3">
      <c r="A24" s="31" t="s">
        <v>32</v>
      </c>
      <c r="B24" t="s">
        <v>28</v>
      </c>
      <c r="C24">
        <v>569</v>
      </c>
      <c r="D24">
        <v>502</v>
      </c>
      <c r="E24">
        <v>66</v>
      </c>
      <c r="F24">
        <v>0</v>
      </c>
      <c r="G24">
        <v>0</v>
      </c>
      <c r="I24">
        <v>43</v>
      </c>
      <c r="J24">
        <v>41</v>
      </c>
      <c r="K24">
        <v>13</v>
      </c>
      <c r="L24">
        <v>0</v>
      </c>
      <c r="M24">
        <v>0</v>
      </c>
      <c r="O24" s="2">
        <f t="shared" si="0"/>
        <v>7.5571177504393669E-2</v>
      </c>
      <c r="P24" s="2">
        <f t="shared" si="1"/>
        <v>8.1673306772908363E-2</v>
      </c>
      <c r="Q24" s="2">
        <f t="shared" si="2"/>
        <v>0.19696969696969696</v>
      </c>
      <c r="R24" s="2">
        <f t="shared" si="3"/>
        <v>0</v>
      </c>
      <c r="S24" s="2">
        <f t="shared" si="4"/>
        <v>0</v>
      </c>
      <c r="T24" s="2"/>
      <c r="U24" s="2">
        <f>43/569</f>
        <v>7.5571177504393669E-2</v>
      </c>
      <c r="V24" s="2"/>
      <c r="W24" s="3">
        <f t="shared" si="15"/>
        <v>1</v>
      </c>
      <c r="X24" s="3">
        <f t="shared" si="16"/>
        <v>1.0807467803205781</v>
      </c>
      <c r="Y24" s="3">
        <f t="shared" si="17"/>
        <v>2.6064129668780831</v>
      </c>
      <c r="Z24" s="3">
        <f t="shared" si="13"/>
        <v>0</v>
      </c>
      <c r="AA24" s="3">
        <f t="shared" si="14"/>
        <v>0</v>
      </c>
      <c r="AB24" s="3">
        <f t="shared" si="6"/>
        <v>2.6064129668780831</v>
      </c>
      <c r="AC24" s="41">
        <f>INDEX(C24:AA24, 1, MATCH(AB24, W24:AA24, 0))</f>
        <v>66</v>
      </c>
      <c r="AD24" s="41" t="str">
        <f t="shared" si="9"/>
        <v>5</v>
      </c>
      <c r="AE24" s="3">
        <f>IF(C24&gt;0,((I24*((3*43)+C24))/(4*C24*43))*(1-(C24-I24)/(569-43)),0)</f>
        <v>0</v>
      </c>
      <c r="AF24" s="3">
        <f>IF(D24&gt;0,((J24*((3*43)+D24))/(4*D24*43))*(1-(D24-J24)/(569-43)),0)</f>
        <v>3.7026159223746975E-2</v>
      </c>
      <c r="AG24" s="3">
        <f>IF(E24&gt;0,((K24*((3*43)+E24))/(4*E24*43))*(1-(E24-K24)/(569-43)),0)</f>
        <v>0.20080798479087453</v>
      </c>
      <c r="AH24" s="3">
        <f>IF(F24&gt;0,((L24*((3*43)+F24))/(4*F24*43))*(1-(F24-L24)/(569-43)),0)</f>
        <v>0</v>
      </c>
      <c r="AI24" s="3">
        <f>IF(G24&gt;0,((M24*((3*43)+G24))/(4*G24*43))*(1-(G24-M24)/(569-43)),0)</f>
        <v>0</v>
      </c>
    </row>
    <row r="25" spans="1:71" x14ac:dyDescent="0.3">
      <c r="A25" s="31" t="s">
        <v>32</v>
      </c>
      <c r="B25" t="s">
        <v>29</v>
      </c>
      <c r="C25">
        <v>566</v>
      </c>
      <c r="D25">
        <v>353</v>
      </c>
      <c r="E25">
        <v>21</v>
      </c>
      <c r="F25">
        <v>0</v>
      </c>
      <c r="G25">
        <v>0</v>
      </c>
      <c r="I25">
        <v>43</v>
      </c>
      <c r="J25">
        <v>31</v>
      </c>
      <c r="K25">
        <v>0</v>
      </c>
      <c r="L25">
        <v>0</v>
      </c>
      <c r="M25">
        <v>0</v>
      </c>
      <c r="O25" s="2">
        <f t="shared" si="0"/>
        <v>7.5971731448763249E-2</v>
      </c>
      <c r="P25" s="2">
        <f t="shared" si="1"/>
        <v>8.7818696883852687E-2</v>
      </c>
      <c r="Q25" s="2">
        <f t="shared" si="2"/>
        <v>0</v>
      </c>
      <c r="R25" s="2">
        <f t="shared" si="3"/>
        <v>0</v>
      </c>
      <c r="S25" s="2">
        <f t="shared" si="4"/>
        <v>0</v>
      </c>
      <c r="T25" s="2"/>
      <c r="U25" s="2">
        <f>43/569</f>
        <v>7.5571177504393669E-2</v>
      </c>
      <c r="V25" s="2"/>
      <c r="W25" s="3">
        <f t="shared" si="15"/>
        <v>1.0053003533568905</v>
      </c>
      <c r="X25" s="3">
        <f t="shared" si="16"/>
        <v>1.1620660122537716</v>
      </c>
      <c r="Y25" s="3">
        <f t="shared" si="17"/>
        <v>0</v>
      </c>
      <c r="Z25" s="3">
        <f t="shared" si="13"/>
        <v>0</v>
      </c>
      <c r="AA25" s="3">
        <f t="shared" si="14"/>
        <v>0</v>
      </c>
      <c r="AB25" s="3">
        <f t="shared" si="6"/>
        <v>1.1620660122537716</v>
      </c>
      <c r="AC25" s="41">
        <f>INDEX(C25:AA25, 1, MATCH(AB25, W25:AA25, 0))</f>
        <v>353</v>
      </c>
      <c r="AD25" s="41" t="str">
        <f t="shared" si="9"/>
        <v>4</v>
      </c>
      <c r="AE25" s="3">
        <f>IF(C25&gt;0,((I25*((3*43)+C25))/(4*C25*43))*(1-(C25-I25)/(569-43)),0)</f>
        <v>1.750829649733301E-3</v>
      </c>
      <c r="AF25" s="3">
        <f>IF(D25&gt;0,((J25*((3*43)+D25))/(4*D25*43))*(1-(D25-J25)/(569-43)),0)</f>
        <v>9.5444301299799583E-2</v>
      </c>
      <c r="AG25" s="3">
        <f>IF(E25&gt;0,((K25*((3*43)+E25))/(4*E25*43))*(1-(E25-K25)/(569-43)),0)</f>
        <v>0</v>
      </c>
      <c r="AH25" s="3">
        <f>IF(F25&gt;0,((L25*((3*43)+F25))/(4*F25*43))*(1-(F25-L25)/(569-43)),0)</f>
        <v>0</v>
      </c>
      <c r="AI25" s="3">
        <f>IF(G25&gt;0,((M25*((3*43)+G25))/(4*G25*43))*(1-(G25-M25)/(569-43)),0)</f>
        <v>0</v>
      </c>
      <c r="BE25" t="s">
        <v>27</v>
      </c>
      <c r="BI25" t="s">
        <v>28</v>
      </c>
      <c r="BM25" t="s">
        <v>29</v>
      </c>
      <c r="BQ25" t="s">
        <v>30</v>
      </c>
    </row>
    <row r="26" spans="1:71" s="1" customFormat="1" x14ac:dyDescent="0.3">
      <c r="A26" s="31" t="s">
        <v>32</v>
      </c>
      <c r="B26" s="1" t="s">
        <v>30</v>
      </c>
      <c r="C26" s="1">
        <v>17</v>
      </c>
      <c r="D26" s="1">
        <v>3</v>
      </c>
      <c r="E26" s="1">
        <v>0</v>
      </c>
      <c r="F26" s="1">
        <v>0</v>
      </c>
      <c r="G26" s="1">
        <v>0</v>
      </c>
      <c r="I26" s="1">
        <v>1</v>
      </c>
      <c r="J26" s="1">
        <v>0</v>
      </c>
      <c r="K26" s="1">
        <v>0</v>
      </c>
      <c r="L26" s="1">
        <v>0</v>
      </c>
      <c r="M26" s="1">
        <v>0</v>
      </c>
      <c r="O26" s="9">
        <f t="shared" si="0"/>
        <v>5.8823529411764705E-2</v>
      </c>
      <c r="P26" s="9">
        <f t="shared" si="1"/>
        <v>0</v>
      </c>
      <c r="Q26" s="9">
        <f t="shared" si="2"/>
        <v>0</v>
      </c>
      <c r="R26" s="9">
        <f t="shared" si="3"/>
        <v>0</v>
      </c>
      <c r="S26" s="9">
        <f t="shared" si="4"/>
        <v>0</v>
      </c>
      <c r="T26" s="9"/>
      <c r="U26" s="9">
        <f>43/569</f>
        <v>7.5571177504393669E-2</v>
      </c>
      <c r="V26" s="9"/>
      <c r="W26" s="10">
        <f t="shared" si="15"/>
        <v>0.77838577291381672</v>
      </c>
      <c r="X26" s="10">
        <f t="shared" si="16"/>
        <v>0</v>
      </c>
      <c r="Y26" s="10">
        <f t="shared" si="17"/>
        <v>0</v>
      </c>
      <c r="Z26" s="10">
        <f t="shared" si="13"/>
        <v>0</v>
      </c>
      <c r="AA26" s="10">
        <f t="shared" si="14"/>
        <v>0</v>
      </c>
      <c r="AB26" s="10">
        <f t="shared" si="6"/>
        <v>0.77838577291381672</v>
      </c>
      <c r="AC26" s="42">
        <f>INDEX(C26:AA26, 1, MATCH(AB26, W26:AA26, 0))</f>
        <v>17</v>
      </c>
      <c r="AD26" s="42" t="str">
        <f t="shared" si="9"/>
        <v>3</v>
      </c>
      <c r="AE26" s="10">
        <f>IF(C26&gt;0,((I26*((3*43)+C26))/(4*C26*43))*(1-(C26-I26)/(569-43)),0)</f>
        <v>4.8412768591387385E-2</v>
      </c>
      <c r="AF26" s="10">
        <f>IF(D26&gt;0,((J26*((3*43)+D26))/(4*D26*43))*(1-(D26-J26)/(569-43)),0)</f>
        <v>0</v>
      </c>
      <c r="AG26" s="10">
        <f>IF(E26&gt;0,((K26*((3*43)+E26))/(4*E26*43))*(1-(E26-K26)/(569-43)),0)</f>
        <v>0</v>
      </c>
      <c r="AH26" s="10">
        <f>IF(F26&gt;0,((L26*((3*43)+F26))/(4*F26*43))*(1-(F26-L26)/(569-43)),0)</f>
        <v>0</v>
      </c>
      <c r="AI26" s="10">
        <f>IF(G26&gt;0,((M26*((3*43)+G26))/(4*G26*43))*(1-(G26-M26)/(569-43)),0)</f>
        <v>0</v>
      </c>
      <c r="AR26" s="1" t="s">
        <v>36</v>
      </c>
      <c r="AY26" s="1" t="s">
        <v>41</v>
      </c>
      <c r="BA26" s="1" t="s">
        <v>48</v>
      </c>
      <c r="BB26" s="1" t="s">
        <v>44</v>
      </c>
      <c r="BE26" s="1" t="s">
        <v>41</v>
      </c>
      <c r="BG26" s="1" t="s">
        <v>48</v>
      </c>
      <c r="BI26" s="1" t="s">
        <v>41</v>
      </c>
      <c r="BK26" s="1" t="s">
        <v>48</v>
      </c>
      <c r="BM26" s="1" t="s">
        <v>41</v>
      </c>
      <c r="BO26" s="1" t="s">
        <v>48</v>
      </c>
      <c r="BQ26" s="1" t="s">
        <v>41</v>
      </c>
      <c r="BS26" s="1" t="s">
        <v>48</v>
      </c>
    </row>
    <row r="27" spans="1:71" x14ac:dyDescent="0.3">
      <c r="A27" s="31" t="s">
        <v>33</v>
      </c>
      <c r="B27" t="s">
        <v>27</v>
      </c>
      <c r="C27">
        <v>567</v>
      </c>
      <c r="D27">
        <v>549</v>
      </c>
      <c r="E27">
        <v>375</v>
      </c>
      <c r="F27">
        <v>45</v>
      </c>
      <c r="G27">
        <v>0</v>
      </c>
      <c r="I27">
        <v>51</v>
      </c>
      <c r="J27">
        <v>48</v>
      </c>
      <c r="K27">
        <v>30</v>
      </c>
      <c r="L27">
        <v>3</v>
      </c>
      <c r="M27">
        <v>0</v>
      </c>
      <c r="O27" s="2">
        <f t="shared" si="0"/>
        <v>8.9947089947089942E-2</v>
      </c>
      <c r="P27" s="2">
        <f t="shared" si="1"/>
        <v>8.7431693989071038E-2</v>
      </c>
      <c r="Q27" s="2">
        <f t="shared" si="2"/>
        <v>0.08</v>
      </c>
      <c r="R27" s="2">
        <f t="shared" si="3"/>
        <v>6.6666666666666666E-2</v>
      </c>
      <c r="S27" s="2">
        <f t="shared" si="4"/>
        <v>0</v>
      </c>
      <c r="T27" s="2"/>
      <c r="U27" s="2">
        <f>51/569</f>
        <v>8.9630931458699478E-2</v>
      </c>
      <c r="V27" s="2"/>
      <c r="W27" s="3">
        <f t="shared" si="15"/>
        <v>1.0035273368606701</v>
      </c>
      <c r="X27" s="3">
        <f t="shared" si="16"/>
        <v>0.97546340940747878</v>
      </c>
      <c r="Y27" s="3">
        <f t="shared" si="17"/>
        <v>0.89254901960784305</v>
      </c>
      <c r="Z27" s="3">
        <f t="shared" si="13"/>
        <v>0.74379084967320253</v>
      </c>
      <c r="AA27" s="3">
        <f t="shared" si="14"/>
        <v>0</v>
      </c>
      <c r="AB27" s="3">
        <f t="shared" si="6"/>
        <v>1.0035273368606701</v>
      </c>
      <c r="AC27" s="41">
        <f>INDEX(C27:AA27, 1, MATCH(AB27, W27:AA27, 0))</f>
        <v>567</v>
      </c>
      <c r="AD27" s="41" t="str">
        <f t="shared" si="9"/>
        <v>3</v>
      </c>
      <c r="AE27" s="3">
        <f>IF(C27&gt;0,((I27*((3*51)+C27))/(4*C27*51))*(1-(C27-I27)/(569-51)),0)</f>
        <v>1.2257155114297946E-3</v>
      </c>
      <c r="AF27" s="3">
        <f>IF(D27&gt;0,((J27*((3*51)+D27))/(4*D27*51))*(1-(D27-J27)/(569-51)),0)</f>
        <v>9.8740426609279213E-3</v>
      </c>
      <c r="AG27" s="3">
        <f>IF(E27&gt;0,((K27*((3*51)+E27))/(4*E27*51))*(1-(E27-K27)/(569-51)),0)</f>
        <v>6.915285032932092E-2</v>
      </c>
      <c r="AH27" s="3">
        <f>IF(F27&gt;0,((L27*((3*51)+F27))/(4*F27*51))*(1-(F27-L27)/(569-51)),0)</f>
        <v>5.9459459459459463E-2</v>
      </c>
      <c r="AI27" s="3">
        <f>IF(G27&gt;0,((M27*((3*51)+G27))/(4*G27*51))*(1-(G27-M27)/(569-51)),0)</f>
        <v>0</v>
      </c>
      <c r="AR27" s="17" t="s">
        <v>27</v>
      </c>
      <c r="AS27" s="24">
        <f>COUNTIF(W3, "&gt;1") + COUNTIF(W7, "&gt;1") + COUNTIF(W11, "&gt;1") + COUNTIF(W15, "&gt;1") + COUNTIF(W19, "&gt;1") + COUNTIF(W23, "&gt;1") + COUNTIF(W27, "&gt;1") + COUNTIF(W31, "&gt;1")</f>
        <v>7</v>
      </c>
      <c r="AT27" s="24">
        <f>COUNTIF(X3, "&gt;1") + COUNTIF(X7, "&gt;1") + COUNTIF(X11, "&gt;1") + COUNTIF(X15, "&gt;1") + COUNTIF(X19, "&gt;1") + COUNTIF(X23, "&gt;1") + COUNTIF(X27, "&gt;1") + COUNTIF(X31, "&gt;1")</f>
        <v>4</v>
      </c>
      <c r="AU27" s="7">
        <f>COUNTIF(Y3, "&gt;1") + COUNTIF(Y7, "&gt;1") + COUNTIF(Y11, "&gt;1") + COUNTIF(Y15, "&gt;1") + COUNTIF(Y19, "&gt;1") + COUNTIF(Y23, "&gt;1") + COUNTIF(Y27, "&gt;1") + COUNTIF(Y31, "&gt;1")</f>
        <v>5</v>
      </c>
      <c r="AV27" s="7">
        <f>COUNTIF(Z3, "&gt;1") + COUNTIF(Z7, "&gt;1") + COUNTIF(Z11, "&gt;1") + COUNTIF(Z15, "&gt;1") + COUNTIF(Z19, "&gt;1") + COUNTIF(Z23, "&gt;1") + COUNTIF(Z27, "&gt;1") + COUNTIF(Z31, "&gt;1")</f>
        <v>1</v>
      </c>
      <c r="AW27" s="18">
        <f>COUNTIF(AA3, "&gt;1") + COUNTIF(AA7, "&gt;1") + COUNTIF(AA11, "&gt;1") + COUNTIF(AA15, "&gt;1") + COUNTIF(AA19, "&gt;1") + COUNTIF(AA23, "&gt;1") + COUNTIF(AA27, "&gt;1") + COUNTIF(AA31, "&gt;1")</f>
        <v>0</v>
      </c>
      <c r="AX27" s="4"/>
      <c r="AY27" t="s">
        <v>26</v>
      </c>
      <c r="AZ27" s="5">
        <f>MAX(W3:AA6)</f>
        <v>2.9179487179487178</v>
      </c>
      <c r="BA27" s="5">
        <f>_xlfn.IFNA(VLOOKUP(AZ27, W3:AI6,8,0), _xlfn.IFNA(VLOOKUP(AZ27, X3:AI6,8,0), _xlfn.IFNA(VLOOKUP(AZ27, Y3:AI6,8,0), _xlfn.IFNA(VLOOKUP(AZ27, Z3:AI6,8,0), VLOOKUP(AZ27, AA3:AI6,8,0)))))</f>
        <v>4.3977665852665854E-2</v>
      </c>
      <c r="BB27" t="s">
        <v>26</v>
      </c>
      <c r="BC27" s="5">
        <f>MAX(AE3:AI6)</f>
        <v>0.25283882783882783</v>
      </c>
      <c r="BE27" t="s">
        <v>26</v>
      </c>
      <c r="BF27" s="4">
        <f>MAX($W3:$AA3)</f>
        <v>1.0750337381916328</v>
      </c>
      <c r="BG27" s="5">
        <f>_xlfn.IFNA(VLOOKUP($BF27, $W3:$AI3,8,0), _xlfn.IFNA(VLOOKUP($BF27, $X3:$AI3,8,0), _xlfn.IFNA(VLOOKUP($BF27, $Y3:$AI3,8,0), _xlfn.IFNA(VLOOKUP($BF27, $Z3:$AI3,8,0), VLOOKUP($BF27, $AA3:$AI3,8,0)))))</f>
        <v>0.10862242810381108</v>
      </c>
      <c r="BI27" t="s">
        <v>26</v>
      </c>
      <c r="BJ27" s="4">
        <f>MAX($W4:$AA4)</f>
        <v>1.4006153846153848</v>
      </c>
      <c r="BK27" s="5">
        <f>_xlfn.IFNA(VLOOKUP($BJ27, $W4:$AI4,8,0), _xlfn.IFNA(VLOOKUP($BJ27, $X4:$AI4,8,0), _xlfn.IFNA(VLOOKUP($BJ27, $Y4:$AI4,8,0), _xlfn.IFNA(VLOOKUP($BJ27, $Z4:$AI4,8,0), VLOOKUP($BJ27, $AA4:$AI4,8,0)))))</f>
        <v>0.14312602291325696</v>
      </c>
      <c r="BM27" t="s">
        <v>26</v>
      </c>
      <c r="BN27" s="4">
        <f>MAX($W5:$AA5)</f>
        <v>1.0874343048256092</v>
      </c>
      <c r="BO27" s="5">
        <f>_xlfn.IFNA(VLOOKUP($BN27, $W5:$AI5,8,0), _xlfn.IFNA(VLOOKUP($BN27, $X5:$AI5,8,0), _xlfn.IFNA(VLOOKUP($BN27, $Y5:$AI5,8,0), _xlfn.IFNA(VLOOKUP($BN27, $Z5:$AI5,8,0), VLOOKUP($BN27, $AA5:$AI5,8,0)))))</f>
        <v>1.1411425983436849E-2</v>
      </c>
      <c r="BQ27" t="s">
        <v>26</v>
      </c>
      <c r="BR27" s="4">
        <f>MAX($W6:$AA6)</f>
        <v>2.9179487179487178</v>
      </c>
      <c r="BS27" s="5">
        <f>_xlfn.IFNA(VLOOKUP($BR27, $W6:$AI6,8,0), _xlfn.IFNA(VLOOKUP($BR27, $X6:$AI6,8,0), _xlfn.IFNA(VLOOKUP($BR27, $Y6:$AI6,8,0), _xlfn.IFNA(VLOOKUP($BR27, $Z6:$AI6,8,0), VLOOKUP($BR27, $AA6:$AI6,8,0)))))</f>
        <v>4.3977665852665854E-2</v>
      </c>
    </row>
    <row r="28" spans="1:71" x14ac:dyDescent="0.3">
      <c r="A28" s="31" t="s">
        <v>33</v>
      </c>
      <c r="B28" t="s">
        <v>28</v>
      </c>
      <c r="C28">
        <v>569</v>
      </c>
      <c r="D28">
        <v>552</v>
      </c>
      <c r="E28">
        <v>317</v>
      </c>
      <c r="F28">
        <v>37</v>
      </c>
      <c r="G28">
        <v>0</v>
      </c>
      <c r="I28">
        <v>51</v>
      </c>
      <c r="J28">
        <v>47</v>
      </c>
      <c r="K28">
        <v>24</v>
      </c>
      <c r="L28">
        <v>0</v>
      </c>
      <c r="M28">
        <v>0</v>
      </c>
      <c r="O28" s="2">
        <f t="shared" si="0"/>
        <v>8.9630931458699478E-2</v>
      </c>
      <c r="P28" s="2">
        <f t="shared" si="1"/>
        <v>8.5144927536231887E-2</v>
      </c>
      <c r="Q28" s="2">
        <f t="shared" si="2"/>
        <v>7.5709779179810727E-2</v>
      </c>
      <c r="R28" s="2">
        <f t="shared" si="3"/>
        <v>0</v>
      </c>
      <c r="S28" s="2">
        <f t="shared" si="4"/>
        <v>0</v>
      </c>
      <c r="T28" s="2"/>
      <c r="U28" s="2">
        <f>51/569</f>
        <v>8.9630931458699478E-2</v>
      </c>
      <c r="V28" s="2"/>
      <c r="W28" s="3">
        <f t="shared" si="15"/>
        <v>1</v>
      </c>
      <c r="X28" s="3">
        <f t="shared" si="16"/>
        <v>0.94995026996305765</v>
      </c>
      <c r="Y28" s="3">
        <f t="shared" si="17"/>
        <v>0.84468361477082943</v>
      </c>
      <c r="Z28" s="3">
        <f t="shared" si="13"/>
        <v>0</v>
      </c>
      <c r="AA28" s="3">
        <f t="shared" si="14"/>
        <v>0</v>
      </c>
      <c r="AB28" s="3">
        <f t="shared" si="6"/>
        <v>1</v>
      </c>
      <c r="AC28" s="41">
        <f>INDEX(C28:AA28, 1, MATCH(AB28, W28:AA28, 0))</f>
        <v>569</v>
      </c>
      <c r="AD28" s="41" t="str">
        <f t="shared" si="9"/>
        <v>3</v>
      </c>
      <c r="AE28" s="3">
        <f>IF(C28&gt;0,((I28*((3*51)+C28))/(4*C28*51))*(1-(C28-I28)/(569-51)),0)</f>
        <v>0</v>
      </c>
      <c r="AF28" s="3">
        <f>IF(D28&gt;0,((J28*((3*51)+D28))/(4*D28*51))*(1-(D28-J28)/(569-51)),0)</f>
        <v>7.3846739048145545E-3</v>
      </c>
      <c r="AG28" s="3">
        <f>IF(E28&gt;0,((K28*((3*51)+E28))/(4*E28*51))*(1-(E28-K28)/(569-51)),0)</f>
        <v>7.5765663073141282E-2</v>
      </c>
      <c r="AH28" s="3">
        <f>IF(F28&gt;0,((L28*((3*51)+F28))/(4*F28*51))*(1-(F28-L28)/(569-51)),0)</f>
        <v>0</v>
      </c>
      <c r="AI28" s="3">
        <f>IF(G28&gt;0,((M28*((3*51)+G28))/(4*G28*51))*(1-(G28-M28)/(569-51)),0)</f>
        <v>0</v>
      </c>
      <c r="AR28" s="21" t="s">
        <v>28</v>
      </c>
      <c r="AS28" s="25">
        <f>COUNTIF(W4, "&gt;1") + COUNTIF(W8, "&gt;1") + COUNTIF(W12, "&gt;1") + COUNTIF(W16, "&gt;1") + COUNTIF(W20, "&gt;1") + COUNTIF(W24, "&gt;1") + COUNTIF(W28, "&gt;1") + COUNTIF(W32, "&gt;1")</f>
        <v>5</v>
      </c>
      <c r="AT28" s="25">
        <f>COUNTIF(X4, "&gt;1") + COUNTIF(X8, "&gt;1") + COUNTIF(X12, "&gt;1") + COUNTIF(X16, "&gt;1") + COUNTIF(X20, "&gt;1") + COUNTIF(X24, "&gt;1") + COUNTIF(X28, "&gt;1") + COUNTIF(X32, "&gt;1")</f>
        <v>3</v>
      </c>
      <c r="AU28" s="4">
        <f>COUNTIF(Y4, "&gt;1") + COUNTIF(Y8, "&gt;1") + COUNTIF(Y12, "&gt;1") + COUNTIF(Y16, "&gt;1") + COUNTIF(Y20, "&gt;1") + COUNTIF(Y24, "&gt;1") + COUNTIF(Y28, "&gt;1") + COUNTIF(Y32, "&gt;1")</f>
        <v>6</v>
      </c>
      <c r="AV28" s="4">
        <f>COUNTIF(Z4, "&gt;1") + COUNTIF(Z8, "&gt;1") + COUNTIF(Z12, "&gt;1") + COUNTIF(Z16, "&gt;1") + COUNTIF(Z20, "&gt;1") + COUNTIF(Z24, "&gt;1") + COUNTIF(Z28, "&gt;1") + COUNTIF(Z32, "&gt;1")</f>
        <v>1</v>
      </c>
      <c r="AW28" s="22">
        <f>COUNTIF(AA4, "&gt;1") + COUNTIF(AA8, "&gt;1") + COUNTIF(AA12, "&gt;1") + COUNTIF(AA16, "&gt;1") + COUNTIF(AA20, "&gt;1") + COUNTIF(AA24, "&gt;1") + COUNTIF(AA28, "&gt;1") + COUNTIF(AA32, "&gt;1")</f>
        <v>0</v>
      </c>
      <c r="AX28" s="4"/>
      <c r="AY28" t="s">
        <v>31</v>
      </c>
      <c r="AZ28" s="5">
        <f>MAX(W7:AA10)</f>
        <v>3.308139534883721</v>
      </c>
      <c r="BA28" s="5">
        <f>_xlfn.IFNA(VLOOKUP(AZ28, W7:AI10,8,0), _xlfn.IFNA(VLOOKUP(AZ28, X7:AI10,8,0), _xlfn.IFNA(VLOOKUP(AZ28, Y7:AI10,8,0), _xlfn.IFNA(VLOOKUP(AZ28, Z7:AI10,8,0), VLOOKUP(AZ28, AA7:AI10,8,0)))))</f>
        <v>0.21095318815089231</v>
      </c>
      <c r="BB28" t="s">
        <v>31</v>
      </c>
      <c r="BC28" s="5">
        <f>MAX(AE7:AI10)</f>
        <v>0.37712456064326638</v>
      </c>
      <c r="BE28" t="s">
        <v>31</v>
      </c>
      <c r="BF28" s="4">
        <f>MAX($W7:$AA7)</f>
        <v>1.2602436323366555</v>
      </c>
      <c r="BG28" s="5">
        <f>_xlfn.IFNA(VLOOKUP($BF28, $W7:$AI7,8,0), _xlfn.IFNA(VLOOKUP($BF28, $X7:$AI7,8,0), _xlfn.IFNA(VLOOKUP($BF28, $Y7:$AI7,8,0), _xlfn.IFNA(VLOOKUP($BF28, $Z7:$AI7,8,0), VLOOKUP($BF28, $AA7:$AI7,8,0)))))</f>
        <v>1.5456489271899135E-2</v>
      </c>
      <c r="BI28" t="s">
        <v>31</v>
      </c>
      <c r="BJ28" s="4">
        <f>MAX($W8:$AA8)</f>
        <v>3.308139534883721</v>
      </c>
      <c r="BK28" s="5">
        <f>_xlfn.IFNA(VLOOKUP($BJ28, $W8:$AI8,8,0), _xlfn.IFNA(VLOOKUP($BJ28, $X8:$AI8,8,0), _xlfn.IFNA(VLOOKUP($BJ28, $Y8:$AI8,8,0), _xlfn.IFNA(VLOOKUP($BJ28, $Z8:$AI8,8,0), VLOOKUP($BJ28, $AA8:$AI8,8,0)))))</f>
        <v>0.21095318815089231</v>
      </c>
      <c r="BM28" t="s">
        <v>31</v>
      </c>
      <c r="BN28" s="4">
        <f>MAX($W9:$AA9)</f>
        <v>1.355141496217428</v>
      </c>
      <c r="BO28" s="5">
        <f>_xlfn.IFNA(VLOOKUP($BN28, $W9:$AI9,8,0), _xlfn.IFNA(VLOOKUP($BN28, $X9:$AI9,8,0), _xlfn.IFNA(VLOOKUP($BN28, $Y9:$AI9,8,0), _xlfn.IFNA(VLOOKUP($BN28, $Z9:$AI9,8,0), VLOOKUP($BN28, $AA9:$AI9,8,0)))))</f>
        <v>5.6339069385886245E-2</v>
      </c>
      <c r="BQ28" t="s">
        <v>31</v>
      </c>
      <c r="BR28" s="4">
        <f>MAX($W10:$AA10)</f>
        <v>0.63012181616832774</v>
      </c>
      <c r="BS28" s="5" t="str">
        <f>_xlfn.IFNA(VLOOKUP($BR28, $W10:$AI10,8,0), _xlfn.IFNA(VLOOKUP($BR28, $X10:$AI10,8,0), _xlfn.IFNA(VLOOKUP($BR28, $Y10:$AI10,8,0), _xlfn.IFNA(VLOOKUP($BR28, $Z10:$AI10,8,0), VLOOKUP($BR28, $AA10:$AI10,8,0)))))</f>
        <v>3</v>
      </c>
    </row>
    <row r="29" spans="1:71" x14ac:dyDescent="0.3">
      <c r="A29" s="31" t="s">
        <v>33</v>
      </c>
      <c r="B29" t="s">
        <v>29</v>
      </c>
      <c r="C29">
        <v>567</v>
      </c>
      <c r="D29">
        <v>544</v>
      </c>
      <c r="E29">
        <v>217</v>
      </c>
      <c r="F29">
        <v>27</v>
      </c>
      <c r="G29">
        <v>3</v>
      </c>
      <c r="I29">
        <v>51</v>
      </c>
      <c r="J29">
        <v>47</v>
      </c>
      <c r="K29">
        <v>13</v>
      </c>
      <c r="L29">
        <v>0</v>
      </c>
      <c r="M29">
        <v>0</v>
      </c>
      <c r="O29" s="2">
        <f t="shared" si="0"/>
        <v>8.9947089947089942E-2</v>
      </c>
      <c r="P29" s="2">
        <f t="shared" si="1"/>
        <v>8.639705882352941E-2</v>
      </c>
      <c r="Q29" s="2">
        <f t="shared" si="2"/>
        <v>5.9907834101382486E-2</v>
      </c>
      <c r="R29" s="2">
        <f t="shared" si="3"/>
        <v>0</v>
      </c>
      <c r="S29" s="2">
        <f t="shared" si="4"/>
        <v>0</v>
      </c>
      <c r="T29" s="2"/>
      <c r="U29" s="2">
        <f>51/569</f>
        <v>8.9630931458699478E-2</v>
      </c>
      <c r="V29" s="2"/>
      <c r="W29" s="3">
        <f t="shared" si="15"/>
        <v>1.0035273368606701</v>
      </c>
      <c r="X29" s="3">
        <f t="shared" si="16"/>
        <v>0.96392012687427908</v>
      </c>
      <c r="Y29" s="3">
        <f t="shared" si="17"/>
        <v>0.66838348242522805</v>
      </c>
      <c r="Z29" s="3">
        <f t="shared" si="13"/>
        <v>0</v>
      </c>
      <c r="AA29" s="3">
        <f t="shared" si="14"/>
        <v>0</v>
      </c>
      <c r="AB29" s="3">
        <f t="shared" si="6"/>
        <v>1.0035273368606701</v>
      </c>
      <c r="AC29" s="41">
        <f>INDEX(C29:AA29, 1, MATCH(AB29, W29:AA29, 0))</f>
        <v>567</v>
      </c>
      <c r="AD29" s="41" t="str">
        <f t="shared" si="9"/>
        <v>3</v>
      </c>
      <c r="AE29" s="3">
        <f>IF(C29&gt;0,((I29*((3*51)+C29))/(4*C29*51))*(1-(C29-I29)/(569-51)),0)</f>
        <v>1.2257155114297946E-3</v>
      </c>
      <c r="AF29" s="3">
        <f>IF(D29&gt;0,((J29*((3*51)+D29))/(4*D29*51))*(1-(D29-J29)/(569-51)),0)</f>
        <v>1.1967160174880771E-2</v>
      </c>
      <c r="AG29" s="3">
        <f>IF(E29&gt;0,((K29*((3*51)+E29))/(4*E29*51))*(1-(E29-K29)/(569-51)),0)</f>
        <v>6.5865055699699235E-2</v>
      </c>
      <c r="AH29" s="3">
        <f>IF(F29&gt;0,((L29*((3*51)+F29))/(4*F29*51))*(1-(F29-L29)/(569-51)),0)</f>
        <v>0</v>
      </c>
      <c r="AI29" s="3">
        <f>IF(G29&gt;0,((M29*((3*51)+G29))/(4*G29*51))*(1-(G29-M29)/(569-51)),0)</f>
        <v>0</v>
      </c>
      <c r="AR29" s="21" t="s">
        <v>29</v>
      </c>
      <c r="AS29" s="25">
        <f>COUNTIF(W5, "&gt;1") + COUNTIF(W9, "&gt;1") + COUNTIF(W13, "&gt;1") + COUNTIF(W17, "&gt;1") + COUNTIF(W21, "&gt;1") + COUNTIF(W25, "&gt;1") + COUNTIF(W29, "&gt;1") + COUNTIF(W33, "&gt;1")</f>
        <v>7</v>
      </c>
      <c r="AT29" s="25">
        <f>COUNTIF(X5, "&gt;1") + COUNTIF(X9, "&gt;1") + COUNTIF(X13, "&gt;1") + COUNTIF(X17, "&gt;1") + COUNTIF(X21, "&gt;1") + COUNTIF(X25, "&gt;1") + COUNTIF(X29, "&gt;1") + COUNTIF(X33, "&gt;1")</f>
        <v>5</v>
      </c>
      <c r="AU29" s="4">
        <f>COUNTIF(Y5, "&gt;1") + COUNTIF(Y9, "&gt;1") + COUNTIF(Y13, "&gt;1") + COUNTIF(Y17, "&gt;1") + COUNTIF(Y21, "&gt;1") + COUNTIF(Y25, "&gt;1") + COUNTIF(Y29, "&gt;1") + COUNTIF(Y33, "&gt;1")</f>
        <v>3</v>
      </c>
      <c r="AV29" s="4">
        <f>COUNTIF(Z5, "&gt;1") + COUNTIF(Z9, "&gt;1") + COUNTIF(Z13, "&gt;1") + COUNTIF(Z17, "&gt;1") + COUNTIF(Z21, "&gt;1") + COUNTIF(Z25, "&gt;1") + COUNTIF(Z29, "&gt;1") + COUNTIF(Z33, "&gt;1")</f>
        <v>2</v>
      </c>
      <c r="AW29" s="22">
        <f>COUNTIF(AA5, "&gt;1") + COUNTIF(AA9, "&gt;1") + COUNTIF(AA13, "&gt;1") + COUNTIF(AA17, "&gt;1") + COUNTIF(AA21, "&gt;1") + COUNTIF(AA25, "&gt;1") + COUNTIF(AA29, "&gt;1") + COUNTIF(AA33, "&gt;1")</f>
        <v>0</v>
      </c>
      <c r="AX29" s="4"/>
      <c r="AY29" t="s">
        <v>32</v>
      </c>
      <c r="AZ29" s="5">
        <f>MAX(W11:AA14)</f>
        <v>1.7513679890560876</v>
      </c>
      <c r="BA29" s="5">
        <f>_xlfn.IFNA(VLOOKUP(AZ29, W11:AI14,8,0), _xlfn.IFNA(VLOOKUP(AZ29, X11:AI14,8,0), _xlfn.IFNA(VLOOKUP(AZ29, Y11:AI14,8,0), _xlfn.IFNA(VLOOKUP(AZ29, Z11:AI14,8,0), VLOOKUP(AZ29, AA11:AI14,8,0)))))</f>
        <v>0.11843585563649119</v>
      </c>
      <c r="BB29" t="s">
        <v>32</v>
      </c>
      <c r="BC29" s="5">
        <f>MAX(AE11:AI14)</f>
        <v>0.2130621712790273</v>
      </c>
      <c r="BE29" t="s">
        <v>32</v>
      </c>
      <c r="BF29" s="4">
        <f>MAX($W11:$AA11)</f>
        <v>1.4702842377260983</v>
      </c>
      <c r="BG29" s="5">
        <f>_xlfn.IFNA(VLOOKUP($BF29, $W11:$AI11,8,0), _xlfn.IFNA(VLOOKUP($BF29, $X11:$AI11,8,0), _xlfn.IFNA(VLOOKUP($BF29, $Y11:$AI11,8,0), _xlfn.IFNA(VLOOKUP($BF29, $Z11:$AI11,8,0), VLOOKUP($BF29, $AA11:$AI11,8,0)))))</f>
        <v>0.11548655104104333</v>
      </c>
      <c r="BI29" t="s">
        <v>32</v>
      </c>
      <c r="BJ29" s="4">
        <f>MAX($W12:$AA12)</f>
        <v>1.1027131782945736</v>
      </c>
      <c r="BK29" s="5">
        <f>_xlfn.IFNA(VLOOKUP($BJ29, $W12:$AI12,8,0), _xlfn.IFNA(VLOOKUP($BJ29, $X12:$AI12,8,0), _xlfn.IFNA(VLOOKUP($BJ29, $Y12:$AI12,8,0), _xlfn.IFNA(VLOOKUP($BJ29, $Z12:$AI12,8,0), VLOOKUP($BJ29, $AA12:$AI12,8,0)))))</f>
        <v>0.11633978356744573</v>
      </c>
      <c r="BM29" t="s">
        <v>32</v>
      </c>
      <c r="BN29" s="4">
        <f>MAX($W13:$AA13)</f>
        <v>1.7513679890560876</v>
      </c>
      <c r="BO29" s="5">
        <f>_xlfn.IFNA(VLOOKUP($BN29, $W13:$AI13,8,0), _xlfn.IFNA(VLOOKUP($BN29, $X13:$AI13,8,0), _xlfn.IFNA(VLOOKUP($BN29, $Y13:$AI13,8,0), _xlfn.IFNA(VLOOKUP($BN29, $Z13:$AI13,8,0), VLOOKUP($BN29, $AA13:$AI13,8,0)))))</f>
        <v>0.11843585563649119</v>
      </c>
      <c r="BQ29" t="s">
        <v>32</v>
      </c>
      <c r="BR29" s="4">
        <f>MAX($W14:$AA14)</f>
        <v>0.63012181616832774</v>
      </c>
      <c r="BS29" s="5" t="str">
        <f>_xlfn.IFNA(VLOOKUP($BR29, $W14:$AI14,8,0), _xlfn.IFNA(VLOOKUP($BR29, $X14:$AI14,8,0), _xlfn.IFNA(VLOOKUP($BR29, $Y14:$AI14,8,0), _xlfn.IFNA(VLOOKUP($BR29, $Z14:$AI14,8,0), VLOOKUP($BR29, $AA14:$AI14,8,0)))))</f>
        <v>3</v>
      </c>
    </row>
    <row r="30" spans="1:71" s="1" customFormat="1" x14ac:dyDescent="0.3">
      <c r="A30" s="31" t="s">
        <v>33</v>
      </c>
      <c r="B30" s="1" t="s">
        <v>30</v>
      </c>
      <c r="C30" s="1">
        <v>121</v>
      </c>
      <c r="D30" s="1">
        <v>4</v>
      </c>
      <c r="E30" s="1">
        <v>0</v>
      </c>
      <c r="F30" s="1">
        <v>0</v>
      </c>
      <c r="G30" s="1">
        <v>0</v>
      </c>
      <c r="I30" s="1">
        <v>3</v>
      </c>
      <c r="J30" s="1">
        <v>0</v>
      </c>
      <c r="K30" s="1">
        <v>0</v>
      </c>
      <c r="L30" s="1">
        <v>0</v>
      </c>
      <c r="M30" s="1">
        <v>0</v>
      </c>
      <c r="O30" s="9">
        <f t="shared" si="0"/>
        <v>2.4793388429752067E-2</v>
      </c>
      <c r="P30" s="9">
        <f t="shared" si="1"/>
        <v>0</v>
      </c>
      <c r="Q30" s="9">
        <f t="shared" si="2"/>
        <v>0</v>
      </c>
      <c r="R30" s="9">
        <f t="shared" si="3"/>
        <v>0</v>
      </c>
      <c r="S30" s="9">
        <f t="shared" si="4"/>
        <v>0</v>
      </c>
      <c r="T30" s="9"/>
      <c r="U30" s="9">
        <f>51/569</f>
        <v>8.9630931458699478E-2</v>
      </c>
      <c r="V30" s="9"/>
      <c r="W30" s="10">
        <f t="shared" si="15"/>
        <v>0.27661643169664557</v>
      </c>
      <c r="X30" s="10">
        <f t="shared" si="16"/>
        <v>0</v>
      </c>
      <c r="Y30" s="10">
        <f t="shared" si="17"/>
        <v>0</v>
      </c>
      <c r="Z30" s="10">
        <f t="shared" si="13"/>
        <v>0</v>
      </c>
      <c r="AA30" s="10">
        <f t="shared" si="14"/>
        <v>0</v>
      </c>
      <c r="AB30" s="10">
        <f t="shared" si="6"/>
        <v>0.27661643169664557</v>
      </c>
      <c r="AC30" s="42">
        <f>INDEX(C30:AA30, 1, MATCH(AB30, W30:AA30, 0))</f>
        <v>121</v>
      </c>
      <c r="AD30" s="42" t="str">
        <f t="shared" si="9"/>
        <v>3</v>
      </c>
      <c r="AE30" s="10">
        <f>IF(C30&gt;0,((I30*((3*51)+C30))/(4*C30*51))*(1-(C30-I30)/(569-51)),0)</f>
        <v>2.571499897703106E-2</v>
      </c>
      <c r="AF30" s="10">
        <f>IF(D30&gt;0,((J30*((3*51)+D30))/(4*D30*51))*(1-(D30-J30)/(569-51)),0)</f>
        <v>0</v>
      </c>
      <c r="AG30" s="10">
        <f>IF(E30&gt;0,((K30*((3*51)+E30))/(4*E30*51))*(1-(E30-K30)/(569-51)),0)</f>
        <v>0</v>
      </c>
      <c r="AH30" s="10">
        <f>IF(F30&gt;0,((L30*((3*51)+F30))/(4*F30*51))*(1-(F30-L30)/(569-51)),0)</f>
        <v>0</v>
      </c>
      <c r="AI30" s="10">
        <f>IF(G30&gt;0,((M30*((3*51)+G30))/(4*G30*51))*(1-(G30-M30)/(569-51)),0)</f>
        <v>0</v>
      </c>
      <c r="AR30" s="19" t="s">
        <v>30</v>
      </c>
      <c r="AS30" s="16">
        <f>COUNTIF(W6, "&gt;1") + COUNTIF(W10, "&gt;1") + COUNTIF(W14, "&gt;1") + COUNTIF(W18, "&gt;1") + COUNTIF(W22, "&gt;1") + COUNTIF(W26, "&gt;1") + COUNTIF(W30, "&gt;1") + COUNTIF(W34, "&gt;1")</f>
        <v>2</v>
      </c>
      <c r="AT30" s="16">
        <f>COUNTIF(X6, "&gt;1") + COUNTIF(X10, "&gt;1") + COUNTIF(X14, "&gt;1") + COUNTIF(X18, "&gt;1") + COUNTIF(X22, "&gt;1") + COUNTIF(X26, "&gt;1") + COUNTIF(X30, "&gt;1") + COUNTIF(X34, "&gt;1")</f>
        <v>0</v>
      </c>
      <c r="AU30" s="13">
        <f>COUNTIF(Y6, "&gt;1") + COUNTIF(Y10, "&gt;1") + COUNTIF(Y14, "&gt;1") + COUNTIF(Y18, "&gt;1") + COUNTIF(Y22, "&gt;1") + COUNTIF(Y26, "&gt;1") + COUNTIF(Y30, "&gt;1") + COUNTIF(Y34, "&gt;1")</f>
        <v>1</v>
      </c>
      <c r="AV30" s="13">
        <f>COUNTIF(Z6, "&gt;1") + COUNTIF(Z10, "&gt;1") + COUNTIF(Z14, "&gt;1") + COUNTIF(Z18, "&gt;1") + COUNTIF(Z22, "&gt;1") + COUNTIF(Z26, "&gt;1") + COUNTIF(Z30, "&gt;1") + COUNTIF(Z34, "&gt;1")</f>
        <v>0</v>
      </c>
      <c r="AW30" s="20">
        <f>COUNTIF(AA6, "&gt;1") + COUNTIF(AA10, "&gt;1") + COUNTIF(AA14, "&gt;1") + COUNTIF(AA18, "&gt;1") + COUNTIF(AA22, "&gt;1") + COUNTIF(AA26, "&gt;1") + COUNTIF(AA30, "&gt;1") + COUNTIF(AA34, "&gt;1")</f>
        <v>0</v>
      </c>
      <c r="AX30" s="13"/>
      <c r="AY30" s="1" t="s">
        <v>33</v>
      </c>
      <c r="AZ30" s="14">
        <f>MAX(W15:AA18)</f>
        <v>4.9051724137931032</v>
      </c>
      <c r="BA30" s="14" t="str">
        <f>_xlfn.IFNA(VLOOKUP(AZ30, W15:AI18,8,0), _xlfn.IFNA(VLOOKUP(AZ30, X15:AI18,8,0), _xlfn.IFNA(VLOOKUP(AZ30, Y15:AI18,8,0), _xlfn.IFNA(VLOOKUP(AZ30, Z15:AI18,8,0), VLOOKUP(AZ30, AA15:AI18,8,0)))))</f>
        <v>3</v>
      </c>
      <c r="BB30" s="1" t="s">
        <v>33</v>
      </c>
      <c r="BC30" s="14">
        <f>MAX(AE15:AI18)</f>
        <v>0.22419779693486591</v>
      </c>
      <c r="BE30" s="1" t="s">
        <v>33</v>
      </c>
      <c r="BF30" s="4">
        <f>MAX($W15:$AA15)</f>
        <v>1.2262931034482758</v>
      </c>
      <c r="BG30" s="14">
        <f>_xlfn.IFNA(VLOOKUP($BF30, $W15:$AI15,8,0), _xlfn.IFNA(VLOOKUP($BF30, $X15:$AI15,8,0), _xlfn.IFNA(VLOOKUP($BF30, $Y15:$AI15,8,0), _xlfn.IFNA(VLOOKUP($BF30, $Z15:$AI15,8,0), VLOOKUP($BF30, $AA15:$AI15,8,0)))))</f>
        <v>4.7479767769176638E-2</v>
      </c>
      <c r="BI30" s="1" t="s">
        <v>33</v>
      </c>
      <c r="BJ30" s="4">
        <f>MAX($W16:$AA16)</f>
        <v>1.7836990595611286</v>
      </c>
      <c r="BK30" s="5">
        <f>_xlfn.IFNA(VLOOKUP($BJ30, $W16:$AI16,8,0), _xlfn.IFNA(VLOOKUP($BJ30, $X16:$AI16,8,0), _xlfn.IFNA(VLOOKUP($BJ30, $Y16:$AI16,8,0), _xlfn.IFNA(VLOOKUP($BJ30, $Z16:$AI16,8,0), VLOOKUP($BJ30, $AA16:$AI16,8,0)))))</f>
        <v>6.6268607499528925E-2</v>
      </c>
      <c r="BM30" s="1" t="s">
        <v>33</v>
      </c>
      <c r="BN30" s="13">
        <f>MAX($W17:$AA17)</f>
        <v>0.91422568285749606</v>
      </c>
      <c r="BO30" s="14" t="str">
        <f>_xlfn.IFNA(VLOOKUP($BN30, $W17:$AI17,8,0), _xlfn.IFNA(VLOOKUP($BN30, $X17:$AI17,8,0), _xlfn.IFNA(VLOOKUP($BN30, $Y17:$AI17,8,0), _xlfn.IFNA(VLOOKUP($BN30, $Z17:$AI17,8,0), VLOOKUP($BN30, $AA17:$AI17,8,0)))))</f>
        <v>3</v>
      </c>
      <c r="BQ30" s="1" t="s">
        <v>33</v>
      </c>
      <c r="BR30" s="13">
        <f>MAX($W18:$AA18)</f>
        <v>4.9051724137931032</v>
      </c>
      <c r="BS30" s="14" t="str">
        <f>_xlfn.IFNA(VLOOKUP($BR30, $W18:$AI18,8,0), _xlfn.IFNA(VLOOKUP($BR30, $X18:$AI18,8,0), _xlfn.IFNA(VLOOKUP($BR30, $Y18:$AI18,8,0), _xlfn.IFNA(VLOOKUP($BR30, $Z18:$AI18,8,0), VLOOKUP($BR30, $AA18:$AI18,8,0)))))</f>
        <v>3</v>
      </c>
    </row>
    <row r="31" spans="1:71" x14ac:dyDescent="0.3">
      <c r="A31" s="31" t="s">
        <v>34</v>
      </c>
      <c r="B31" t="s">
        <v>27</v>
      </c>
      <c r="C31">
        <v>568</v>
      </c>
      <c r="D31">
        <v>540</v>
      </c>
      <c r="E31">
        <v>203</v>
      </c>
      <c r="F31">
        <v>16</v>
      </c>
      <c r="G31">
        <v>0</v>
      </c>
      <c r="I31">
        <v>69</v>
      </c>
      <c r="J31">
        <v>65</v>
      </c>
      <c r="K31">
        <v>34</v>
      </c>
      <c r="L31">
        <v>1</v>
      </c>
      <c r="M31">
        <v>0</v>
      </c>
      <c r="O31" s="2">
        <f t="shared" si="0"/>
        <v>0.12147887323943662</v>
      </c>
      <c r="P31" s="2">
        <f t="shared" si="1"/>
        <v>0.12037037037037036</v>
      </c>
      <c r="Q31" s="2">
        <f t="shared" si="2"/>
        <v>0.16748768472906403</v>
      </c>
      <c r="R31" s="2">
        <f t="shared" si="3"/>
        <v>6.25E-2</v>
      </c>
      <c r="S31" s="2">
        <f t="shared" si="4"/>
        <v>0</v>
      </c>
      <c r="T31" s="2"/>
      <c r="U31" s="2">
        <f>69/569</f>
        <v>0.12126537785588752</v>
      </c>
      <c r="V31" s="2"/>
      <c r="W31" s="3">
        <f t="shared" si="15"/>
        <v>1.0017605633802817</v>
      </c>
      <c r="X31" s="3">
        <f t="shared" si="16"/>
        <v>0.99261943102522809</v>
      </c>
      <c r="Y31" s="3">
        <f t="shared" si="17"/>
        <v>1.3811665595773541</v>
      </c>
      <c r="Z31" s="3">
        <f t="shared" si="13"/>
        <v>0.51539855072463769</v>
      </c>
      <c r="AA31" s="3">
        <f t="shared" si="14"/>
        <v>0</v>
      </c>
      <c r="AB31" s="3">
        <f t="shared" si="6"/>
        <v>1.3811665595773541</v>
      </c>
      <c r="AC31" s="41">
        <f>INDEX(C31:AA31, 1, MATCH(AB31, W31:AA31, 0))</f>
        <v>203</v>
      </c>
      <c r="AD31" s="41" t="str">
        <f t="shared" si="9"/>
        <v>5</v>
      </c>
      <c r="AE31" s="3">
        <f>IF(C31&gt;0,((I31*((3*69)+C31))/(4*C31*69))*(1-(C31-I31)/(569-69)),0)</f>
        <v>6.8221830985915554E-4</v>
      </c>
      <c r="AF31" s="3">
        <f>IF(D31&gt;0,((J31*((3*69)+D31))/(4*D31*69))*(1-(D31-J31)/(569-69)),0)</f>
        <v>1.6289251207729484E-2</v>
      </c>
      <c r="AG31" s="3">
        <f>IF(E31&gt;0,((K31*((3*69)+E31))/(4*E31*69))*(1-(E31-K31)/(569-69)),0)</f>
        <v>0.16470836010566145</v>
      </c>
      <c r="AH31" s="3">
        <f>IF(F31&gt;0,((L31*((3*69)+F31))/(4*F31*69))*(1-(F31-L31)/(569-69)),0)</f>
        <v>4.8983242753623188E-2</v>
      </c>
      <c r="AI31" s="3">
        <f>IF(G31&gt;0,((M31*((3*69)+G31))/(4*G31*69))*(1-(G31-M31)/(569-69)),0)</f>
        <v>0</v>
      </c>
      <c r="AY31" t="s">
        <v>34</v>
      </c>
      <c r="AZ31" s="5">
        <f>MAX(W19:AA22)</f>
        <v>4.3545918367346941</v>
      </c>
      <c r="BA31" s="5" t="str">
        <f>_xlfn.IFNA(VLOOKUP(AZ31, W19:AI22,8,0), _xlfn.IFNA(VLOOKUP(AZ31, X19:AI22,8,0), _xlfn.IFNA(VLOOKUP(AZ31, Y19:AI22,8,0), _xlfn.IFNA(VLOOKUP(AZ31, Z19:AI22,8,0), VLOOKUP(AZ31, AA19:AI22,8,0)))))</f>
        <v>3</v>
      </c>
      <c r="BB31" t="s">
        <v>34</v>
      </c>
      <c r="BC31" s="5">
        <f>MAX(AE19:AI22)</f>
        <v>0.25830863071485577</v>
      </c>
      <c r="BE31" t="s">
        <v>34</v>
      </c>
      <c r="BF31" s="4">
        <f>MAX($W19:$AA19)</f>
        <v>1.0017605633802817</v>
      </c>
      <c r="BG31" s="5" t="str">
        <f>_xlfn.IFNA(VLOOKUP($BF31, $W19:$AI19,8,0), _xlfn.IFNA(VLOOKUP($BF31, $X19:$AI19,8,0), _xlfn.IFNA(VLOOKUP($BF31, $Y19:$AI19,8,0), _xlfn.IFNA(VLOOKUP($BF31, $Z19:$AI19,8,0), VLOOKUP($BF31, $AA19:$AI19,8,0)))))</f>
        <v>3</v>
      </c>
      <c r="BI31" t="s">
        <v>34</v>
      </c>
      <c r="BJ31" s="4">
        <f>MAX($W20:$AA20)</f>
        <v>2.5401785714285716</v>
      </c>
      <c r="BK31" s="5">
        <f>_xlfn.IFNA(VLOOKUP($BJ31, $W20:$AI20,8,0), _xlfn.IFNA(VLOOKUP($BJ31, $X20:$AI20,8,0), _xlfn.IFNA(VLOOKUP($BJ31, $Y20:$AI20,8,0), _xlfn.IFNA(VLOOKUP($BJ31, $Z20:$AI20,8,0), VLOOKUP($BJ31, $AA20:$AI20,8,0)))))</f>
        <v>6.6537765115934136E-2</v>
      </c>
      <c r="BM31" t="s">
        <v>34</v>
      </c>
      <c r="BN31" s="4">
        <f>MAX($W21:$AA21)</f>
        <v>1.0053003533568905</v>
      </c>
      <c r="BO31" s="5" t="str">
        <f>_xlfn.IFNA(VLOOKUP($BN31, $W21:$AI21,8,0), _xlfn.IFNA(VLOOKUP($BN31, $X21:$AI21,8,0), _xlfn.IFNA(VLOOKUP($BN31, $Y21:$AI21,8,0), _xlfn.IFNA(VLOOKUP($BN31, $Z21:$AI21,8,0), VLOOKUP($BN31, $AA21:$AI21,8,0)))))</f>
        <v>3</v>
      </c>
      <c r="BQ31" t="s">
        <v>34</v>
      </c>
      <c r="BR31" s="4">
        <f>MAX($W22:$AA22)</f>
        <v>4.3545918367346941</v>
      </c>
      <c r="BS31" s="5" t="str">
        <f>_xlfn.IFNA(VLOOKUP($BR31, $W22:$AI22,8,0), _xlfn.IFNA(VLOOKUP($BR31, $X22:$AI22,8,0), _xlfn.IFNA(VLOOKUP($BR31, $Y22:$AI22,8,0), _xlfn.IFNA(VLOOKUP($BR31, $Z22:$AI22,8,0), VLOOKUP($BR31, $AA22:$AI22,8,0)))))</f>
        <v>3</v>
      </c>
    </row>
    <row r="32" spans="1:71" x14ac:dyDescent="0.3">
      <c r="A32" s="31" t="s">
        <v>34</v>
      </c>
      <c r="B32" t="s">
        <v>28</v>
      </c>
      <c r="C32">
        <v>566</v>
      </c>
      <c r="D32">
        <v>286</v>
      </c>
      <c r="E32">
        <v>12</v>
      </c>
      <c r="F32">
        <v>0</v>
      </c>
      <c r="G32">
        <v>0</v>
      </c>
      <c r="I32">
        <v>67</v>
      </c>
      <c r="J32">
        <v>19</v>
      </c>
      <c r="K32">
        <v>0</v>
      </c>
      <c r="L32">
        <v>0</v>
      </c>
      <c r="M32">
        <v>0</v>
      </c>
      <c r="O32" s="2">
        <f t="shared" si="0"/>
        <v>0.11837455830388692</v>
      </c>
      <c r="P32" s="2">
        <f t="shared" si="1"/>
        <v>6.6433566433566432E-2</v>
      </c>
      <c r="Q32" s="2">
        <f t="shared" si="2"/>
        <v>0</v>
      </c>
      <c r="R32" s="2">
        <f t="shared" si="3"/>
        <v>0</v>
      </c>
      <c r="S32" s="2">
        <f t="shared" si="4"/>
        <v>0</v>
      </c>
      <c r="T32" s="2"/>
      <c r="U32" s="2">
        <f>69/569</f>
        <v>0.12126537785588752</v>
      </c>
      <c r="V32" s="2"/>
      <c r="W32" s="3">
        <f t="shared" si="15"/>
        <v>0.9761612126798791</v>
      </c>
      <c r="X32" s="3">
        <f t="shared" si="16"/>
        <v>0.54783622174926527</v>
      </c>
      <c r="Y32" s="3">
        <f t="shared" si="17"/>
        <v>0</v>
      </c>
      <c r="Z32" s="3">
        <f t="shared" si="13"/>
        <v>0</v>
      </c>
      <c r="AA32" s="3">
        <f t="shared" si="14"/>
        <v>0</v>
      </c>
      <c r="AB32" s="3">
        <f t="shared" si="6"/>
        <v>0.9761612126798791</v>
      </c>
      <c r="AC32" s="41">
        <f>INDEX(C32:AA32, 1, MATCH(AB32, W32:AA32, 0))</f>
        <v>566</v>
      </c>
      <c r="AD32" s="41" t="str">
        <f t="shared" si="9"/>
        <v>3</v>
      </c>
      <c r="AE32" s="3">
        <f>IF(C32&gt;0,((I32*((3*69)+C32))/(4*C32*69))*(1-(C32-I32)/(569-69)),0)</f>
        <v>6.6306908383264251E-4</v>
      </c>
      <c r="AF32" s="3">
        <f>IF(D32&gt;0,((J32*((3*69)+D32))/(4*D32*69))*(1-(D32-J32)/(569-69)),0)</f>
        <v>5.5298241613459004E-2</v>
      </c>
      <c r="AG32" s="3">
        <f>IF(E32&gt;0,((K32*((3*69)+E32))/(4*E32*69))*(1-(E32-K32)/(569-69)),0)</f>
        <v>0</v>
      </c>
      <c r="AH32" s="3">
        <f>IF(F32&gt;0,((L32*((3*69)+F32))/(4*F32*69))*(1-(F32-L32)/(569-69)),0)</f>
        <v>0</v>
      </c>
      <c r="AI32" s="3">
        <f>IF(G32&gt;0,((M32*((3*69)+G32))/(4*G32*69))*(1-(G32-M32)/(569-69)),0)</f>
        <v>0</v>
      </c>
      <c r="AR32" t="s">
        <v>39</v>
      </c>
      <c r="AY32" t="s">
        <v>35</v>
      </c>
      <c r="AZ32" s="5">
        <f>MAX(W23:AA26)</f>
        <v>2.6064129668780831</v>
      </c>
      <c r="BA32" s="5">
        <f>_xlfn.IFNA(VLOOKUP(AZ32, W23:AI26,8,0), _xlfn.IFNA(VLOOKUP(AZ32, X23:AI26,8,0), _xlfn.IFNA(VLOOKUP(AZ32, Y23:AI26,8,0), _xlfn.IFNA(VLOOKUP(AZ32, Z23:AI26,8,0), VLOOKUP(AZ32, AA23:AI26,8,0)))))</f>
        <v>3.7026159223746975E-2</v>
      </c>
      <c r="BB32" t="s">
        <v>35</v>
      </c>
      <c r="BC32" s="5">
        <f>MAX(AE23:AI26)</f>
        <v>0.20080798479087453</v>
      </c>
      <c r="BE32" t="s">
        <v>35</v>
      </c>
      <c r="BF32" s="4">
        <f>MAX($W23:$AA23)</f>
        <v>1.7553393450403418</v>
      </c>
      <c r="BG32" s="5">
        <f>_xlfn.IFNA(VLOOKUP($BF32, $W23:$AI23,8,0), _xlfn.IFNA(VLOOKUP($BF32, $X23:$AI23,8,0), _xlfn.IFNA(VLOOKUP($BF32, $Y23:$AI23,8,0), _xlfn.IFNA(VLOOKUP($BF32, $Z23:$AI23,8,0), VLOOKUP($BF32, $AA23:$AI23,8,0)))))</f>
        <v>3.6965374490966769E-2</v>
      </c>
      <c r="BI32" t="s">
        <v>35</v>
      </c>
      <c r="BJ32" s="4">
        <f>MAX($W24:$AA24)</f>
        <v>2.6064129668780831</v>
      </c>
      <c r="BK32" s="5">
        <f>_xlfn.IFNA(VLOOKUP($BJ32, $W24:$AI24,8,0), _xlfn.IFNA(VLOOKUP($BJ32, $X24:$AI24,8,0), _xlfn.IFNA(VLOOKUP($BJ32, $Y24:$AI24,8,0), _xlfn.IFNA(VLOOKUP($BJ32, $Z24:$AI24,8,0), VLOOKUP($BJ32, $AA24:$AI24,8,0)))))</f>
        <v>3.7026159223746975E-2</v>
      </c>
      <c r="BM32" t="s">
        <v>35</v>
      </c>
      <c r="BN32" s="4">
        <f>MAX($W25:$AA25)</f>
        <v>1.1620660122537716</v>
      </c>
      <c r="BO32" s="5">
        <f>_xlfn.IFNA(VLOOKUP($BN32, $W25:$AI25,8,0), _xlfn.IFNA(VLOOKUP($BN32, $X25:$AI25,8,0), _xlfn.IFNA(VLOOKUP($BN32, $Y25:$AI25,8,0), _xlfn.IFNA(VLOOKUP($BN32, $Z25:$AI25,8,0), VLOOKUP($BN32, $AA25:$AI25,8,0)))))</f>
        <v>1.750829649733301E-3</v>
      </c>
      <c r="BQ32" t="s">
        <v>35</v>
      </c>
      <c r="BR32" s="4">
        <f>MAX($W26:$AA26)</f>
        <v>0.77838577291381672</v>
      </c>
      <c r="BS32" s="5" t="str">
        <f>_xlfn.IFNA(VLOOKUP($BR32, $W26:$AI26,8,0), _xlfn.IFNA(VLOOKUP($BR32, $X26:$AI26,8,0), _xlfn.IFNA(VLOOKUP($BR32, $Y26:$AI26,8,0), _xlfn.IFNA(VLOOKUP($BR32, $Z26:$AI26,8,0), VLOOKUP($BR32, $AA26:$AI26,8,0)))))</f>
        <v>3</v>
      </c>
    </row>
    <row r="33" spans="1:71" x14ac:dyDescent="0.3">
      <c r="A33" s="31" t="s">
        <v>34</v>
      </c>
      <c r="B33" t="s">
        <v>29</v>
      </c>
      <c r="C33">
        <v>568</v>
      </c>
      <c r="D33">
        <v>505</v>
      </c>
      <c r="E33">
        <v>149</v>
      </c>
      <c r="F33">
        <v>6</v>
      </c>
      <c r="G33">
        <v>0</v>
      </c>
      <c r="I33">
        <v>69</v>
      </c>
      <c r="J33">
        <v>62</v>
      </c>
      <c r="K33">
        <v>20</v>
      </c>
      <c r="L33">
        <v>1</v>
      </c>
      <c r="M33">
        <v>0</v>
      </c>
      <c r="O33" s="2">
        <f t="shared" si="0"/>
        <v>0.12147887323943662</v>
      </c>
      <c r="P33" s="2">
        <f t="shared" si="1"/>
        <v>0.12277227722772277</v>
      </c>
      <c r="Q33" s="2">
        <f t="shared" si="2"/>
        <v>0.13422818791946309</v>
      </c>
      <c r="R33" s="2">
        <f t="shared" si="3"/>
        <v>0.16666666666666666</v>
      </c>
      <c r="S33" s="2">
        <f t="shared" si="4"/>
        <v>0</v>
      </c>
      <c r="T33" s="2"/>
      <c r="U33" s="2">
        <f>69/569</f>
        <v>0.12126537785588752</v>
      </c>
      <c r="V33" s="2"/>
      <c r="W33" s="3">
        <f t="shared" si="15"/>
        <v>1.0017605633802817</v>
      </c>
      <c r="X33" s="3">
        <f t="shared" si="16"/>
        <v>1.0124264600373081</v>
      </c>
      <c r="Y33" s="3">
        <f t="shared" si="17"/>
        <v>1.1068962163213696</v>
      </c>
      <c r="Z33" s="3">
        <f t="shared" si="13"/>
        <v>1.3743961352657004</v>
      </c>
      <c r="AA33" s="3">
        <f t="shared" si="14"/>
        <v>0</v>
      </c>
      <c r="AB33" s="3">
        <f t="shared" si="6"/>
        <v>1.3743961352657004</v>
      </c>
      <c r="AC33" s="41">
        <f>INDEX(C33:AA33, 1, MATCH(AB33, W33:AA33, 0))</f>
        <v>6</v>
      </c>
      <c r="AD33" s="41" t="str">
        <f t="shared" si="9"/>
        <v>6</v>
      </c>
      <c r="AE33" s="3">
        <f>IF(C33&gt;0,((I33*((3*69)+C33))/(4*C33*69))*(1-(C33-I33)/(569-69)),0)</f>
        <v>6.8221830985915554E-4</v>
      </c>
      <c r="AF33" s="3">
        <f>IF(D33&gt;0,((J33*((3*69)+D33))/(4*D33*69))*(1-(D33-J33)/(569-69)),0)</f>
        <v>3.6105725355144211E-2</v>
      </c>
      <c r="AG33" s="3">
        <f>IF(E33&gt;0,((K33*((3*69)+E33))/(4*E33*69))*(1-(E33-K33)/(569-69)),0)</f>
        <v>0.1284661025192102</v>
      </c>
      <c r="AH33" s="3">
        <f>IF(F33&gt;0,((L33*((3*69)+F33))/(4*F33*69))*(1-(F33-L33)/(569-69)),0)</f>
        <v>0.12733695652173913</v>
      </c>
      <c r="AI33" s="3">
        <f>IF(G33&gt;0,((M33*((3*69)+G33))/(4*G33*69))*(1-(G33-M33)/(569-69)),0)</f>
        <v>0</v>
      </c>
      <c r="AR33" s="17" t="s">
        <v>27</v>
      </c>
      <c r="AS33" s="7">
        <f>COUNTIF(W3, "&gt;2") + COUNTIF(W7, "&gt;2") + COUNTIF(W11, "&gt;2") + COUNTIF(W15, "&gt;2") + COUNTIF(W19, "&gt;2") + COUNTIF(W23, "&gt;2") + COUNTIF(W27, "&gt;2") + COUNTIF(W31, "&gt;2")</f>
        <v>0</v>
      </c>
      <c r="AT33" s="7">
        <f>COUNTIF(X3, "&gt;2") + COUNTIF(X7, "&gt;2") + COUNTIF(X11, "&gt;2") + COUNTIF(X15, "&gt;2") + COUNTIF(X19, "&gt;2") + COUNTIF(X23, "&gt;2") + COUNTIF(X27, "&gt;2") + COUNTIF(X31, "&gt;2")</f>
        <v>0</v>
      </c>
      <c r="AU33" s="7">
        <f>COUNTIF(Y3, "&gt;2") + COUNTIF(Y7, "&gt;2") + COUNTIF(Y11, "&gt;2") + COUNTIF(Y15, "&gt;2") + COUNTIF(Y19, "&gt;2") + COUNTIF(Y23, "&gt;2") + COUNTIF(Y27, "&gt;2") + COUNTIF(Y31, "&gt;2")</f>
        <v>0</v>
      </c>
      <c r="AV33" s="7">
        <f>COUNTIF(Z3, "&gt;2") + COUNTIF(Z7, "&gt;2") + COUNTIF(Z11, "&gt;2") + COUNTIF(Z15, "&gt;2") + COUNTIF(Z19, "&gt;2") + COUNTIF(Z23, "&gt;2") + COUNTIF(Z27, "&gt;2") + COUNTIF(Z31, "&gt;2")</f>
        <v>0</v>
      </c>
      <c r="AW33" s="18">
        <f>COUNTIF(AA3, "&gt;2") + COUNTIF(AA7, "&gt;2") + COUNTIF(AA11, "&gt;2") + COUNTIF(AA15, "&gt;2") + COUNTIF(AA19, "&gt;2") + COUNTIF(AA23, "&gt;2") + COUNTIF(AA27, "&gt;2") + COUNTIF(AA31, "&gt;2")</f>
        <v>0</v>
      </c>
      <c r="AX33" s="4"/>
      <c r="AY33" t="s">
        <v>37</v>
      </c>
      <c r="AZ33" s="5">
        <f>MAX(W27:AA30)</f>
        <v>1.0035273368606701</v>
      </c>
      <c r="BA33" s="5" t="str">
        <f>_xlfn.IFNA(VLOOKUP(AZ33, W27:AI30,8,0), _xlfn.IFNA(VLOOKUP(AZ33, X27:AI30,8,0), _xlfn.IFNA(VLOOKUP(AZ33, Y27:AI30,8,0), _xlfn.IFNA(VLOOKUP(AZ33, Z27:AI30,8,0), VLOOKUP(AZ33, AA27:AI30,8,0)))))</f>
        <v>3</v>
      </c>
      <c r="BB33" t="s">
        <v>37</v>
      </c>
      <c r="BC33" s="5">
        <f>MAX(AE27:AI30)</f>
        <v>7.5765663073141282E-2</v>
      </c>
      <c r="BE33" t="s">
        <v>37</v>
      </c>
      <c r="BF33" s="4">
        <f>MAX($W27:$AA27)</f>
        <v>1.0035273368606701</v>
      </c>
      <c r="BG33" s="5" t="str">
        <f>_xlfn.IFNA(VLOOKUP($BF33, $W27:$AI27,8,0), _xlfn.IFNA(VLOOKUP($BF33, $X27:$AI27,8,0), _xlfn.IFNA(VLOOKUP($BF33, $Y27:$AI27,8,0), _xlfn.IFNA(VLOOKUP($BF33, $Z27:$AI27,8,0), VLOOKUP($BF33, $AA27:$AI27,8,0)))))</f>
        <v>3</v>
      </c>
      <c r="BI33" t="s">
        <v>37</v>
      </c>
      <c r="BJ33" s="4">
        <f>MAX($W28:$AA28)</f>
        <v>1</v>
      </c>
      <c r="BK33" s="5" t="str">
        <f>_xlfn.IFNA(VLOOKUP($BJ33, $W28:$AI28,8,0), _xlfn.IFNA(VLOOKUP($BJ33, $X28:$AI28,8,0), _xlfn.IFNA(VLOOKUP($BJ33, $Y28:$AI28,8,0), _xlfn.IFNA(VLOOKUP($BJ33, $Z28:$AI28,8,0), VLOOKUP($BJ33, $AA28:$AI28,8,0)))))</f>
        <v>3</v>
      </c>
      <c r="BM33" t="s">
        <v>37</v>
      </c>
      <c r="BN33" s="4">
        <f>MAX($W29:$AA29)</f>
        <v>1.0035273368606701</v>
      </c>
      <c r="BO33" s="5" t="str">
        <f>_xlfn.IFNA(VLOOKUP($BN33, $W29:$AI29,8,0), _xlfn.IFNA(VLOOKUP($BN33, $X29:$AI29,8,0), _xlfn.IFNA(VLOOKUP($BN33, $Y29:$AI29,8,0), _xlfn.IFNA(VLOOKUP($BN33, $Z29:$AI29,8,0), VLOOKUP($BN33, $AA29:$AI29,8,0)))))</f>
        <v>3</v>
      </c>
      <c r="BQ33" t="s">
        <v>37</v>
      </c>
      <c r="BR33" s="4">
        <f>MAX($W30:$AA30)</f>
        <v>0.27661643169664557</v>
      </c>
      <c r="BS33" s="5" t="str">
        <f>_xlfn.IFNA(VLOOKUP($BR33, $W30:$AI30,8,0), _xlfn.IFNA(VLOOKUP($BR33, $X30:$AI30,8,0), _xlfn.IFNA(VLOOKUP($BR33, $Y30:$AI30,8,0), _xlfn.IFNA(VLOOKUP($BR33, $Z30:$AI30,8,0), VLOOKUP($BR33, $AA30:$AI30,8,0)))))</f>
        <v>3</v>
      </c>
    </row>
    <row r="34" spans="1:71" s="1" customFormat="1" x14ac:dyDescent="0.3">
      <c r="A34" s="31" t="s">
        <v>34</v>
      </c>
      <c r="B34" s="1" t="s">
        <v>30</v>
      </c>
      <c r="C34" s="1">
        <v>34</v>
      </c>
      <c r="D34" s="1">
        <v>8</v>
      </c>
      <c r="E34" s="1">
        <v>0</v>
      </c>
      <c r="F34" s="1">
        <v>0</v>
      </c>
      <c r="G34" s="1">
        <v>0</v>
      </c>
      <c r="I34" s="1">
        <v>2</v>
      </c>
      <c r="J34" s="1">
        <v>0</v>
      </c>
      <c r="K34" s="1">
        <v>0</v>
      </c>
      <c r="L34" s="1">
        <v>0</v>
      </c>
      <c r="M34" s="1">
        <v>0</v>
      </c>
      <c r="O34" s="9">
        <f t="shared" si="0"/>
        <v>5.8823529411764705E-2</v>
      </c>
      <c r="P34" s="9">
        <f t="shared" si="1"/>
        <v>0</v>
      </c>
      <c r="Q34" s="9">
        <f t="shared" si="2"/>
        <v>0</v>
      </c>
      <c r="R34" s="9">
        <f t="shared" si="3"/>
        <v>0</v>
      </c>
      <c r="S34" s="9">
        <f t="shared" si="4"/>
        <v>0</v>
      </c>
      <c r="T34" s="9"/>
      <c r="U34" s="9">
        <f>69/569</f>
        <v>0.12126537785588752</v>
      </c>
      <c r="V34" s="9"/>
      <c r="W34" s="10">
        <f t="shared" si="15"/>
        <v>0.48508098891730606</v>
      </c>
      <c r="X34" s="10">
        <f t="shared" si="16"/>
        <v>0</v>
      </c>
      <c r="Y34" s="10">
        <f t="shared" si="17"/>
        <v>0</v>
      </c>
      <c r="Z34" s="10">
        <f t="shared" si="13"/>
        <v>0</v>
      </c>
      <c r="AA34" s="10">
        <f t="shared" si="14"/>
        <v>0</v>
      </c>
      <c r="AB34" s="10">
        <f t="shared" si="6"/>
        <v>0.48508098891730606</v>
      </c>
      <c r="AC34" s="42">
        <f>INDEX(C34:AA34, 1, MATCH(AB34, W34:AA34, 0))</f>
        <v>34</v>
      </c>
      <c r="AD34" s="42" t="str">
        <f t="shared" si="9"/>
        <v>3</v>
      </c>
      <c r="AE34" s="10">
        <f>IF(C34&gt;0,((I34*((3*69)+C34))/(4*C34*69))*(1-(C34-I34)/(569-69)),0)</f>
        <v>4.8076726342710992E-2</v>
      </c>
      <c r="AF34" s="10">
        <f>IF(D34&gt;0,((J34*((3*69)+D34))/(4*D34*69))*(1-(D34-J34)/(569-69)),0)</f>
        <v>0</v>
      </c>
      <c r="AG34" s="10">
        <f>IF(E34&gt;0,((K34*((3*69)+E34))/(4*E34*69))*(1-(E34-K34)/(569-69)),0)</f>
        <v>0</v>
      </c>
      <c r="AH34" s="10">
        <f>IF(F34&gt;0,((L34*((3*69)+F34))/(4*F34*69))*(1-(F34-L34)/(569-69)),0)</f>
        <v>0</v>
      </c>
      <c r="AI34" s="10">
        <f>IF(G34&gt;0,((M34*((3*69)+G34))/(4*G34*69))*(1-(G34-M34)/(569-69)),0)</f>
        <v>0</v>
      </c>
      <c r="AR34" s="21" t="s">
        <v>28</v>
      </c>
      <c r="AS34" s="4">
        <f>COUNTIF(W4, "&gt;2") + COUNTIF(W8, "&gt;2") + COUNTIF(W12, "&gt;2") + COUNTIF(W16, "&gt;2") + COUNTIF(W20, "&gt;2") + COUNTIF(W24, "&gt;2") + COUNTIF(W28, "&gt;2") + COUNTIF(W32, "&gt;2")</f>
        <v>0</v>
      </c>
      <c r="AT34" s="4">
        <f>COUNTIF(X4, "&gt;2") + COUNTIF(X8, "&gt;2") + COUNTIF(X12, "&gt;2") + COUNTIF(X16, "&gt;2") + COUNTIF(X20, "&gt;2") + COUNTIF(X24, "&gt;2") + COUNTIF(X28, "&gt;2") + COUNTIF(X32, "&gt;2")</f>
        <v>0</v>
      </c>
      <c r="AU34" s="4">
        <f>COUNTIF(Y4, "&gt;2") + COUNTIF(Y8, "&gt;2") + COUNTIF(Y12, "&gt;2") + COUNTIF(Y16, "&gt;2") + COUNTIF(Y20, "&gt;2") + COUNTIF(Y24, "&gt;2") + COUNTIF(Y28, "&gt;2") + COUNTIF(Y32, "&gt;2")</f>
        <v>2</v>
      </c>
      <c r="AV34" s="4">
        <f>COUNTIF(Z4, "&gt;2") + COUNTIF(Z8, "&gt;2") + COUNTIF(Z12, "&gt;2") + COUNTIF(Z16, "&gt;2") + COUNTIF(Z20, "&gt;2") + COUNTIF(Z24, "&gt;2") + COUNTIF(Z28, "&gt;2") + COUNTIF(Z32, "&gt;2")</f>
        <v>1</v>
      </c>
      <c r="AW34" s="22">
        <f>COUNTIF(AA4, "&gt;2") + COUNTIF(AA8, "&gt;2") + COUNTIF(AA12, "&gt;2") + COUNTIF(AA16, "&gt;2") + COUNTIF(AA20, "&gt;2") + COUNTIF(AA24, "&gt;2") + COUNTIF(AA28, "&gt;2") + COUNTIF(AA32, "&gt;2")</f>
        <v>0</v>
      </c>
      <c r="AX34" s="13"/>
      <c r="AY34" s="1" t="s">
        <v>38</v>
      </c>
      <c r="AZ34" s="14">
        <f>MAX(W31:AA34)</f>
        <v>1.3811665595773541</v>
      </c>
      <c r="BA34" s="14">
        <f>_xlfn.IFNA(VLOOKUP(AZ34, W31:AI34,8,0), _xlfn.IFNA(VLOOKUP(AZ34, X31:AI34,8,0), _xlfn.IFNA(VLOOKUP(AZ34, Y31:AI34,8,0), _xlfn.IFNA(VLOOKUP(AZ34, Z31:AI34,8,0), VLOOKUP(AZ34, AA31:AI34,8,0)))))</f>
        <v>1.6289251207729484E-2</v>
      </c>
      <c r="BB34" s="1" t="s">
        <v>38</v>
      </c>
      <c r="BC34" s="14">
        <f>MAX(AE31:AI34)</f>
        <v>0.16470836010566145</v>
      </c>
      <c r="BE34" s="1" t="s">
        <v>38</v>
      </c>
      <c r="BF34" s="4">
        <f>MAX($W31:$AA31)</f>
        <v>1.3811665595773541</v>
      </c>
      <c r="BG34" s="14">
        <f>_xlfn.IFNA(VLOOKUP($BF34, $W31:$AI31,8,0), _xlfn.IFNA(VLOOKUP($BF34, $X31:$AI31,8,0), _xlfn.IFNA(VLOOKUP($BF34, $Y31:$AI31,8,0), _xlfn.IFNA(VLOOKUP($BF34, $Z31:$AI31,8,0), VLOOKUP($BF34, $AA31:$AI31,8,0)))))</f>
        <v>1.6289251207729484E-2</v>
      </c>
      <c r="BI34" s="1" t="s">
        <v>38</v>
      </c>
      <c r="BJ34" s="4">
        <f>MAX($W32:$AA32)</f>
        <v>0.9761612126798791</v>
      </c>
      <c r="BK34" s="5" t="str">
        <f>_xlfn.IFNA(VLOOKUP($BJ34, $W32:$AI32,8,0), _xlfn.IFNA(VLOOKUP($BJ34, $X32:$AI32,8,0), _xlfn.IFNA(VLOOKUP($BJ34, $Y32:$AI32,8,0), _xlfn.IFNA(VLOOKUP($BJ34, $Z32:$AI32,8,0), VLOOKUP($BJ34, $AA32:$AI32,8,0)))))</f>
        <v>3</v>
      </c>
      <c r="BM34" s="1" t="s">
        <v>38</v>
      </c>
      <c r="BN34" s="13">
        <f>MAX($W33:$AA33)</f>
        <v>1.3743961352657004</v>
      </c>
      <c r="BO34" s="14">
        <f>_xlfn.IFNA(VLOOKUP($BN34, $W33:$AI33,8,0), _xlfn.IFNA(VLOOKUP($BN34, $X33:$AI33,8,0), _xlfn.IFNA(VLOOKUP($BN34, $Y33:$AI33,8,0), _xlfn.IFNA(VLOOKUP($BN34, $Z33:$AI33,8,0), VLOOKUP($BN34, $AA33:$AI33,8,0)))))</f>
        <v>0.1284661025192102</v>
      </c>
      <c r="BQ34" s="1" t="s">
        <v>38</v>
      </c>
      <c r="BR34" s="13">
        <f>MAX($W34:$AA34)</f>
        <v>0.48508098891730606</v>
      </c>
      <c r="BS34" s="14" t="str">
        <f>_xlfn.IFNA(VLOOKUP($BR34, $W34:$AI34,8,0), _xlfn.IFNA(VLOOKUP($BR34, $X34:$AI34,8,0), _xlfn.IFNA(VLOOKUP($BR34, $Y34:$AI34,8,0), _xlfn.IFNA(VLOOKUP($BR34, $Z34:$AI34,8,0), VLOOKUP($BR34, $AA34:$AI34,8,0)))))</f>
        <v>3</v>
      </c>
    </row>
    <row r="35" spans="1:71" x14ac:dyDescent="0.3">
      <c r="A35" s="31" t="s">
        <v>56</v>
      </c>
      <c r="B35" t="s">
        <v>27</v>
      </c>
      <c r="C35">
        <v>559</v>
      </c>
      <c r="D35">
        <v>272</v>
      </c>
      <c r="E35">
        <v>11</v>
      </c>
      <c r="F35">
        <v>0</v>
      </c>
      <c r="G35">
        <v>0</v>
      </c>
      <c r="I35">
        <v>52</v>
      </c>
      <c r="J35">
        <v>23</v>
      </c>
      <c r="K35">
        <v>4</v>
      </c>
      <c r="L35">
        <v>0</v>
      </c>
      <c r="M35">
        <v>0</v>
      </c>
      <c r="O35" s="27">
        <f t="shared" ref="O35:O53" si="18">IF(I35&gt;0, I35/C35, 0)</f>
        <v>9.3023255813953487E-2</v>
      </c>
      <c r="P35" s="27">
        <f t="shared" ref="P35:P53" si="19">IF(J35&gt;0, J35/D35, 0)</f>
        <v>8.455882352941177E-2</v>
      </c>
      <c r="Q35" s="27">
        <f t="shared" ref="Q35:Q53" si="20">IF(K35&gt;0, K35/E35, 0)</f>
        <v>0.36363636363636365</v>
      </c>
      <c r="R35" s="27">
        <f t="shared" ref="R35:R53" si="21">IF(L35&gt;0, L35/F35, 0)</f>
        <v>0</v>
      </c>
      <c r="S35" s="27">
        <f t="shared" ref="S35:S53" si="22">IF(M35&gt;0, M35/G35, 0)</f>
        <v>0</v>
      </c>
      <c r="T35" s="27"/>
      <c r="U35" s="27">
        <f>53/569</f>
        <v>9.3145869947275917E-2</v>
      </c>
      <c r="V35" s="27"/>
      <c r="W35" s="28">
        <f t="shared" si="15"/>
        <v>0.99868363317244413</v>
      </c>
      <c r="X35" s="28">
        <f t="shared" si="16"/>
        <v>0.90781076581576037</v>
      </c>
      <c r="Y35" s="28">
        <f t="shared" si="17"/>
        <v>3.9039451114922818</v>
      </c>
      <c r="Z35" s="28">
        <f t="shared" si="13"/>
        <v>0</v>
      </c>
      <c r="AA35" s="28">
        <f t="shared" si="14"/>
        <v>0</v>
      </c>
      <c r="AB35" s="28">
        <f t="shared" ref="AB35:AB53" si="23">MAX(W35:AA35)</f>
        <v>3.9039451114922818</v>
      </c>
      <c r="AC35" s="39">
        <f>INDEX(C35:AA35, 1, MATCH(AB35, W35:AA35, 0))</f>
        <v>11</v>
      </c>
      <c r="AD35" s="39" t="str">
        <f t="shared" si="9"/>
        <v>5</v>
      </c>
      <c r="AE35" s="28">
        <f>IF(C35&gt;0,((I35*((3*53)+C35))/(4*C35*53))*(1-(C35-I35)/(569-53)),0)</f>
        <v>5.4950661754951781E-3</v>
      </c>
      <c r="AF35" s="28">
        <f>IF(D35&gt;0,((J35*((3*53)+D35))/(4*D35*53))*(1-(D35-J35)/(569-53)),0)</f>
        <v>8.8953266557829813E-2</v>
      </c>
      <c r="AG35" s="28">
        <f>IF(E35&gt;0,((K35*((3*53)+E35))/(4*E35*53))*(1-(E35-K35)/(569-53)),0)</f>
        <v>0.28763944845559586</v>
      </c>
      <c r="AH35" s="28">
        <f>IF(F35&gt;0,((L35*((3*53)+F35))/(4*F35*53))*(1-(F35-L35)/(569-53)),0)</f>
        <v>0</v>
      </c>
      <c r="AI35" s="28">
        <f>IF(G35&gt;0,((M35*((3*53)+G35))/(4*G35*53))*(1-(G35-M35)/(569-53)),0)</f>
        <v>0</v>
      </c>
      <c r="AR35" s="21" t="s">
        <v>29</v>
      </c>
      <c r="AS35" s="4">
        <f>COUNTIF(W5, "&gt;2") + COUNTIF(W9, "&gt;2") + COUNTIF(W13, "&gt;2") + COUNTIF(W17, "&gt;2") + COUNTIF(W21, "&gt;2") + COUNTIF(W25, "&gt;2") + COUNTIF(W29, "&gt;2") + COUNTIF(W33, "&gt;2")</f>
        <v>0</v>
      </c>
      <c r="AT35" s="4">
        <f>COUNTIF(X5, "&gt;2") + COUNTIF(X9, "&gt;2") + COUNTIF(X13, "&gt;2") + COUNTIF(X17, "&gt;2") + COUNTIF(X21, "&gt;2") + COUNTIF(X25, "&gt;2") + COUNTIF(X29, "&gt;2") + COUNTIF(X33, "&gt;2")</f>
        <v>0</v>
      </c>
      <c r="AU35" s="4">
        <f>COUNTIF(Y5, "&gt;2") + COUNTIF(Y9, "&gt;2") + COUNTIF(Y13, "&gt;2") + COUNTIF(Y17, "&gt;2") + COUNTIF(Y21, "&gt;2") + COUNTIF(Y25, "&gt;2") + COUNTIF(Y29, "&gt;2") + COUNTIF(Y33, "&gt;2")</f>
        <v>0</v>
      </c>
      <c r="AV35" s="4">
        <f>COUNTIF(Z5, "&gt;2") + COUNTIF(Z9, "&gt;2") + COUNTIF(Z13, "&gt;2") + COUNTIF(Z17, "&gt;2") + COUNTIF(Z21, "&gt;2") + COUNTIF(Z25, "&gt;2") + COUNTIF(Z29, "&gt;2") + COUNTIF(Z33, "&gt;2")</f>
        <v>0</v>
      </c>
      <c r="AW35" s="22">
        <f>COUNTIF(AA5, "&gt;2") + COUNTIF(AA9, "&gt;2") + COUNTIF(AA13, "&gt;2") + COUNTIF(AA17, "&gt;2") + COUNTIF(AA21, "&gt;2") + COUNTIF(AA25, "&gt;2") + COUNTIF(AA29, "&gt;2") + COUNTIF(AA33, "&gt;2")</f>
        <v>0</v>
      </c>
      <c r="AX35" s="4"/>
    </row>
    <row r="36" spans="1:71" x14ac:dyDescent="0.3">
      <c r="A36" s="31" t="s">
        <v>56</v>
      </c>
      <c r="B36" t="s">
        <v>28</v>
      </c>
      <c r="C36">
        <v>46</v>
      </c>
      <c r="D36">
        <v>7</v>
      </c>
      <c r="E36">
        <v>0</v>
      </c>
      <c r="F36">
        <v>0</v>
      </c>
      <c r="G36">
        <v>0</v>
      </c>
      <c r="I36">
        <v>6</v>
      </c>
      <c r="J36">
        <v>2</v>
      </c>
      <c r="K36">
        <v>0</v>
      </c>
      <c r="L36">
        <v>0</v>
      </c>
      <c r="M36">
        <v>0</v>
      </c>
      <c r="O36" s="27">
        <f t="shared" si="18"/>
        <v>0.13043478260869565</v>
      </c>
      <c r="P36" s="27">
        <f t="shared" si="19"/>
        <v>0.2857142857142857</v>
      </c>
      <c r="Q36" s="27">
        <f t="shared" si="20"/>
        <v>0</v>
      </c>
      <c r="R36" s="27">
        <f t="shared" si="21"/>
        <v>0</v>
      </c>
      <c r="S36" s="27">
        <f t="shared" si="22"/>
        <v>0</v>
      </c>
      <c r="T36" s="27"/>
      <c r="U36" s="27">
        <f>53/569</f>
        <v>9.3145869947275917E-2</v>
      </c>
      <c r="V36" s="27"/>
      <c r="W36" s="28">
        <f t="shared" si="15"/>
        <v>1.4003281378178836</v>
      </c>
      <c r="X36" s="28">
        <f t="shared" si="16"/>
        <v>3.0673854447439353</v>
      </c>
      <c r="Y36" s="28">
        <f t="shared" si="17"/>
        <v>0</v>
      </c>
      <c r="Z36" s="28">
        <f t="shared" si="13"/>
        <v>0</v>
      </c>
      <c r="AA36" s="28">
        <f t="shared" si="14"/>
        <v>0</v>
      </c>
      <c r="AB36" s="28">
        <f t="shared" si="23"/>
        <v>3.0673854447439353</v>
      </c>
      <c r="AC36" s="39">
        <f>INDEX(C36:AA36, 1, MATCH(AB36, W36:AA36, 0))</f>
        <v>7</v>
      </c>
      <c r="AD36" s="39" t="str">
        <f t="shared" si="9"/>
        <v>4</v>
      </c>
      <c r="AE36" s="28">
        <f>IF(C36&gt;0,((I36*((3*53)+C36))/(4*C36*53))*(1-(C36-I36)/(569-53)),0)</f>
        <v>0.11635061144285251</v>
      </c>
      <c r="AF36" s="28">
        <f>IF(D36&gt;0,((J36*((3*53)+D36))/(4*D36*53))*(1-(D36-J36)/(569-53)),0)</f>
        <v>0.22155185022670762</v>
      </c>
      <c r="AG36" s="28">
        <f>IF(E36&gt;0,((K36*((3*53)+E36))/(4*E36*53))*(1-(E36-K36)/(569-53)),0)</f>
        <v>0</v>
      </c>
      <c r="AH36" s="28">
        <f>IF(F36&gt;0,((L36*((3*53)+F36))/(4*F36*53))*(1-(F36-L36)/(569-53)),0)</f>
        <v>0</v>
      </c>
      <c r="AI36" s="28">
        <f>IF(G36&gt;0,((M36*((3*53)+G36))/(4*G36*53))*(1-(G36-M36)/(569-53)),0)</f>
        <v>0</v>
      </c>
      <c r="AR36" s="21" t="s">
        <v>30</v>
      </c>
      <c r="AS36" s="4">
        <f>COUNTIF(W6, "&gt;2") + COUNTIF(W10, "&gt;2") + COUNTIF(W14, "&gt;2") + COUNTIF(W18, "&gt;2") + COUNTIF(W22, "&gt;2") + COUNTIF(W26, "&gt;2") + COUNTIF(W30, "&gt;2") + COUNTIF(W34, "&gt;2")</f>
        <v>2</v>
      </c>
      <c r="AT36" s="4">
        <f>COUNTIF(X6, "&gt;2") + COUNTIF(X10, "&gt;2") + COUNTIF(X14, "&gt;2") + COUNTIF(X18, "&gt;2") + COUNTIF(X22, "&gt;2") + COUNTIF(X26, "&gt;2") + COUNTIF(X30, "&gt;2") + COUNTIF(X34, "&gt;2")</f>
        <v>0</v>
      </c>
      <c r="AU36" s="4">
        <f>COUNTIF(Y6, "&gt;2") + COUNTIF(Y10, "&gt;2") + COUNTIF(Y14, "&gt;2") + COUNTIF(Y18, "&gt;2") + COUNTIF(Y22, "&gt;2") + COUNTIF(Y26, "&gt;2") + COUNTIF(Y30, "&gt;2") + COUNTIF(Y34, "&gt;2")</f>
        <v>1</v>
      </c>
      <c r="AV36" s="4">
        <f>COUNTIF(Z6, "&gt;2") + COUNTIF(Z10, "&gt;2") + COUNTIF(Z14, "&gt;2") + COUNTIF(Z18, "&gt;2") + COUNTIF(Z22, "&gt;2") + COUNTIF(Z26, "&gt;2") + COUNTIF(Z30, "&gt;2") + COUNTIF(Z34, "&gt;2")</f>
        <v>0</v>
      </c>
      <c r="AW36" s="22">
        <f>COUNTIF(AA6, "&gt;2") + COUNTIF(AA10, "&gt;2") + COUNTIF(AA14, "&gt;2") + COUNTIF(AA18, "&gt;2") + COUNTIF(AA22, "&gt;2") + COUNTIF(AA26, "&gt;2") + COUNTIF(AA30, "&gt;2") + COUNTIF(AA34, "&gt;2")</f>
        <v>0</v>
      </c>
      <c r="AX36" s="4"/>
      <c r="AY36" t="s">
        <v>42</v>
      </c>
      <c r="AZ36">
        <f>COUNTIF(AZ27:AZ34, "&gt;1.5")</f>
        <v>6</v>
      </c>
      <c r="BE36" t="s">
        <v>42</v>
      </c>
      <c r="BF36">
        <f>COUNTIF(BF27:BF34, "&gt;1.5")</f>
        <v>1</v>
      </c>
      <c r="BI36" t="s">
        <v>42</v>
      </c>
      <c r="BJ36">
        <f>COUNTIF(BJ27:BJ34, "&gt;1.5")</f>
        <v>4</v>
      </c>
      <c r="BM36" t="s">
        <v>42</v>
      </c>
      <c r="BN36">
        <f>COUNTIF(BN27:BN34, "&gt;1.5")</f>
        <v>1</v>
      </c>
      <c r="BQ36" t="s">
        <v>42</v>
      </c>
      <c r="BR36">
        <f>COUNTIF(BR27:BR34, "&gt;1.5")</f>
        <v>3</v>
      </c>
    </row>
    <row r="37" spans="1:71" x14ac:dyDescent="0.3">
      <c r="A37" s="31" t="s">
        <v>56</v>
      </c>
      <c r="B37" t="s">
        <v>29</v>
      </c>
      <c r="C37">
        <v>515</v>
      </c>
      <c r="D37">
        <v>91</v>
      </c>
      <c r="E37">
        <v>3</v>
      </c>
      <c r="F37">
        <v>0</v>
      </c>
      <c r="G37">
        <v>0</v>
      </c>
      <c r="I37">
        <v>49</v>
      </c>
      <c r="J37">
        <v>18</v>
      </c>
      <c r="K37">
        <v>2</v>
      </c>
      <c r="L37">
        <v>0</v>
      </c>
      <c r="M37">
        <v>0</v>
      </c>
      <c r="O37" s="27">
        <f t="shared" si="18"/>
        <v>9.5145631067961159E-2</v>
      </c>
      <c r="P37" s="27">
        <f t="shared" si="19"/>
        <v>0.19780219780219779</v>
      </c>
      <c r="Q37" s="27">
        <f t="shared" si="20"/>
        <v>0.66666666666666663</v>
      </c>
      <c r="R37" s="27">
        <f t="shared" si="21"/>
        <v>0</v>
      </c>
      <c r="S37" s="27">
        <f t="shared" si="22"/>
        <v>0</v>
      </c>
      <c r="T37" s="27"/>
      <c r="U37" s="27">
        <f>53/569</f>
        <v>9.3145869947275917E-2</v>
      </c>
      <c r="V37" s="27"/>
      <c r="W37" s="28">
        <f t="shared" si="15"/>
        <v>1.0214691335409416</v>
      </c>
      <c r="X37" s="28">
        <f t="shared" si="16"/>
        <v>2.1235745386688785</v>
      </c>
      <c r="Y37" s="28">
        <f t="shared" si="17"/>
        <v>7.1572327044025155</v>
      </c>
      <c r="Z37" s="28">
        <f t="shared" si="13"/>
        <v>0</v>
      </c>
      <c r="AA37" s="28">
        <f t="shared" si="14"/>
        <v>0</v>
      </c>
      <c r="AB37" s="28">
        <f t="shared" si="23"/>
        <v>7.1572327044025155</v>
      </c>
      <c r="AC37" s="39">
        <f>INDEX(C37:AA37, 1, MATCH(AB37, W37:AA37, 0))</f>
        <v>3</v>
      </c>
      <c r="AD37" s="39" t="str">
        <f t="shared" si="9"/>
        <v>5</v>
      </c>
      <c r="AE37" s="28">
        <f>IF(C37&gt;0,((I37*((3*53)+C37))/(4*C37*53))*(1-(C37-I37)/(569-53)),0)</f>
        <v>2.9311172361692717E-2</v>
      </c>
      <c r="AF37" s="28">
        <f>IF(D37&gt;0,((J37*((3*53)+D37))/(4*D37*53))*(1-(D37-J37)/(569-53)),0)</f>
        <v>0.20025772823052332</v>
      </c>
      <c r="AG37" s="28">
        <f>IF(E37&gt;0,((K37*((3*53)+E37))/(4*E37*53))*(1-(E37-K37)/(569-53)),0)</f>
        <v>0.50844668714348396</v>
      </c>
      <c r="AH37" s="28">
        <f>IF(F37&gt;0,((L37*((3*53)+F37))/(4*F37*53))*(1-(F37-L37)/(569-53)),0)</f>
        <v>0</v>
      </c>
      <c r="AI37" s="28">
        <f>IF(G37&gt;0,((M37*((3*53)+G37))/(4*G37*53))*(1-(G37-M37)/(569-53)),0)</f>
        <v>0</v>
      </c>
      <c r="AR37" s="19"/>
      <c r="AS37" s="1"/>
      <c r="AT37" s="1"/>
      <c r="AU37" s="1"/>
      <c r="AV37" s="1"/>
      <c r="AW37" s="23"/>
      <c r="AY37" t="s">
        <v>43</v>
      </c>
      <c r="AZ37">
        <f>COUNTIF(AZ27:AZ34, "&gt;2")</f>
        <v>5</v>
      </c>
      <c r="BE37" t="s">
        <v>43</v>
      </c>
      <c r="BF37">
        <f>COUNTIF(BF27:BF34, "&gt;2")</f>
        <v>0</v>
      </c>
      <c r="BI37" t="s">
        <v>43</v>
      </c>
      <c r="BJ37">
        <f>COUNTIF(BJ27:BJ34, "&gt;2")</f>
        <v>3</v>
      </c>
      <c r="BM37" t="s">
        <v>43</v>
      </c>
      <c r="BN37">
        <f>COUNTIF(BN27:BN34, "&gt;2")</f>
        <v>0</v>
      </c>
      <c r="BQ37" t="s">
        <v>43</v>
      </c>
      <c r="BR37">
        <f>COUNTIF(BR27:BR34, "&gt;2")</f>
        <v>3</v>
      </c>
    </row>
    <row r="38" spans="1:71" x14ac:dyDescent="0.3">
      <c r="A38" s="31" t="s">
        <v>56</v>
      </c>
      <c r="B38" s="1" t="s">
        <v>30</v>
      </c>
      <c r="C38" s="1">
        <v>370</v>
      </c>
      <c r="D38" s="1">
        <v>22</v>
      </c>
      <c r="E38" s="1">
        <v>2</v>
      </c>
      <c r="F38" s="1">
        <v>0</v>
      </c>
      <c r="G38" s="1">
        <v>0</v>
      </c>
      <c r="H38" s="1"/>
      <c r="I38" s="1">
        <v>29</v>
      </c>
      <c r="J38" s="1">
        <v>4</v>
      </c>
      <c r="K38" s="1">
        <v>2</v>
      </c>
      <c r="L38" s="1">
        <v>0</v>
      </c>
      <c r="M38" s="1">
        <v>0</v>
      </c>
      <c r="N38" s="1"/>
      <c r="O38" s="29">
        <f t="shared" si="18"/>
        <v>7.8378378378378383E-2</v>
      </c>
      <c r="P38" s="29">
        <f t="shared" si="19"/>
        <v>0.18181818181818182</v>
      </c>
      <c r="Q38" s="29">
        <f t="shared" si="20"/>
        <v>1</v>
      </c>
      <c r="R38" s="29">
        <f t="shared" si="21"/>
        <v>0</v>
      </c>
      <c r="S38" s="29">
        <f t="shared" si="22"/>
        <v>0</v>
      </c>
      <c r="T38" s="29"/>
      <c r="U38" s="29">
        <f>53/569</f>
        <v>9.3145869947275917E-2</v>
      </c>
      <c r="V38" s="29"/>
      <c r="W38" s="30">
        <f t="shared" si="15"/>
        <v>0.84145843957164723</v>
      </c>
      <c r="X38" s="30">
        <f t="shared" si="16"/>
        <v>1.9519725557461409</v>
      </c>
      <c r="Y38" s="30">
        <f t="shared" si="17"/>
        <v>10.735849056603774</v>
      </c>
      <c r="Z38" s="30">
        <f t="shared" si="13"/>
        <v>0</v>
      </c>
      <c r="AA38" s="30">
        <f t="shared" si="14"/>
        <v>0</v>
      </c>
      <c r="AB38" s="30">
        <f t="shared" si="23"/>
        <v>10.735849056603774</v>
      </c>
      <c r="AC38" s="40">
        <f>INDEX(C38:AA38, 1, MATCH(AB38, W38:AA38, 0))</f>
        <v>2</v>
      </c>
      <c r="AD38" s="40" t="str">
        <f t="shared" si="9"/>
        <v>5</v>
      </c>
      <c r="AE38" s="30">
        <f>IF(C38&gt;0,((I38*((3*53)+C38))/(4*C38*53))*(1-(C38-I38)/(569-53)),0)</f>
        <v>6.6329150014428656E-2</v>
      </c>
      <c r="AF38" s="30">
        <f>IF(D38&gt;0,((J38*((3*53)+D38))/(4*D38*53))*(1-(D38-J38)/(569-53)),0)</f>
        <v>0.1498165064422195</v>
      </c>
      <c r="AG38" s="30">
        <f>IF(E38&gt;0,((K38*((3*53)+E38))/(4*E38*53))*(1-(E38-K38)/(569-53)),0)</f>
        <v>0.75943396226415094</v>
      </c>
      <c r="AH38" s="30">
        <f>IF(F38&gt;0,((L38*((3*53)+F38))/(4*F38*53))*(1-(F38-L38)/(569-53)),0)</f>
        <v>0</v>
      </c>
      <c r="AI38" s="30">
        <f>IF(G38&gt;0,((M38*((3*53)+G38))/(4*G38*53))*(1-(G38-M38)/(569-53)),0)</f>
        <v>0</v>
      </c>
    </row>
    <row r="39" spans="1:71" x14ac:dyDescent="0.3">
      <c r="A39" s="31" t="s">
        <v>57</v>
      </c>
      <c r="B39" t="s">
        <v>27</v>
      </c>
      <c r="C39">
        <v>551</v>
      </c>
      <c r="D39">
        <v>362</v>
      </c>
      <c r="E39">
        <v>42</v>
      </c>
      <c r="F39">
        <v>0</v>
      </c>
      <c r="G39">
        <v>0</v>
      </c>
      <c r="I39">
        <v>47</v>
      </c>
      <c r="J39">
        <v>27</v>
      </c>
      <c r="K39">
        <v>3</v>
      </c>
      <c r="L39">
        <v>0</v>
      </c>
      <c r="M39">
        <v>0</v>
      </c>
      <c r="O39" s="27">
        <f t="shared" si="18"/>
        <v>8.5299455535390201E-2</v>
      </c>
      <c r="P39" s="27">
        <f t="shared" si="19"/>
        <v>7.4585635359116026E-2</v>
      </c>
      <c r="Q39" s="27">
        <f t="shared" si="20"/>
        <v>7.1428571428571425E-2</v>
      </c>
      <c r="R39" s="27">
        <f t="shared" si="21"/>
        <v>0</v>
      </c>
      <c r="S39" s="27">
        <f t="shared" si="22"/>
        <v>0</v>
      </c>
      <c r="T39" s="27"/>
      <c r="U39" s="27">
        <f>57/569</f>
        <v>0.10017574692442882</v>
      </c>
      <c r="V39" s="27"/>
      <c r="W39" s="28">
        <f t="shared" si="15"/>
        <v>0.85149807367784258</v>
      </c>
      <c r="X39" s="28">
        <f t="shared" si="16"/>
        <v>0.74454783367257926</v>
      </c>
      <c r="Y39" s="28">
        <f t="shared" si="17"/>
        <v>0.71303258145363402</v>
      </c>
      <c r="Z39" s="28">
        <f t="shared" si="13"/>
        <v>0</v>
      </c>
      <c r="AA39" s="28">
        <f t="shared" si="14"/>
        <v>0</v>
      </c>
      <c r="AB39" s="28">
        <f t="shared" si="23"/>
        <v>0.85149807367784258</v>
      </c>
      <c r="AC39" s="39">
        <f>INDEX(C39:AA39, 1, MATCH(AB39, W39:AA39, 0))</f>
        <v>551</v>
      </c>
      <c r="AD39" s="39" t="str">
        <f t="shared" si="9"/>
        <v>3</v>
      </c>
      <c r="AE39" s="28">
        <f>IF(C39&gt;0,((I39*((3*57)+C39))/(4*C39*57))*(1-(C39-I39)/(569-57)),0)</f>
        <v>4.2205459770114943E-3</v>
      </c>
      <c r="AF39" s="28">
        <f>IF(D39&gt;0,((J39*((3*57)+D39))/(4*D39*57))*(1-(D39-J39)/(569-57)),0)</f>
        <v>6.0276893378343993E-2</v>
      </c>
      <c r="AG39" s="28">
        <f>IF(E39&gt;0,((K39*((3*57)+E39))/(4*E39*57))*(1-(E39-K39)/(569-57)),0)</f>
        <v>6.1646425634398497E-2</v>
      </c>
      <c r="AH39" s="28">
        <f>IF(F39&gt;0,((L39*((3*57)+F39))/(4*F39*57))*(1-(F39-L39)/(569-57)),0)</f>
        <v>0</v>
      </c>
      <c r="AI39" s="28">
        <f>IF(G39&gt;0,((M39*((3*57)+G39))/(4*G39*57))*(1-(G39-M39)/(569-57)),0)</f>
        <v>0</v>
      </c>
      <c r="AY39" s="1" t="s">
        <v>45</v>
      </c>
      <c r="AZ39" s="1"/>
    </row>
    <row r="40" spans="1:71" x14ac:dyDescent="0.3">
      <c r="A40" s="31" t="s">
        <v>57</v>
      </c>
      <c r="B40" t="s">
        <v>28</v>
      </c>
      <c r="C40">
        <v>567</v>
      </c>
      <c r="D40">
        <v>532</v>
      </c>
      <c r="E40">
        <v>196</v>
      </c>
      <c r="F40">
        <v>5</v>
      </c>
      <c r="G40">
        <v>0</v>
      </c>
      <c r="I40">
        <v>57</v>
      </c>
      <c r="J40">
        <v>48</v>
      </c>
      <c r="K40">
        <v>11</v>
      </c>
      <c r="L40">
        <v>1</v>
      </c>
      <c r="M40">
        <v>0</v>
      </c>
      <c r="O40" s="27">
        <f t="shared" si="18"/>
        <v>0.10052910052910052</v>
      </c>
      <c r="P40" s="27">
        <f t="shared" si="19"/>
        <v>9.0225563909774431E-2</v>
      </c>
      <c r="Q40" s="27">
        <f t="shared" si="20"/>
        <v>5.6122448979591837E-2</v>
      </c>
      <c r="R40" s="27">
        <f t="shared" si="21"/>
        <v>0.2</v>
      </c>
      <c r="S40" s="27">
        <f t="shared" si="22"/>
        <v>0</v>
      </c>
      <c r="T40" s="27"/>
      <c r="U40" s="27">
        <f>57/569</f>
        <v>0.10017574692442882</v>
      </c>
      <c r="V40" s="27"/>
      <c r="W40" s="28">
        <f t="shared" si="15"/>
        <v>1.0035273368606701</v>
      </c>
      <c r="X40" s="28">
        <f t="shared" si="16"/>
        <v>0.90067273446774831</v>
      </c>
      <c r="Y40" s="28">
        <f t="shared" si="17"/>
        <v>0.56023988542785541</v>
      </c>
      <c r="Z40" s="28">
        <f t="shared" si="13"/>
        <v>1.9964912280701756</v>
      </c>
      <c r="AA40" s="28">
        <f t="shared" si="14"/>
        <v>0</v>
      </c>
      <c r="AB40" s="28">
        <f t="shared" si="23"/>
        <v>1.9964912280701756</v>
      </c>
      <c r="AC40" s="39">
        <f>INDEX(C40:AA40, 1, MATCH(AB40, W40:AA40, 0))</f>
        <v>5</v>
      </c>
      <c r="AD40" s="39" t="str">
        <f t="shared" si="9"/>
        <v>6</v>
      </c>
      <c r="AE40" s="28">
        <f>IF(C40&gt;0,((I40*((3*57)+C40))/(4*C40*57))*(1-(C40-I40)/(569-57)),0)</f>
        <v>1.2710813492063492E-3</v>
      </c>
      <c r="AF40" s="28">
        <f>IF(D40&gt;0,((J40*((3*57)+D40))/(4*D40*57))*(1-(D40-J40)/(569-57)),0)</f>
        <v>1.5213815789473683E-2</v>
      </c>
      <c r="AG40" s="28">
        <f>IF(E40&gt;0,((K40*((3*57)+E40))/(4*E40*57))*(1-(E40-K40)/(569-57)),0)</f>
        <v>5.7695989065856608E-2</v>
      </c>
      <c r="AH40" s="28">
        <f>IF(F40&gt;0,((L40*((3*57)+F40))/(4*F40*57))*(1-(F40-L40)/(569-57)),0)</f>
        <v>0.15317982456140353</v>
      </c>
      <c r="AI40" s="28">
        <f>IF(G40&gt;0,((M40*((3*57)+G40))/(4*G40*57))*(1-(G40-M40)/(569-57)),0)</f>
        <v>0</v>
      </c>
      <c r="AY40" t="s">
        <v>26</v>
      </c>
      <c r="AZ40" t="str">
        <f>IF(COUNTIF(W3:AA3,AZ27), B3, IF(COUNTIF(W4:AA4,AZ27), B4, IF(COUNTIF(W5:AA5,AZ27), B5, B6)))</f>
        <v>dU</v>
      </c>
    </row>
    <row r="41" spans="1:71" x14ac:dyDescent="0.3">
      <c r="A41" s="31" t="s">
        <v>57</v>
      </c>
      <c r="B41" t="s">
        <v>29</v>
      </c>
      <c r="C41">
        <v>566</v>
      </c>
      <c r="D41">
        <v>444</v>
      </c>
      <c r="E41">
        <v>88</v>
      </c>
      <c r="F41">
        <v>1</v>
      </c>
      <c r="G41">
        <v>0</v>
      </c>
      <c r="I41">
        <v>56</v>
      </c>
      <c r="J41">
        <v>33</v>
      </c>
      <c r="K41">
        <v>4</v>
      </c>
      <c r="L41">
        <v>0</v>
      </c>
      <c r="M41">
        <v>0</v>
      </c>
      <c r="O41" s="27">
        <f t="shared" si="18"/>
        <v>9.8939929328621903E-2</v>
      </c>
      <c r="P41" s="27">
        <f t="shared" si="19"/>
        <v>7.4324324324324328E-2</v>
      </c>
      <c r="Q41" s="27">
        <f t="shared" si="20"/>
        <v>4.5454545454545456E-2</v>
      </c>
      <c r="R41" s="27">
        <f t="shared" si="21"/>
        <v>0</v>
      </c>
      <c r="S41" s="27">
        <f t="shared" si="22"/>
        <v>0</v>
      </c>
      <c r="T41" s="27"/>
      <c r="U41" s="27">
        <f>57/569</f>
        <v>0.10017574692442882</v>
      </c>
      <c r="V41" s="27"/>
      <c r="W41" s="28">
        <f t="shared" si="15"/>
        <v>0.98766350505238354</v>
      </c>
      <c r="X41" s="28">
        <f t="shared" si="16"/>
        <v>0.74193930772878147</v>
      </c>
      <c r="Y41" s="28">
        <f t="shared" si="17"/>
        <v>0.45374800637958534</v>
      </c>
      <c r="Z41" s="28">
        <f t="shared" si="13"/>
        <v>0</v>
      </c>
      <c r="AA41" s="28">
        <f t="shared" si="14"/>
        <v>0</v>
      </c>
      <c r="AB41" s="28">
        <f t="shared" si="23"/>
        <v>0.98766350505238354</v>
      </c>
      <c r="AC41" s="39">
        <f>INDEX(C41:AA41, 1, MATCH(AB41, W41:AA41, 0))</f>
        <v>566</v>
      </c>
      <c r="AD41" s="39" t="str">
        <f t="shared" si="9"/>
        <v>3</v>
      </c>
      <c r="AE41" s="28">
        <f>IF(C41&gt;0,((I41*((3*57)+C41))/(4*C41*57))*(1-(C41-I41)/(569-57)),0)</f>
        <v>1.2492928987663506E-3</v>
      </c>
      <c r="AF41" s="28">
        <f>IF(D41&gt;0,((J41*((3*57)+D41))/(4*D41*57))*(1-(D41-J41)/(569-57)),0)</f>
        <v>3.9547829336326459E-2</v>
      </c>
      <c r="AG41" s="28">
        <f>IF(E41&gt;0,((K41*((3*57)+E41))/(4*E41*57))*(1-(E41-K41)/(569-57)),0)</f>
        <v>4.316343949362042E-2</v>
      </c>
      <c r="AH41" s="28">
        <f>IF(F41&gt;0,((L41*((3*57)+F41))/(4*F41*57))*(1-(F41-L41)/(569-57)),0)</f>
        <v>0</v>
      </c>
      <c r="AI41" s="28">
        <f>IF(G41&gt;0,((M41*((3*57)+G41))/(4*G41*57))*(1-(G41-M41)/(569-57)),0)</f>
        <v>0</v>
      </c>
      <c r="AY41" t="s">
        <v>31</v>
      </c>
      <c r="AZ41" t="str">
        <f>IF(COUNTIF(W7:AA7,AZ28), B7, IF(COUNTIF(W8:AA8,AZ28), B8, IF(COUNTIF(W9:AA9,AZ28), B9, B10)))</f>
        <v>dE</v>
      </c>
    </row>
    <row r="42" spans="1:71" x14ac:dyDescent="0.3">
      <c r="A42" s="31" t="s">
        <v>57</v>
      </c>
      <c r="B42" s="1" t="s">
        <v>30</v>
      </c>
      <c r="C42" s="1">
        <v>19</v>
      </c>
      <c r="D42" s="1">
        <v>3</v>
      </c>
      <c r="E42" s="1">
        <v>0</v>
      </c>
      <c r="F42" s="1">
        <v>0</v>
      </c>
      <c r="G42" s="1">
        <v>0</v>
      </c>
      <c r="H42" s="1"/>
      <c r="I42" s="1">
        <v>1</v>
      </c>
      <c r="J42" s="1">
        <v>0</v>
      </c>
      <c r="K42" s="1">
        <v>0</v>
      </c>
      <c r="L42" s="1">
        <v>0</v>
      </c>
      <c r="M42" s="1">
        <v>0</v>
      </c>
      <c r="N42" s="1"/>
      <c r="O42" s="9">
        <f t="shared" si="18"/>
        <v>5.2631578947368418E-2</v>
      </c>
      <c r="P42" s="9">
        <f t="shared" si="19"/>
        <v>0</v>
      </c>
      <c r="Q42" s="9">
        <f t="shared" si="20"/>
        <v>0</v>
      </c>
      <c r="R42" s="9">
        <f t="shared" si="21"/>
        <v>0</v>
      </c>
      <c r="S42" s="9">
        <f t="shared" si="22"/>
        <v>0</v>
      </c>
      <c r="T42" s="9"/>
      <c r="U42" s="9">
        <f>39/569</f>
        <v>6.8541300527240778E-2</v>
      </c>
      <c r="V42" s="9"/>
      <c r="W42" s="10">
        <f t="shared" si="15"/>
        <v>0.76788124156545201</v>
      </c>
      <c r="X42" s="10">
        <f t="shared" si="16"/>
        <v>0</v>
      </c>
      <c r="Y42" s="10">
        <f t="shared" si="17"/>
        <v>0</v>
      </c>
      <c r="Z42" s="10">
        <f t="shared" si="13"/>
        <v>0</v>
      </c>
      <c r="AA42" s="10">
        <f t="shared" si="14"/>
        <v>0</v>
      </c>
      <c r="AB42" s="10">
        <f t="shared" si="23"/>
        <v>0.76788124156545201</v>
      </c>
      <c r="AC42" s="42">
        <f>INDEX(C42:AA42, 1, MATCH(AB42, W42:AA42, 0))</f>
        <v>19</v>
      </c>
      <c r="AD42" s="42" t="str">
        <f t="shared" si="9"/>
        <v>3</v>
      </c>
      <c r="AE42" s="10">
        <f>IF(C42&gt;0,((I42*((3*39)+C42))/(4*C42*39))*(1-(C42-I42)/(569-39)),0)</f>
        <v>4.4325618109133505E-2</v>
      </c>
      <c r="AF42" s="10">
        <f>IF(D42&gt;0,((J42*((3*39)+D42))/(4*D42*39))*(1-(D42-J42)/(569-39)),0)</f>
        <v>0</v>
      </c>
      <c r="AG42" s="10">
        <f>IF(E42&gt;0,((K42*((3*39)+E42))/(4*E42*39))*(1-(E42-K42)/(569-39)),0)</f>
        <v>0</v>
      </c>
      <c r="AH42" s="10">
        <f>IF(F42&gt;0,((L42*((3*39)+F42))/(4*F42*39))*(1-(F42-L42)/(569-39)),0)</f>
        <v>0</v>
      </c>
      <c r="AI42" s="10">
        <f>IF(G42&gt;0,((M42*((3*39)+G42))/(4*G42*39))*(1-(G42-M42)/(569-39)),0)</f>
        <v>0</v>
      </c>
      <c r="AY42" t="s">
        <v>32</v>
      </c>
      <c r="AZ42" t="str">
        <f>IF(COUNTIF(W11:AA11,AZ29), B11, IF(COUNTIF(W12:AA12,AZ29), B12, IF(COUNTIF(W13:AA13,AZ29), B13, B14)))</f>
        <v>dU(class)</v>
      </c>
    </row>
    <row r="43" spans="1:71" x14ac:dyDescent="0.3">
      <c r="A43" s="31" t="s">
        <v>35</v>
      </c>
      <c r="B43" t="s">
        <v>27</v>
      </c>
      <c r="C43">
        <v>512</v>
      </c>
      <c r="D43">
        <v>135</v>
      </c>
      <c r="E43">
        <v>3</v>
      </c>
      <c r="F43">
        <v>0</v>
      </c>
      <c r="G43">
        <v>0</v>
      </c>
      <c r="I43">
        <v>38</v>
      </c>
      <c r="J43">
        <v>17</v>
      </c>
      <c r="K43">
        <v>0</v>
      </c>
      <c r="L43">
        <v>0</v>
      </c>
      <c r="M43">
        <v>0</v>
      </c>
      <c r="O43" s="2">
        <f t="shared" si="18"/>
        <v>7.421875E-2</v>
      </c>
      <c r="P43" s="2">
        <f t="shared" si="19"/>
        <v>0.12592592592592591</v>
      </c>
      <c r="Q43" s="2">
        <f t="shared" si="20"/>
        <v>0</v>
      </c>
      <c r="R43" s="2">
        <f t="shared" si="21"/>
        <v>0</v>
      </c>
      <c r="S43" s="2">
        <f t="shared" si="22"/>
        <v>0</v>
      </c>
      <c r="T43" s="2"/>
      <c r="U43" s="2">
        <f>39/569</f>
        <v>6.8541300527240778E-2</v>
      </c>
      <c r="V43" s="2"/>
      <c r="W43" s="3">
        <f t="shared" si="15"/>
        <v>1.0828325320512819</v>
      </c>
      <c r="X43" s="3">
        <f t="shared" si="16"/>
        <v>1.8372269705603035</v>
      </c>
      <c r="Y43" s="3">
        <f t="shared" si="17"/>
        <v>0</v>
      </c>
      <c r="Z43" s="3">
        <f t="shared" si="13"/>
        <v>0</v>
      </c>
      <c r="AA43" s="3">
        <f t="shared" si="14"/>
        <v>0</v>
      </c>
      <c r="AB43" s="3">
        <f t="shared" si="23"/>
        <v>1.8372269705603035</v>
      </c>
      <c r="AC43" s="41">
        <f>INDEX(C43:AA43, 1, MATCH(AB43, W43:AA43, 0))</f>
        <v>135</v>
      </c>
      <c r="AD43" s="41" t="str">
        <f t="shared" si="9"/>
        <v>4</v>
      </c>
      <c r="AE43" s="3">
        <f>IF(C43&gt;0,((I43*((3*39)+C43))/(4*C43*39))*(1-(C43-I43)/(569-39)),0)</f>
        <v>3.1619270077406864E-2</v>
      </c>
      <c r="AF43" s="3">
        <f>IF(D43&gt;0,((J43*((3*39)+D43))/(4*D43*39))*(1-(D43-J43)/(569-39)),0)</f>
        <v>0.1581293339783906</v>
      </c>
      <c r="AG43" s="3">
        <f>IF(E43&gt;0,((K43*((3*39)+E43))/(4*E43*39))*(1-(E43-K43)/(569-39)),0)</f>
        <v>0</v>
      </c>
      <c r="AH43" s="3">
        <f>IF(F43&gt;0,((L43*((3*39)+F43))/(4*F43*39))*(1-(F43-L43)/(569-39)),0)</f>
        <v>0</v>
      </c>
      <c r="AI43" s="3">
        <f>IF(G43&gt;0,((M43*((3*39)+G43))/(4*G43*39))*(1-(G43-M43)/(569-39)),0)</f>
        <v>0</v>
      </c>
      <c r="AY43" t="s">
        <v>33</v>
      </c>
      <c r="AZ43" t="str">
        <f>IF(COUNTIF(W15:AA15,AZ30), B15, IF(COUNTIF(W16:AA16,AZ30), B16, IF(COUNTIF(W17:AA17,AZ30), B17, B18)))</f>
        <v>dU</v>
      </c>
    </row>
    <row r="44" spans="1:71" x14ac:dyDescent="0.3">
      <c r="A44" s="31" t="s">
        <v>35</v>
      </c>
      <c r="B44" t="s">
        <v>28</v>
      </c>
      <c r="C44">
        <v>560</v>
      </c>
      <c r="D44">
        <v>342</v>
      </c>
      <c r="E44">
        <v>5</v>
      </c>
      <c r="F44">
        <v>0</v>
      </c>
      <c r="G44">
        <v>0</v>
      </c>
      <c r="I44">
        <v>39</v>
      </c>
      <c r="J44">
        <v>23</v>
      </c>
      <c r="K44">
        <v>0</v>
      </c>
      <c r="L44">
        <v>0</v>
      </c>
      <c r="M44">
        <v>0</v>
      </c>
      <c r="O44" s="2">
        <f t="shared" si="18"/>
        <v>6.9642857142857145E-2</v>
      </c>
      <c r="P44" s="2">
        <f t="shared" si="19"/>
        <v>6.725146198830409E-2</v>
      </c>
      <c r="Q44" s="2">
        <f t="shared" si="20"/>
        <v>0</v>
      </c>
      <c r="R44" s="2">
        <f t="shared" si="21"/>
        <v>0</v>
      </c>
      <c r="S44" s="2">
        <f t="shared" si="22"/>
        <v>0</v>
      </c>
      <c r="T44" s="2"/>
      <c r="U44" s="2">
        <f>39/569</f>
        <v>6.8541300527240778E-2</v>
      </c>
      <c r="V44" s="2"/>
      <c r="W44" s="3">
        <f t="shared" si="15"/>
        <v>1.0160714285714285</v>
      </c>
      <c r="X44" s="3">
        <f t="shared" si="16"/>
        <v>0.98118158644474418</v>
      </c>
      <c r="Y44" s="3">
        <f t="shared" si="17"/>
        <v>0</v>
      </c>
      <c r="Z44" s="3">
        <f t="shared" si="13"/>
        <v>0</v>
      </c>
      <c r="AA44" s="3">
        <f t="shared" si="14"/>
        <v>0</v>
      </c>
      <c r="AB44" s="3">
        <f t="shared" si="23"/>
        <v>1.0160714285714285</v>
      </c>
      <c r="AC44" s="41">
        <f>INDEX(C44:AA44, 1, MATCH(AB44, W44:AA44, 0))</f>
        <v>560</v>
      </c>
      <c r="AD44" s="41" t="str">
        <f t="shared" si="9"/>
        <v>3</v>
      </c>
      <c r="AE44" s="3">
        <f>IF(C44&gt;0,((I44*((3*39)+C44))/(4*C44*39))*(1-(C44-I44)/(569-39)),0)</f>
        <v>5.1322439353099717E-3</v>
      </c>
      <c r="AF44" s="3">
        <f>IF(D44&gt;0,((J44*((3*39)+D44))/(4*D44*39))*(1-(D44-J44)/(569-39)),0)</f>
        <v>7.8776449469100909E-2</v>
      </c>
      <c r="AG44" s="3">
        <f>IF(E44&gt;0,((K44*((3*39)+E44))/(4*E44*39))*(1-(E44-K44)/(569-39)),0)</f>
        <v>0</v>
      </c>
      <c r="AH44" s="3">
        <f>IF(F44&gt;0,((L44*((3*39)+F44))/(4*F44*39))*(1-(F44-L44)/(569-39)),0)</f>
        <v>0</v>
      </c>
      <c r="AI44" s="3">
        <f>IF(G44&gt;0,((M44*((3*39)+G44))/(4*G44*39))*(1-(G44-M44)/(569-39)),0)</f>
        <v>0</v>
      </c>
      <c r="AY44" t="s">
        <v>34</v>
      </c>
      <c r="AZ44" t="str">
        <f>IF(COUNTIF(W19:AA19,AZ31), B19, IF(COUNTIF(W20:AA20,AZ31), B20, IF(COUNTIF(W21:AA21,AZ31), B21, B22)))</f>
        <v>dU</v>
      </c>
    </row>
    <row r="45" spans="1:71" x14ac:dyDescent="0.3">
      <c r="A45" s="31" t="s">
        <v>35</v>
      </c>
      <c r="B45" t="s">
        <v>29</v>
      </c>
      <c r="C45">
        <v>568</v>
      </c>
      <c r="D45">
        <v>528</v>
      </c>
      <c r="E45">
        <v>223</v>
      </c>
      <c r="F45">
        <v>17</v>
      </c>
      <c r="G45">
        <v>0</v>
      </c>
      <c r="I45">
        <v>39</v>
      </c>
      <c r="J45">
        <v>37</v>
      </c>
      <c r="K45">
        <v>16</v>
      </c>
      <c r="L45">
        <v>1</v>
      </c>
      <c r="M45">
        <v>0</v>
      </c>
      <c r="N45" s="34"/>
      <c r="O45" s="35">
        <f t="shared" si="18"/>
        <v>6.8661971830985921E-2</v>
      </c>
      <c r="P45" s="35">
        <f t="shared" si="19"/>
        <v>7.0075757575757569E-2</v>
      </c>
      <c r="Q45" s="35">
        <f t="shared" si="20"/>
        <v>7.1748878923766815E-2</v>
      </c>
      <c r="R45" s="35">
        <f t="shared" si="21"/>
        <v>5.8823529411764705E-2</v>
      </c>
      <c r="S45" s="35">
        <f t="shared" si="22"/>
        <v>0</v>
      </c>
      <c r="T45" s="35"/>
      <c r="U45" s="35">
        <f>39/569</f>
        <v>6.8541300527240778E-2</v>
      </c>
      <c r="V45" s="35"/>
      <c r="W45" s="26">
        <f t="shared" si="15"/>
        <v>1.0017605633802817</v>
      </c>
      <c r="X45" s="26">
        <f t="shared" si="16"/>
        <v>1.0223873348873347</v>
      </c>
      <c r="Y45" s="26">
        <f t="shared" si="17"/>
        <v>1.0467977463493157</v>
      </c>
      <c r="Z45" s="26">
        <f t="shared" si="13"/>
        <v>0.85822021116138758</v>
      </c>
      <c r="AA45" s="26">
        <f t="shared" si="14"/>
        <v>0</v>
      </c>
      <c r="AB45" s="26">
        <f t="shared" si="23"/>
        <v>1.0467977463493157</v>
      </c>
      <c r="AC45" s="43">
        <f>INDEX(C45:AA45, 1, MATCH(AB45, W45:AA45, 0))</f>
        <v>223</v>
      </c>
      <c r="AD45" s="43" t="str">
        <f t="shared" si="9"/>
        <v>5</v>
      </c>
      <c r="AE45" s="26">
        <f>IF(C45&gt;0,((I45*((3*39)+C45))/(4*C45*39))*(1-(C45-I45)/(569-39)),0)</f>
        <v>5.6886128089290446E-4</v>
      </c>
      <c r="AF45" s="26">
        <f>IF(D45&gt;0,((J45*((3*39)+D45))/(4*D45*39))*(1-(D45-J45)/(569-39)),0)</f>
        <v>2.1320218696397934E-2</v>
      </c>
      <c r="AG45" s="26">
        <f>IF(E45&gt;0,((K45*((3*39)+E45))/(4*E45*39))*(1-(E45-K45)/(569-39)),0)</f>
        <v>9.530070008959933E-2</v>
      </c>
      <c r="AH45" s="26">
        <f>IF(F45&gt;0,((L45*((3*39)+F45))/(4*F45*39))*(1-(F45-L45)/(569-39)),0)</f>
        <v>4.9002532798315263E-2</v>
      </c>
      <c r="AI45" s="26">
        <f>IF(G45&gt;0,((M45*((3*39)+G45))/(4*G45*39))*(1-(G45-M45)/(569-39)),0)</f>
        <v>0</v>
      </c>
      <c r="AY45" t="s">
        <v>35</v>
      </c>
      <c r="AZ45" t="str">
        <f>IF(COUNTIF(W23:AA23,AZ32), B23, IF(COUNTIF(W24:AA24,AZ32), B24, IF(COUNTIF(W25:AA25,AZ32), B25, B26)))</f>
        <v>dE</v>
      </c>
    </row>
    <row r="46" spans="1:71" x14ac:dyDescent="0.3">
      <c r="A46" s="31" t="s">
        <v>37</v>
      </c>
      <c r="B46" s="1" t="s">
        <v>30</v>
      </c>
      <c r="C46" s="1">
        <v>458</v>
      </c>
      <c r="D46" s="1">
        <v>22</v>
      </c>
      <c r="E46" s="1">
        <v>1</v>
      </c>
      <c r="F46" s="1">
        <v>0</v>
      </c>
      <c r="G46" s="1">
        <v>0</v>
      </c>
      <c r="H46" s="1"/>
      <c r="I46" s="1">
        <v>35</v>
      </c>
      <c r="J46" s="1">
        <v>2</v>
      </c>
      <c r="K46" s="1">
        <v>0</v>
      </c>
      <c r="L46" s="1">
        <v>0</v>
      </c>
      <c r="M46" s="1">
        <v>0</v>
      </c>
      <c r="N46" s="1"/>
      <c r="O46" s="9">
        <f t="shared" si="18"/>
        <v>7.6419213973799124E-2</v>
      </c>
      <c r="P46" s="9">
        <f t="shared" si="19"/>
        <v>9.0909090909090912E-2</v>
      </c>
      <c r="Q46" s="9">
        <f t="shared" si="20"/>
        <v>0</v>
      </c>
      <c r="R46" s="9">
        <f t="shared" si="21"/>
        <v>0</v>
      </c>
      <c r="S46" s="9">
        <f t="shared" si="22"/>
        <v>0</v>
      </c>
      <c r="T46" s="9"/>
      <c r="U46" s="9">
        <f>56/569</f>
        <v>9.8418277680140595E-2</v>
      </c>
      <c r="V46" s="9"/>
      <c r="W46" s="10">
        <f t="shared" si="15"/>
        <v>0.7764737991266375</v>
      </c>
      <c r="X46" s="10">
        <f t="shared" si="16"/>
        <v>0.9237012987012988</v>
      </c>
      <c r="Y46" s="10">
        <f t="shared" si="17"/>
        <v>0</v>
      </c>
      <c r="Z46" s="10">
        <f t="shared" si="13"/>
        <v>0</v>
      </c>
      <c r="AA46" s="10">
        <f t="shared" si="14"/>
        <v>0</v>
      </c>
      <c r="AB46" s="10">
        <f t="shared" si="23"/>
        <v>0.9237012987012988</v>
      </c>
      <c r="AC46" s="42">
        <f>INDEX(C46:AA46, 1, MATCH(AB46, W46:AA46, 0))</f>
        <v>22</v>
      </c>
      <c r="AD46" s="42" t="str">
        <f t="shared" si="9"/>
        <v>4</v>
      </c>
      <c r="AE46" s="10">
        <f>IF(C46&gt;0,((I46*((3*56)+C46))/(4*C46*56))*(1-(C46-I46)/(569-56)),0)</f>
        <v>3.7467440435149005E-2</v>
      </c>
      <c r="AF46" s="10">
        <f>IF(D46&gt;0,((J46*((3*56)+D46))/(4*D46*56))*(1-(D46-J46)/(569-56)),0)</f>
        <v>7.4104136604136603E-2</v>
      </c>
      <c r="AG46" s="10">
        <f>IF(E46&gt;0,((K46*((3*56)+E46))/(4*E46*56))*(1-(E46-K46)/(569-56)),0)</f>
        <v>0</v>
      </c>
      <c r="AH46" s="10">
        <f>IF(F46&gt;0,((L46*((3*56)+F46))/(4*F46*56))*(1-(F46-L46)/(569-56)),0)</f>
        <v>0</v>
      </c>
      <c r="AI46" s="10">
        <f>IF(G46&gt;0,((M46*((3*56)+G46))/(4*G46*56))*(1-(G46-M46)/(569-56)),0)</f>
        <v>0</v>
      </c>
      <c r="AY46" t="s">
        <v>37</v>
      </c>
      <c r="AZ46" t="str">
        <f>IF(COUNTIF(W27:AA27,AZ33), B27, IF(COUNTIF(W28:AA28,AZ33), B28, IF(COUNTIF(W29:AA29,AZ33), B29, B30)))</f>
        <v>dE(class)</v>
      </c>
    </row>
    <row r="47" spans="1:71" x14ac:dyDescent="0.3">
      <c r="A47" s="31" t="s">
        <v>37</v>
      </c>
      <c r="B47" t="s">
        <v>27</v>
      </c>
      <c r="C47">
        <v>502</v>
      </c>
      <c r="D47">
        <v>130</v>
      </c>
      <c r="E47">
        <v>9</v>
      </c>
      <c r="F47">
        <v>0</v>
      </c>
      <c r="G47">
        <v>0</v>
      </c>
      <c r="I47">
        <v>53</v>
      </c>
      <c r="J47">
        <v>9</v>
      </c>
      <c r="K47">
        <v>0</v>
      </c>
      <c r="L47">
        <v>0</v>
      </c>
      <c r="M47">
        <v>0</v>
      </c>
      <c r="O47" s="2">
        <f t="shared" si="18"/>
        <v>0.10557768924302789</v>
      </c>
      <c r="P47" s="2">
        <f t="shared" si="19"/>
        <v>6.9230769230769235E-2</v>
      </c>
      <c r="Q47" s="2">
        <f t="shared" si="20"/>
        <v>0</v>
      </c>
      <c r="R47" s="2">
        <f t="shared" si="21"/>
        <v>0</v>
      </c>
      <c r="S47" s="2">
        <f t="shared" si="22"/>
        <v>0</v>
      </c>
      <c r="T47" s="2"/>
      <c r="U47" s="2">
        <f>56/569</f>
        <v>9.8418277680140595E-2</v>
      </c>
      <c r="V47" s="2"/>
      <c r="W47" s="3">
        <f t="shared" si="15"/>
        <v>1.0727447353443369</v>
      </c>
      <c r="X47" s="3">
        <f t="shared" si="16"/>
        <v>0.70343406593406599</v>
      </c>
      <c r="Y47" s="3">
        <f t="shared" si="17"/>
        <v>0</v>
      </c>
      <c r="Z47" s="3">
        <f t="shared" si="13"/>
        <v>0</v>
      </c>
      <c r="AA47" s="3">
        <f t="shared" si="14"/>
        <v>0</v>
      </c>
      <c r="AB47" s="3">
        <f t="shared" si="23"/>
        <v>1.0727447353443369</v>
      </c>
      <c r="AC47" s="41">
        <f>INDEX(C47:AA47, 1, MATCH(AB47, W47:AA47, 0))</f>
        <v>502</v>
      </c>
      <c r="AD47" s="41" t="str">
        <f t="shared" si="9"/>
        <v>3</v>
      </c>
      <c r="AE47" s="3">
        <f>IF(C47&gt;0,((I47*((3*56)+C47))/(4*C47*56))*(1-(C47-I47)/(569-56)),0)</f>
        <v>3.9396854242733877E-2</v>
      </c>
      <c r="AF47" s="3">
        <f>IF(D47&gt;0,((J47*((3*56)+D47))/(4*D47*56))*(1-(D47-J47)/(569-56)),0)</f>
        <v>7.0377867746288805E-2</v>
      </c>
      <c r="AG47" s="3">
        <f>IF(E47&gt;0,((K47*((3*56)+E47))/(4*E47*56))*(1-(E47-K47)/(569-56)),0)</f>
        <v>0</v>
      </c>
      <c r="AH47" s="3">
        <f>IF(F47&gt;0,((L47*((3*56)+F47))/(4*F47*56))*(1-(F47-L47)/(569-56)),0)</f>
        <v>0</v>
      </c>
      <c r="AI47" s="3">
        <f>IF(G47&gt;0,((M47*((3*56)+G47))/(4*G47*56))*(1-(G47-M47)/(569-56)),0)</f>
        <v>0</v>
      </c>
      <c r="AY47" t="s">
        <v>38</v>
      </c>
      <c r="AZ47" t="str">
        <f>IF(COUNTIF(W31:AA31,AZ34), B31, IF(COUNTIF(W32:AA32,AZ34), B32, IF(COUNTIF(W33:AA33,AZ34), B33, B34)))</f>
        <v>dE(class)</v>
      </c>
    </row>
    <row r="48" spans="1:71" x14ac:dyDescent="0.3">
      <c r="A48" s="31" t="s">
        <v>37</v>
      </c>
      <c r="B48" t="s">
        <v>28</v>
      </c>
      <c r="C48">
        <v>336</v>
      </c>
      <c r="D48">
        <v>52</v>
      </c>
      <c r="E48">
        <v>0</v>
      </c>
      <c r="F48">
        <v>0</v>
      </c>
      <c r="G48">
        <v>0</v>
      </c>
      <c r="I48">
        <v>34</v>
      </c>
      <c r="J48">
        <v>9</v>
      </c>
      <c r="K48">
        <v>0</v>
      </c>
      <c r="L48">
        <v>0</v>
      </c>
      <c r="M48">
        <v>0</v>
      </c>
      <c r="O48" s="2">
        <f t="shared" si="18"/>
        <v>0.10119047619047619</v>
      </c>
      <c r="P48" s="2">
        <f t="shared" si="19"/>
        <v>0.17307692307692307</v>
      </c>
      <c r="Q48" s="2">
        <f t="shared" si="20"/>
        <v>0</v>
      </c>
      <c r="R48" s="2">
        <f t="shared" si="21"/>
        <v>0</v>
      </c>
      <c r="S48" s="2">
        <f t="shared" si="22"/>
        <v>0</v>
      </c>
      <c r="T48" s="2"/>
      <c r="U48" s="2">
        <f>56/569</f>
        <v>9.8418277680140595E-2</v>
      </c>
      <c r="V48" s="2"/>
      <c r="W48" s="3">
        <f t="shared" si="15"/>
        <v>1.0281675170068028</v>
      </c>
      <c r="X48" s="3">
        <f t="shared" si="16"/>
        <v>1.7585851648351649</v>
      </c>
      <c r="Y48" s="3">
        <f t="shared" si="17"/>
        <v>0</v>
      </c>
      <c r="Z48" s="3">
        <f t="shared" si="13"/>
        <v>0</v>
      </c>
      <c r="AA48" s="3">
        <f t="shared" si="14"/>
        <v>0</v>
      </c>
      <c r="AB48" s="26">
        <f t="shared" si="23"/>
        <v>1.7585851648351649</v>
      </c>
      <c r="AC48" s="43">
        <f>INDEX(C48:AA48, 1, MATCH(AB48, W48:AA48, 0))</f>
        <v>52</v>
      </c>
      <c r="AD48" s="43" t="str">
        <f t="shared" si="9"/>
        <v>4</v>
      </c>
      <c r="AE48" s="3">
        <f>IF(C48&gt;0,((I48*((3*56)+C48))/(4*C48*56))*(1-(C48-I48)/(569-56)),0)</f>
        <v>9.3645572263993324E-2</v>
      </c>
      <c r="AF48" s="3">
        <f>IF(D48&gt;0,((J48*((3*56)+D48))/(4*D48*56))*(1-(D48-J48)/(569-56)),0)</f>
        <v>0.15573790244842878</v>
      </c>
      <c r="AG48" s="3">
        <f>IF(E48&gt;0,((K48*((3*56)+E48))/(4*E48*56))*(1-(E48-K48)/(569-56)),0)</f>
        <v>0</v>
      </c>
      <c r="AH48" s="3">
        <f>IF(F48&gt;0,((L48*((3*56)+F48))/(4*F48*56))*(1-(F48-L48)/(569-56)),0)</f>
        <v>0</v>
      </c>
      <c r="AI48" s="3">
        <f>IF(G48&gt;0,((M48*((3*56)+G48))/(4*G48*56))*(1-(G48-M48)/(569-56)),0)</f>
        <v>0</v>
      </c>
    </row>
    <row r="49" spans="1:53" x14ac:dyDescent="0.3">
      <c r="A49" s="31" t="s">
        <v>37</v>
      </c>
      <c r="B49" t="s">
        <v>29</v>
      </c>
      <c r="C49">
        <v>525</v>
      </c>
      <c r="D49">
        <v>178</v>
      </c>
      <c r="E49">
        <v>9</v>
      </c>
      <c r="F49">
        <v>0</v>
      </c>
      <c r="G49">
        <v>0</v>
      </c>
      <c r="I49">
        <v>55</v>
      </c>
      <c r="J49">
        <v>21</v>
      </c>
      <c r="K49">
        <v>0</v>
      </c>
      <c r="L49">
        <v>0</v>
      </c>
      <c r="M49">
        <v>0</v>
      </c>
      <c r="N49" s="34"/>
      <c r="O49" s="35">
        <f t="shared" si="18"/>
        <v>0.10476190476190476</v>
      </c>
      <c r="P49" s="35">
        <f t="shared" si="19"/>
        <v>0.11797752808988764</v>
      </c>
      <c r="Q49" s="35">
        <f t="shared" si="20"/>
        <v>0</v>
      </c>
      <c r="R49" s="35">
        <f t="shared" si="21"/>
        <v>0</v>
      </c>
      <c r="S49" s="35">
        <f t="shared" si="22"/>
        <v>0</v>
      </c>
      <c r="T49" s="35"/>
      <c r="U49" s="35">
        <f>56/569</f>
        <v>9.8418277680140595E-2</v>
      </c>
      <c r="V49" s="35"/>
      <c r="W49" s="26">
        <f t="shared" si="15"/>
        <v>1.0644557823129253</v>
      </c>
      <c r="X49" s="26">
        <f t="shared" si="16"/>
        <v>1.1987359550561798</v>
      </c>
      <c r="Y49" s="26">
        <f t="shared" si="17"/>
        <v>0</v>
      </c>
      <c r="Z49" s="26">
        <f t="shared" si="13"/>
        <v>0</v>
      </c>
      <c r="AA49" s="26">
        <f t="shared" si="14"/>
        <v>0</v>
      </c>
      <c r="AB49" s="26">
        <f t="shared" si="23"/>
        <v>1.1987359550561798</v>
      </c>
      <c r="AC49" s="43">
        <f>INDEX(C49:AA49, 1, MATCH(AB49, W49:AA49, 0))</f>
        <v>178</v>
      </c>
      <c r="AD49" s="43" t="str">
        <f t="shared" si="9"/>
        <v>4</v>
      </c>
      <c r="AE49" s="26">
        <f>IF(C49&gt;0,((I49*((3*56)+C49))/(4*C49*56))*(1-(C49-I49)/(569-56)),0)</f>
        <v>2.7166875522138697E-2</v>
      </c>
      <c r="AF49" s="26">
        <f>IF(D49&gt;0,((J49*((3*56)+D49))/(4*D49*56))*(1-(D49-J49)/(569-56)),0)</f>
        <v>0.12646198830409355</v>
      </c>
      <c r="AG49" s="26">
        <f>IF(E49&gt;0,((K49*((3*56)+E49))/(4*E49*56))*(1-(E49-K49)/(569-56)),0)</f>
        <v>0</v>
      </c>
      <c r="AH49" s="26">
        <f>IF(F49&gt;0,((L49*((3*56)+F49))/(4*F49*56))*(1-(F49-L49)/(569-56)),0)</f>
        <v>0</v>
      </c>
      <c r="AI49" s="26">
        <f>IF(G49&gt;0,((M49*((3*56)+G49))/(4*G49*56))*(1-(G49-M49)/(569-56)),0)</f>
        <v>0</v>
      </c>
      <c r="AY49" t="s">
        <v>46</v>
      </c>
      <c r="AZ49" t="s">
        <v>47</v>
      </c>
    </row>
    <row r="50" spans="1:53" x14ac:dyDescent="0.3">
      <c r="A50" s="31" t="s">
        <v>38</v>
      </c>
      <c r="B50" s="1" t="s">
        <v>30</v>
      </c>
      <c r="C50" s="1">
        <v>18</v>
      </c>
      <c r="D50" s="1">
        <v>2</v>
      </c>
      <c r="E50" s="1">
        <v>0</v>
      </c>
      <c r="F50" s="1">
        <v>0</v>
      </c>
      <c r="G50" s="1">
        <v>0</v>
      </c>
      <c r="H50" s="1"/>
      <c r="I50" s="1">
        <v>1</v>
      </c>
      <c r="J50" s="1">
        <v>1</v>
      </c>
      <c r="K50" s="1">
        <v>0</v>
      </c>
      <c r="L50" s="1">
        <v>0</v>
      </c>
      <c r="M50" s="1">
        <v>0</v>
      </c>
      <c r="N50" s="1"/>
      <c r="O50" s="9">
        <f t="shared" si="18"/>
        <v>5.5555555555555552E-2</v>
      </c>
      <c r="P50" s="9">
        <f t="shared" si="19"/>
        <v>0.5</v>
      </c>
      <c r="Q50" s="9">
        <f t="shared" si="20"/>
        <v>0</v>
      </c>
      <c r="R50" s="9">
        <f t="shared" si="21"/>
        <v>0</v>
      </c>
      <c r="S50" s="9">
        <f t="shared" si="22"/>
        <v>0</v>
      </c>
      <c r="T50" s="9"/>
      <c r="U50" s="9">
        <f>53/569</f>
        <v>9.3145869947275917E-2</v>
      </c>
      <c r="V50" s="9"/>
      <c r="W50" s="10">
        <f t="shared" si="15"/>
        <v>0.59643605870020966</v>
      </c>
      <c r="X50" s="10">
        <f t="shared" si="16"/>
        <v>5.367924528301887</v>
      </c>
      <c r="Y50" s="10">
        <f t="shared" si="17"/>
        <v>0</v>
      </c>
      <c r="Z50" s="10">
        <f t="shared" si="13"/>
        <v>0</v>
      </c>
      <c r="AA50" s="10">
        <f t="shared" si="14"/>
        <v>0</v>
      </c>
      <c r="AB50" s="10">
        <f t="shared" si="23"/>
        <v>5.367924528301887</v>
      </c>
      <c r="AC50" s="42">
        <f>INDEX(C50:AA50, 1, MATCH(AB50, W50:AA50, 0))</f>
        <v>2</v>
      </c>
      <c r="AD50" s="42" t="str">
        <f t="shared" si="9"/>
        <v>4</v>
      </c>
      <c r="AE50" s="10">
        <f>IF(C50&gt;0,((I50*((3*53)+C50))/(4*C50*53))*(1-(C50-I50)/(569-53)),0)</f>
        <v>4.4855504363512252E-2</v>
      </c>
      <c r="AF50" s="10">
        <f>IF(D50&gt;0,((J50*((3*53)+D50))/(4*D50*53))*(1-(D50-J50)/(569-53)),0)</f>
        <v>0.37898109550972647</v>
      </c>
      <c r="AG50" s="10">
        <f>IF(E50&gt;0,((K50*((3*53)+E50))/(4*E50*53))*(1-(E50-K50)/(569-53)),0)</f>
        <v>0</v>
      </c>
      <c r="AH50" s="10">
        <f>IF(F50&gt;0,((L50*((3*53)+F50))/(4*F50*53))*(1-(F50-L50)/(569-53)),0)</f>
        <v>0</v>
      </c>
      <c r="AI50" s="10">
        <f>IF(G50&gt;0,((M50*((3*53)+G50))/(4*G50*53))*(1-(G50-M50)/(569-53)),0)</f>
        <v>0</v>
      </c>
      <c r="AY50" t="s">
        <v>27</v>
      </c>
      <c r="AZ50">
        <f>COUNTIF(AZ$40:AZ$47, AY50)</f>
        <v>2</v>
      </c>
    </row>
    <row r="51" spans="1:53" x14ac:dyDescent="0.3">
      <c r="A51" s="31" t="s">
        <v>38</v>
      </c>
      <c r="B51" t="s">
        <v>27</v>
      </c>
      <c r="C51">
        <v>568</v>
      </c>
      <c r="D51">
        <v>487</v>
      </c>
      <c r="E51">
        <v>63</v>
      </c>
      <c r="F51">
        <v>1</v>
      </c>
      <c r="G51">
        <v>0</v>
      </c>
      <c r="I51">
        <v>53</v>
      </c>
      <c r="J51">
        <v>50</v>
      </c>
      <c r="K51">
        <v>8</v>
      </c>
      <c r="L51">
        <v>0</v>
      </c>
      <c r="M51">
        <v>0</v>
      </c>
      <c r="O51" s="2">
        <f t="shared" si="18"/>
        <v>9.3309859154929578E-2</v>
      </c>
      <c r="P51" s="2">
        <f t="shared" si="19"/>
        <v>0.10266940451745379</v>
      </c>
      <c r="Q51" s="2">
        <f t="shared" si="20"/>
        <v>0.12698412698412698</v>
      </c>
      <c r="R51" s="2">
        <f t="shared" si="21"/>
        <v>0</v>
      </c>
      <c r="S51" s="2">
        <f t="shared" si="22"/>
        <v>0</v>
      </c>
      <c r="T51" s="2"/>
      <c r="U51" s="2">
        <f>53/569</f>
        <v>9.3145869947275917E-2</v>
      </c>
      <c r="V51" s="2"/>
      <c r="W51" s="3">
        <f t="shared" si="15"/>
        <v>1.0017605633802817</v>
      </c>
      <c r="X51" s="3">
        <f t="shared" si="16"/>
        <v>1.1022432296307776</v>
      </c>
      <c r="Y51" s="3">
        <f t="shared" si="17"/>
        <v>1.3632824198861935</v>
      </c>
      <c r="Z51" s="3">
        <f t="shared" si="13"/>
        <v>0</v>
      </c>
      <c r="AA51" s="3">
        <f t="shared" si="14"/>
        <v>0</v>
      </c>
      <c r="AB51" s="3">
        <f t="shared" si="23"/>
        <v>1.3632824198861935</v>
      </c>
      <c r="AC51" s="41">
        <f>INDEX(C51:AA51, 1, MATCH(AB51, W51:AA51, 0))</f>
        <v>63</v>
      </c>
      <c r="AD51" s="41" t="str">
        <f t="shared" si="9"/>
        <v>5</v>
      </c>
      <c r="AE51" s="3">
        <f>IF(C51&gt;0,((I51*((3*53)+C51))/(4*C51*53))*(1-(C51-I51)/(569-53)),0)</f>
        <v>6.2012091931433672E-4</v>
      </c>
      <c r="AF51" s="3">
        <f>IF(D51&gt;0,((J51*((3*53)+D51))/(4*D51*53))*(1-(D51-J51)/(569-53)),0)</f>
        <v>4.7897747459994686E-2</v>
      </c>
      <c r="AG51" s="3">
        <f>IF(E51&gt;0,((K51*((3*53)+E51))/(4*E51*53))*(1-(E51-K51)/(569-53)),0)</f>
        <v>0.1188003649609617</v>
      </c>
      <c r="AH51" s="3">
        <f>IF(F51&gt;0,((L51*((3*53)+F51))/(4*F51*53))*(1-(F51-L51)/(569-53)),0)</f>
        <v>0</v>
      </c>
      <c r="AI51" s="3">
        <f>IF(G51&gt;0,((M51*((3*53)+G51))/(4*G51*53))*(1-(G51-M51)/(569-53)),0)</f>
        <v>0</v>
      </c>
      <c r="AY51" t="s">
        <v>28</v>
      </c>
      <c r="AZ51">
        <f t="shared" ref="AZ51:AZ53" si="24">COUNTIF(AZ$40:AZ$47, AY51)</f>
        <v>2</v>
      </c>
    </row>
    <row r="52" spans="1:53" x14ac:dyDescent="0.3">
      <c r="A52" s="31" t="s">
        <v>38</v>
      </c>
      <c r="B52" t="s">
        <v>28</v>
      </c>
      <c r="C52">
        <v>15</v>
      </c>
      <c r="D52">
        <v>0</v>
      </c>
      <c r="E52">
        <v>0</v>
      </c>
      <c r="F52">
        <v>0</v>
      </c>
      <c r="G52">
        <v>0</v>
      </c>
      <c r="I52">
        <v>0</v>
      </c>
      <c r="J52">
        <v>0</v>
      </c>
      <c r="K52">
        <v>0</v>
      </c>
      <c r="L52">
        <v>0</v>
      </c>
      <c r="M52">
        <v>0</v>
      </c>
      <c r="O52" s="2">
        <f t="shared" si="18"/>
        <v>0</v>
      </c>
      <c r="P52" s="2">
        <f t="shared" si="19"/>
        <v>0</v>
      </c>
      <c r="Q52" s="2">
        <f t="shared" si="20"/>
        <v>0</v>
      </c>
      <c r="R52" s="2">
        <f t="shared" si="21"/>
        <v>0</v>
      </c>
      <c r="S52" s="2">
        <f t="shared" si="22"/>
        <v>0</v>
      </c>
      <c r="T52" s="2"/>
      <c r="U52" s="2">
        <f>53/569</f>
        <v>9.3145869947275917E-2</v>
      </c>
      <c r="V52" s="2"/>
      <c r="W52" s="3">
        <f t="shared" si="15"/>
        <v>0</v>
      </c>
      <c r="X52" s="3">
        <f t="shared" si="16"/>
        <v>0</v>
      </c>
      <c r="Y52" s="3">
        <f t="shared" si="17"/>
        <v>0</v>
      </c>
      <c r="Z52" s="3">
        <f t="shared" si="13"/>
        <v>0</v>
      </c>
      <c r="AA52" s="3">
        <f t="shared" si="14"/>
        <v>0</v>
      </c>
      <c r="AB52" s="3">
        <f t="shared" si="23"/>
        <v>0</v>
      </c>
      <c r="AC52" s="41">
        <f>INDEX(C52:AA52, 1, MATCH(AB52, W52:AA52, 0))</f>
        <v>15</v>
      </c>
      <c r="AD52" s="41" t="str">
        <f t="shared" si="9"/>
        <v>3</v>
      </c>
      <c r="AE52" s="3">
        <f>IF(C52&gt;0,((I52*((3*53)+C52))/(4*C52*53))*(1-(C52-I52)/(569-53)),0)</f>
        <v>0</v>
      </c>
      <c r="AF52" s="3">
        <f>IF(D52&gt;0,((J52*((3*53)+D52))/(4*D52*53))*(1-(D52-J52)/(569-53)),0)</f>
        <v>0</v>
      </c>
      <c r="AG52" s="3">
        <f>IF(E52&gt;0,((K52*((3*53)+E52))/(4*E52*53))*(1-(E52-K52)/(569-53)),0)</f>
        <v>0</v>
      </c>
      <c r="AH52" s="3">
        <f>IF(F52&gt;0,((L52*((3*53)+F52))/(4*F52*53))*(1-(F52-L52)/(569-53)),0)</f>
        <v>0</v>
      </c>
      <c r="AI52" s="3">
        <f>IF(G52&gt;0,((M52*((3*53)+G52))/(4*G52*53))*(1-(G52-M52)/(569-53)),0)</f>
        <v>0</v>
      </c>
      <c r="AY52" t="s">
        <v>29</v>
      </c>
      <c r="AZ52">
        <f t="shared" si="24"/>
        <v>1</v>
      </c>
    </row>
    <row r="53" spans="1:53" x14ac:dyDescent="0.3">
      <c r="A53" s="31" t="s">
        <v>38</v>
      </c>
      <c r="B53" t="s">
        <v>29</v>
      </c>
      <c r="C53">
        <v>566</v>
      </c>
      <c r="D53">
        <v>465</v>
      </c>
      <c r="E53">
        <v>35</v>
      </c>
      <c r="F53">
        <v>3</v>
      </c>
      <c r="G53">
        <v>0</v>
      </c>
      <c r="I53">
        <v>53</v>
      </c>
      <c r="J53">
        <v>49</v>
      </c>
      <c r="K53">
        <v>1</v>
      </c>
      <c r="L53">
        <v>0</v>
      </c>
      <c r="M53">
        <v>0</v>
      </c>
      <c r="N53" s="34"/>
      <c r="O53" s="35">
        <f t="shared" si="18"/>
        <v>9.3639575971731448E-2</v>
      </c>
      <c r="P53" s="35">
        <f t="shared" si="19"/>
        <v>0.10537634408602151</v>
      </c>
      <c r="Q53" s="35">
        <f t="shared" si="20"/>
        <v>2.8571428571428571E-2</v>
      </c>
      <c r="R53" s="35">
        <f t="shared" si="21"/>
        <v>0</v>
      </c>
      <c r="S53" s="35">
        <f t="shared" si="22"/>
        <v>0</v>
      </c>
      <c r="T53" s="35"/>
      <c r="U53" s="35">
        <f>53/569</f>
        <v>9.3145869947275917E-2</v>
      </c>
      <c r="V53" s="35"/>
      <c r="W53" s="26">
        <f t="shared" si="15"/>
        <v>1.0053003533568905</v>
      </c>
      <c r="X53" s="26">
        <f t="shared" si="16"/>
        <v>1.1313045242442687</v>
      </c>
      <c r="Y53" s="26">
        <f t="shared" si="17"/>
        <v>0.30673854447439353</v>
      </c>
      <c r="Z53" s="26">
        <f t="shared" si="13"/>
        <v>0</v>
      </c>
      <c r="AA53" s="26">
        <f t="shared" si="14"/>
        <v>0</v>
      </c>
      <c r="AB53" s="26">
        <f t="shared" si="23"/>
        <v>1.1313045242442687</v>
      </c>
      <c r="AC53" s="43">
        <f>INDEX(C53:AA53, 1, MATCH(AB53, W53:AA53, 0))</f>
        <v>465</v>
      </c>
      <c r="AD53" s="43" t="str">
        <f t="shared" si="9"/>
        <v>4</v>
      </c>
      <c r="AE53" s="26">
        <f>IF(C53&gt;0,((I53*((3*53)+C53))/(4*C53*53))*(1-(C53-I53)/(569-53)),0)</f>
        <v>1.8618004766209253E-3</v>
      </c>
      <c r="AF53" s="26">
        <f>IF(D53&gt;0,((J53*((3*53)+D53))/(4*D53*53))*(1-(D53-J53)/(569-53)),0)</f>
        <v>6.0109366964382613E-2</v>
      </c>
      <c r="AG53" s="26">
        <f>IF(E53&gt;0,((K53*((3*53)+E53))/(4*E53*53))*(1-(E53-K53)/(569-53)),0)</f>
        <v>2.442278359347249E-2</v>
      </c>
      <c r="AH53" s="26">
        <f>IF(F53&gt;0,((L53*((3*53)+F53))/(4*F53*53))*(1-(F53-L53)/(569-53)),0)</f>
        <v>0</v>
      </c>
      <c r="AI53" s="26">
        <f>IF(G53&gt;0,((M53*((3*53)+G53))/(4*G53*53))*(1-(G53-M53)/(569-53)),0)</f>
        <v>0</v>
      </c>
      <c r="AY53" t="s">
        <v>30</v>
      </c>
      <c r="AZ53">
        <f t="shared" si="24"/>
        <v>3</v>
      </c>
    </row>
    <row r="54" spans="1:53" x14ac:dyDescent="0.3">
      <c r="A54" s="32" t="s">
        <v>57</v>
      </c>
      <c r="B54" s="1" t="s">
        <v>30</v>
      </c>
      <c r="C54" s="1">
        <v>16</v>
      </c>
      <c r="D54" s="1">
        <v>2</v>
      </c>
      <c r="E54" s="1">
        <v>0</v>
      </c>
      <c r="F54" s="1">
        <v>0</v>
      </c>
      <c r="G54" s="1">
        <v>0</v>
      </c>
      <c r="H54" s="1"/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/>
      <c r="O54" s="29">
        <f t="shared" ref="O54:S54" si="25">IF(I54&gt;0, I54/C54, 0)</f>
        <v>0</v>
      </c>
      <c r="P54" s="29">
        <f t="shared" si="25"/>
        <v>0</v>
      </c>
      <c r="Q54" s="29">
        <f t="shared" si="25"/>
        <v>0</v>
      </c>
      <c r="R54" s="29">
        <f t="shared" si="25"/>
        <v>0</v>
      </c>
      <c r="S54" s="29">
        <f t="shared" si="25"/>
        <v>0</v>
      </c>
      <c r="T54" s="29"/>
      <c r="U54" s="29">
        <f t="shared" ref="U54" si="26">57/569</f>
        <v>0.10017574692442882</v>
      </c>
      <c r="V54" s="29"/>
      <c r="W54" s="30">
        <f t="shared" ref="W54:AA54" si="27">O54/$U54</f>
        <v>0</v>
      </c>
      <c r="X54" s="30">
        <f t="shared" si="27"/>
        <v>0</v>
      </c>
      <c r="Y54" s="30">
        <f t="shared" si="27"/>
        <v>0</v>
      </c>
      <c r="Z54" s="30">
        <f t="shared" si="27"/>
        <v>0</v>
      </c>
      <c r="AA54" s="30">
        <f t="shared" si="27"/>
        <v>0</v>
      </c>
      <c r="AB54" s="30">
        <f t="shared" ref="AB54" si="28">MAX(W54:AA54)</f>
        <v>0</v>
      </c>
      <c r="AC54" s="40">
        <f>INDEX(C54:AA54, 1, MATCH(AB54, W54:AA54, 0))</f>
        <v>16</v>
      </c>
      <c r="AD54" s="40" t="str">
        <f t="shared" si="9"/>
        <v>3</v>
      </c>
      <c r="AE54" s="30">
        <f>IF(C54&gt;0,((I54*((3*57)+C54))/(4*C54*57))*(1-(C54-I54)/(569-57)),0)</f>
        <v>0</v>
      </c>
      <c r="AF54" s="30">
        <f t="shared" ref="AF54:AI54" si="29">IF(D54&gt;0,((J54*((3*57)+D54))/(4*D54*57))*(1-(D54-J54)/(569-57)),0)</f>
        <v>0</v>
      </c>
      <c r="AG54" s="30">
        <f t="shared" si="29"/>
        <v>0</v>
      </c>
      <c r="AH54" s="30">
        <f t="shared" si="29"/>
        <v>0</v>
      </c>
      <c r="AI54" s="30">
        <f t="shared" si="29"/>
        <v>0</v>
      </c>
    </row>
    <row r="55" spans="1:53" x14ac:dyDescent="0.3">
      <c r="AY55" t="s">
        <v>46</v>
      </c>
      <c r="AZ55" t="s">
        <v>49</v>
      </c>
      <c r="BA55" t="s">
        <v>50</v>
      </c>
    </row>
    <row r="56" spans="1:53" x14ac:dyDescent="0.3">
      <c r="AY56" t="s">
        <v>27</v>
      </c>
      <c r="AZ56">
        <f>SUM(COUNTIF(AB3, "&gt;1.5"), COUNTIF(AB7, "&gt;1.5"), COUNTIF(AB11, "&gt;1.5"), COUNTIF(AB15, "&gt;1.5"), COUNTIF(AB19, "&gt;1.5"), COUNTIF(AB23, "&gt;1.5"), COUNTIF(AB27, "&gt;1.5"), COUNTIF(AB31, "&gt;1.5"))</f>
        <v>1</v>
      </c>
      <c r="BA56">
        <f>SUM(COUNTIF(AB3, "&gt;2"), COUNTIF(AB7, "&gt;2"), COUNTIF(AB11, "&gt;2"), COUNTIF(AB15, "&gt;2"), COUNTIF(AB19, "&gt;2"), COUNTIF(AB23, "&gt;2"), COUNTIF(AB27, "&gt;2"), COUNTIF(AB31, "&gt;2"))</f>
        <v>0</v>
      </c>
    </row>
    <row r="57" spans="1:53" x14ac:dyDescent="0.3">
      <c r="AY57" t="s">
        <v>28</v>
      </c>
      <c r="AZ57">
        <f>SUM(COUNTIF(AB4, "&gt;1.5"), COUNTIF(AB8, "&gt;1.5"), COUNTIF(AB12, "&gt;1.5"), COUNTIF(AB16, "&gt;1.5"), COUNTIF(AB20, "&gt;1.5"), COUNTIF(AB24, "&gt;1.5"), COUNTIF(AB28, "&gt;1.5"), COUNTIF(AB32, "&gt;1.5"))</f>
        <v>4</v>
      </c>
      <c r="BA57">
        <f t="shared" ref="BA57:BA59" si="30">SUM(COUNTIF(AB4, "&gt;2"), COUNTIF(AB8, "&gt;2"), COUNTIF(AB12, "&gt;2"), COUNTIF(AB16, "&gt;2"), COUNTIF(AB20, "&gt;2"), COUNTIF(AB24, "&gt;2"), COUNTIF(AB28, "&gt;2"), COUNTIF(AB32, "&gt;2"))</f>
        <v>3</v>
      </c>
    </row>
    <row r="58" spans="1:53" x14ac:dyDescent="0.3">
      <c r="AY58" t="s">
        <v>29</v>
      </c>
      <c r="AZ58">
        <f t="shared" ref="AZ58:AZ59" si="31">SUM(COUNTIF(AB5, "&gt;1.5"), COUNTIF(AB9, "&gt;1.5"), COUNTIF(AB13, "&gt;1.5"), COUNTIF(AB17, "&gt;1.5"), COUNTIF(AB21, "&gt;1.5"), COUNTIF(AB25, "&gt;1.5"), COUNTIF(AB29, "&gt;1.5"), COUNTIF(AB33, "&gt;1.5"))</f>
        <v>1</v>
      </c>
      <c r="BA58">
        <f t="shared" si="30"/>
        <v>0</v>
      </c>
    </row>
    <row r="59" spans="1:53" x14ac:dyDescent="0.3">
      <c r="AY59" t="s">
        <v>30</v>
      </c>
      <c r="AZ59">
        <f t="shared" si="31"/>
        <v>3</v>
      </c>
      <c r="BA59">
        <f t="shared" si="30"/>
        <v>3</v>
      </c>
    </row>
  </sheetData>
  <sortState xmlns:xlrd2="http://schemas.microsoft.com/office/spreadsheetml/2017/richdata2" ref="A3:AI53">
    <sortCondition ref="A3:A53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730D3-F768-4A48-B422-40BCAA9210AB}">
  <sheetPr codeName="Sheet3"/>
  <dimension ref="A1:BS59"/>
  <sheetViews>
    <sheetView topLeftCell="S13" zoomScale="55" zoomScaleNormal="55" workbookViewId="0">
      <selection activeCell="AD2" sqref="AD2:AD54"/>
    </sheetView>
  </sheetViews>
  <sheetFormatPr defaultRowHeight="14.4" x14ac:dyDescent="0.3"/>
  <cols>
    <col min="3" max="5" width="9.6640625" bestFit="1" customWidth="1"/>
    <col min="6" max="7" width="9.6640625" customWidth="1"/>
    <col min="38" max="38" width="12.77734375" bestFit="1" customWidth="1"/>
    <col min="45" max="47" width="9.33203125" bestFit="1" customWidth="1"/>
    <col min="48" max="50" width="9.33203125" customWidth="1"/>
  </cols>
  <sheetData>
    <row r="1" spans="1:61" x14ac:dyDescent="0.3">
      <c r="A1" t="s">
        <v>0</v>
      </c>
      <c r="E1" t="s">
        <v>1</v>
      </c>
      <c r="K1" t="s">
        <v>2</v>
      </c>
      <c r="P1" t="s">
        <v>3</v>
      </c>
      <c r="U1" t="s">
        <v>4</v>
      </c>
      <c r="Y1" t="s">
        <v>5</v>
      </c>
      <c r="AG1" t="s">
        <v>6</v>
      </c>
      <c r="AN1" t="s">
        <v>7</v>
      </c>
      <c r="AU1" t="s">
        <v>8</v>
      </c>
      <c r="BA1" t="s">
        <v>9</v>
      </c>
      <c r="BG1" t="s">
        <v>10</v>
      </c>
    </row>
    <row r="2" spans="1:61" s="1" customFormat="1" x14ac:dyDescent="0.3">
      <c r="C2" s="1" t="s">
        <v>11</v>
      </c>
      <c r="D2" s="1" t="s">
        <v>12</v>
      </c>
      <c r="E2" s="1" t="s">
        <v>13</v>
      </c>
      <c r="F2" s="1" t="s">
        <v>14</v>
      </c>
      <c r="G2" s="1" t="s">
        <v>15</v>
      </c>
      <c r="I2" s="1" t="s">
        <v>16</v>
      </c>
      <c r="J2" s="1" t="s">
        <v>17</v>
      </c>
      <c r="K2" s="1" t="s">
        <v>18</v>
      </c>
      <c r="L2" s="1" t="s">
        <v>19</v>
      </c>
      <c r="M2" s="1" t="s">
        <v>20</v>
      </c>
      <c r="O2" s="1" t="s">
        <v>16</v>
      </c>
      <c r="P2" s="1" t="s">
        <v>17</v>
      </c>
      <c r="Q2" s="1" t="s">
        <v>18</v>
      </c>
      <c r="R2" s="1" t="s">
        <v>19</v>
      </c>
      <c r="S2" s="1" t="s">
        <v>20</v>
      </c>
      <c r="W2" s="1" t="s">
        <v>16</v>
      </c>
      <c r="X2" s="1" t="s">
        <v>17</v>
      </c>
      <c r="Y2" s="1" t="s">
        <v>18</v>
      </c>
      <c r="Z2" s="1" t="s">
        <v>19</v>
      </c>
      <c r="AA2" s="1" t="s">
        <v>20</v>
      </c>
      <c r="AB2" s="1" t="s">
        <v>51</v>
      </c>
      <c r="AC2" s="1" t="s">
        <v>58</v>
      </c>
      <c r="AD2" s="1" t="s">
        <v>59</v>
      </c>
      <c r="AE2" s="1" t="s">
        <v>16</v>
      </c>
      <c r="AF2" s="1" t="s">
        <v>17</v>
      </c>
      <c r="AG2" s="1" t="s">
        <v>18</v>
      </c>
      <c r="AH2" s="1" t="s">
        <v>19</v>
      </c>
      <c r="AI2" s="1" t="s">
        <v>20</v>
      </c>
      <c r="AL2" s="1" t="s">
        <v>21</v>
      </c>
      <c r="AM2" s="1" t="s">
        <v>22</v>
      </c>
      <c r="AN2" s="1" t="s">
        <v>23</v>
      </c>
      <c r="AO2" s="1" t="s">
        <v>24</v>
      </c>
      <c r="AP2" s="1" t="s">
        <v>25</v>
      </c>
      <c r="AS2" s="1" t="s">
        <v>21</v>
      </c>
      <c r="AT2" s="1" t="s">
        <v>22</v>
      </c>
      <c r="AU2" s="1" t="s">
        <v>23</v>
      </c>
      <c r="AV2" s="1" t="s">
        <v>24</v>
      </c>
      <c r="AW2" s="1" t="s">
        <v>25</v>
      </c>
      <c r="AY2" s="1" t="s">
        <v>21</v>
      </c>
      <c r="AZ2" s="1" t="s">
        <v>22</v>
      </c>
      <c r="BA2" s="1" t="s">
        <v>23</v>
      </c>
      <c r="BB2" s="1" t="s">
        <v>24</v>
      </c>
      <c r="BC2" s="1" t="s">
        <v>25</v>
      </c>
      <c r="BE2" s="1" t="s">
        <v>21</v>
      </c>
      <c r="BF2" s="1" t="s">
        <v>22</v>
      </c>
      <c r="BG2" s="1" t="s">
        <v>23</v>
      </c>
      <c r="BH2" s="1" t="s">
        <v>24</v>
      </c>
      <c r="BI2" s="1" t="s">
        <v>25</v>
      </c>
    </row>
    <row r="3" spans="1:61" x14ac:dyDescent="0.3">
      <c r="A3" s="31" t="s">
        <v>53</v>
      </c>
      <c r="B3" t="s">
        <v>27</v>
      </c>
      <c r="C3">
        <v>565</v>
      </c>
      <c r="D3">
        <v>332</v>
      </c>
      <c r="E3">
        <v>81</v>
      </c>
      <c r="F3">
        <v>9</v>
      </c>
      <c r="G3">
        <v>0</v>
      </c>
      <c r="I3">
        <v>65</v>
      </c>
      <c r="J3">
        <v>39</v>
      </c>
      <c r="K3">
        <v>10</v>
      </c>
      <c r="L3">
        <v>0</v>
      </c>
      <c r="M3">
        <v>0</v>
      </c>
      <c r="O3" s="27">
        <f t="shared" ref="O3:O34" si="0">IF(I3&gt;0, I3/C3, 0)</f>
        <v>0.11504424778761062</v>
      </c>
      <c r="P3" s="27">
        <f t="shared" ref="P3:P34" si="1">IF(J3&gt;0, J3/D3, 0)</f>
        <v>0.11746987951807229</v>
      </c>
      <c r="Q3" s="27">
        <f t="shared" ref="Q3:Q34" si="2">IF(K3&gt;0, K3/E3, 0)</f>
        <v>0.12345679012345678</v>
      </c>
      <c r="R3" s="27">
        <f t="shared" ref="R3:R34" si="3">IF(L3&gt;0, L3/F3, 0)</f>
        <v>0</v>
      </c>
      <c r="S3" s="27">
        <f t="shared" ref="S3:S34" si="4">IF(M3&gt;0, M3/G3, 0)</f>
        <v>0</v>
      </c>
      <c r="T3" s="27"/>
      <c r="U3" s="27">
        <f>65/569</f>
        <v>0.11423550087873462</v>
      </c>
      <c r="V3" s="27"/>
      <c r="W3" s="28">
        <f t="shared" ref="W3:AA10" si="5">O3/$U3</f>
        <v>1.0070796460176992</v>
      </c>
      <c r="X3" s="28">
        <f t="shared" si="5"/>
        <v>1.0283132530120482</v>
      </c>
      <c r="Y3" s="28">
        <f t="shared" si="5"/>
        <v>1.0807217473884141</v>
      </c>
      <c r="Z3" s="28">
        <f t="shared" si="5"/>
        <v>0</v>
      </c>
      <c r="AA3" s="28">
        <f t="shared" si="5"/>
        <v>0</v>
      </c>
      <c r="AB3" s="28">
        <f t="shared" ref="AB3:AB34" si="6">MAX(W3:AA3)</f>
        <v>1.0807217473884141</v>
      </c>
      <c r="AC3" s="39">
        <f>INDEX(C3:AA3, 1, MATCH(AB3, W3:AA3, 0))</f>
        <v>81</v>
      </c>
      <c r="AD3" s="39" t="str">
        <f>LEFT(INDEX(C$2:G$2, 1, MATCH(AB3, W3:AA3, 0)),1)</f>
        <v>5</v>
      </c>
      <c r="AE3" s="28">
        <f>IF(C3&gt;0,((I3*((3*65)+C3))/(4*C3*65))*(1-(C3-I3)/(569-65)),0)</f>
        <v>2.6689141733389427E-3</v>
      </c>
      <c r="AF3" s="28">
        <f>IF(D3&gt;0,((J3*((3*65)+D3))/(4*D3*65))*(1-(D3-J3)/(569-65)),0)</f>
        <v>9.9681762765347098E-2</v>
      </c>
      <c r="AG3" s="28">
        <f>IF(E3&gt;0,((K3*((3*65)+E3))/(4*E3*65))*(1-(E3-K3)/(569-65)),0)</f>
        <v>0.11259214036991816</v>
      </c>
      <c r="AH3" s="28">
        <f>IF(F3&gt;0,((L3*((3*65)+F3))/(4*F3*65))*(1-(F3-L3)/(569-65)),0)</f>
        <v>0</v>
      </c>
      <c r="AI3" s="28">
        <f>IF(G3&gt;0,((M3*((3*65)+G3))/(4*G3*65))*(1-(G3-M3)/(569-65)),0)</f>
        <v>0</v>
      </c>
      <c r="AJ3" s="2"/>
      <c r="AK3" t="s">
        <v>27</v>
      </c>
      <c r="AL3" s="2">
        <f>AVERAGE(O7,O11,O19,O23,O27,O31)</f>
        <v>0.10894231083900913</v>
      </c>
      <c r="AM3" s="2">
        <f>AVERAGE(P7,P11,P19,P23,P27,P31)</f>
        <v>0.10963703664092088</v>
      </c>
      <c r="AN3" s="2">
        <f>AVERAGE(Q7,Q11,Q19,Q23,Q27,Q31)</f>
        <v>0.10970960473302394</v>
      </c>
      <c r="AO3" s="2">
        <f>AVERAGE(R7,R11,R19,R23,R27,R31)</f>
        <v>4.2582417582417577E-2</v>
      </c>
      <c r="AP3" s="2">
        <f>AVERAGE(S7,S11,S19,S23,S27,S31)</f>
        <v>0</v>
      </c>
      <c r="AR3" t="s">
        <v>27</v>
      </c>
      <c r="AS3" s="4">
        <f>AVERAGE(W3,W7,W11,W15,W19,W23,W27,W31)</f>
        <v>1.0020081634041818</v>
      </c>
      <c r="AT3" s="4">
        <f>AVERAGE(X3,X7,X11,X15,X19,X23,X27,X31)</f>
        <v>0.96293515537365193</v>
      </c>
      <c r="AU3" s="4">
        <f>AVERAGE(Y3,Y7,Y11,Y15,Y19,Y23,Y27,Y31)</f>
        <v>0.95224534545512696</v>
      </c>
      <c r="AV3" s="4">
        <f>AVERAGE(Z3,Z7,Z11,Z15,Z19,Z23,Z27,Z31)</f>
        <v>0.22697688539131916</v>
      </c>
      <c r="AW3" s="4">
        <f>AVERAGE(AA3,AA7,AA11,AA15,AA19,AA23,AA27,AA31)</f>
        <v>0</v>
      </c>
      <c r="AX3" s="4"/>
      <c r="AY3" s="4">
        <f t="shared" ref="AY3:BC6" si="7">AVERAGE(AE3,AE7,AE11,AE15,AE19,AE23,AE27,AE31)</f>
        <v>5.6989711590205777E-3</v>
      </c>
      <c r="AZ3" s="4">
        <f t="shared" si="7"/>
        <v>5.1462659648412644E-2</v>
      </c>
      <c r="BA3" s="4">
        <f t="shared" si="7"/>
        <v>9.5314634363691725E-2</v>
      </c>
      <c r="BB3" s="4">
        <f t="shared" si="7"/>
        <v>2.5154711375099933E-2</v>
      </c>
      <c r="BC3" s="4">
        <f t="shared" si="7"/>
        <v>0</v>
      </c>
      <c r="BE3" s="5">
        <f>MAX(AE3,AE7,AE11,AE15,AE19,AE23,AE27,AE31)</f>
        <v>3.4525607732545607E-2</v>
      </c>
      <c r="BF3" s="5">
        <f t="shared" ref="BF3:BI6" si="8">MAX(AF3,AF7,AF11,AF15,AF19,AF23,AF27,AF31)</f>
        <v>9.9681762765347098E-2</v>
      </c>
      <c r="BG3" s="5">
        <f t="shared" si="8"/>
        <v>0.18262980699785553</v>
      </c>
      <c r="BH3" s="5">
        <f t="shared" si="8"/>
        <v>0.14139376680904919</v>
      </c>
      <c r="BI3" s="5">
        <f t="shared" si="8"/>
        <v>0</v>
      </c>
    </row>
    <row r="4" spans="1:61" x14ac:dyDescent="0.3">
      <c r="A4" s="31" t="s">
        <v>53</v>
      </c>
      <c r="B4" t="s">
        <v>28</v>
      </c>
      <c r="C4">
        <v>535</v>
      </c>
      <c r="D4">
        <v>204</v>
      </c>
      <c r="E4">
        <v>4</v>
      </c>
      <c r="F4">
        <v>0</v>
      </c>
      <c r="G4">
        <v>0</v>
      </c>
      <c r="I4">
        <v>64</v>
      </c>
      <c r="J4">
        <v>30</v>
      </c>
      <c r="K4">
        <v>1</v>
      </c>
      <c r="L4">
        <v>0</v>
      </c>
      <c r="M4">
        <v>0</v>
      </c>
      <c r="O4" s="27">
        <f t="shared" si="0"/>
        <v>0.11962616822429907</v>
      </c>
      <c r="P4" s="27">
        <f t="shared" si="1"/>
        <v>0.14705882352941177</v>
      </c>
      <c r="Q4" s="27">
        <f t="shared" si="2"/>
        <v>0.25</v>
      </c>
      <c r="R4" s="27">
        <f t="shared" si="3"/>
        <v>0</v>
      </c>
      <c r="S4" s="27">
        <f t="shared" si="4"/>
        <v>0</v>
      </c>
      <c r="T4" s="27"/>
      <c r="U4" s="27">
        <f>65/569</f>
        <v>0.11423550087873462</v>
      </c>
      <c r="V4" s="27"/>
      <c r="W4" s="28">
        <f t="shared" si="5"/>
        <v>1.0471890726096333</v>
      </c>
      <c r="X4" s="28">
        <f t="shared" si="5"/>
        <v>1.2873303167420815</v>
      </c>
      <c r="Y4" s="28">
        <f t="shared" si="5"/>
        <v>2.1884615384615387</v>
      </c>
      <c r="Z4" s="28">
        <f t="shared" si="5"/>
        <v>0</v>
      </c>
      <c r="AA4" s="28">
        <f t="shared" si="5"/>
        <v>0</v>
      </c>
      <c r="AB4" s="28">
        <f t="shared" si="6"/>
        <v>2.1884615384615387</v>
      </c>
      <c r="AC4" s="39">
        <f t="shared" ref="AC4:AC54" si="9">INDEX(C4:AA4, 1, MATCH(AB4, W4:AA4, 0))</f>
        <v>4</v>
      </c>
      <c r="AD4" s="39" t="str">
        <f t="shared" ref="AD4:AD54" si="10">LEFT(INDEX(C$2:G$2, 1, MATCH(AB4, W4:AA4, 0)),1)</f>
        <v>5</v>
      </c>
      <c r="AE4" s="28">
        <f>IF(C4&gt;0,((I4*((3*65)+C4))/(4*C4*65))*(1-(C4-I4)/(569-65)),0)</f>
        <v>2.1991715449659371E-2</v>
      </c>
      <c r="AF4" s="28">
        <f>IF(D4&gt;0,((J4*((3*65)+D4))/(4*D4*65))*(1-(D4-J4)/(569-65)),0)</f>
        <v>0.1477658371040724</v>
      </c>
      <c r="AG4" s="28">
        <f>IF(E4&gt;0,((K4*((3*65)+E4))/(4*E4*65))*(1-(E4-K4)/(569-65)),0)</f>
        <v>0.19020718864468864</v>
      </c>
      <c r="AH4" s="28">
        <f>IF(F4&gt;0,((L4*((3*65)+F4))/(4*F4*65))*(1-(F4-L4)/(569-65)),0)</f>
        <v>0</v>
      </c>
      <c r="AI4" s="28">
        <f>IF(G4&gt;0,((M4*((3*65)+G4))/(4*G4*65))*(1-(G4-M4)/(569-65)),0)</f>
        <v>0</v>
      </c>
      <c r="AJ4" s="2"/>
      <c r="AK4" t="s">
        <v>28</v>
      </c>
      <c r="AL4" s="6">
        <f>AVERAGE(O8,O12,O20,O24,O28,O32)</f>
        <v>0.10764310700155927</v>
      </c>
      <c r="AM4" s="6">
        <f>AVERAGE(P8,P12,P20,P24,P28,P32)</f>
        <v>0.10284573134953746</v>
      </c>
      <c r="AN4" s="6">
        <f>AVERAGE(Q8,Q12,Q20,Q24,Q28,Q32)</f>
        <v>0.13207040922942961</v>
      </c>
      <c r="AO4" s="6">
        <f>AVERAGE(R8,R12,R20,R24,R28,R32)</f>
        <v>8.3333333333333329E-2</v>
      </c>
      <c r="AP4" s="6">
        <f>AVERAGE(S8,S12,S20,S24,S28,S32)</f>
        <v>0</v>
      </c>
      <c r="AR4" t="s">
        <v>28</v>
      </c>
      <c r="AS4" s="7">
        <f t="shared" ref="AS4:AS6" si="11">AVERAGE(W4,W8,W12,W16,W20,W24,W28,W32)</f>
        <v>1.002535493382879</v>
      </c>
      <c r="AT4" s="7">
        <f>AVERAGE(X4,X8,X12,X16,X20,X24,X28,X32)</f>
        <v>1.0059024510534045</v>
      </c>
      <c r="AU4" s="7">
        <f>AVERAGE(Y4,Y8,Y12,Y16,Y20,Y24,Y28,Y32)</f>
        <v>1.1411080535333384</v>
      </c>
      <c r="AV4" s="7">
        <f>AVERAGE(Z4,Z8,Z12,Z16,Z20,Z24,Z28,Z32)</f>
        <v>0.41351744186046513</v>
      </c>
      <c r="AW4" s="7">
        <f>AVERAGE(AA4,AA8,AA12,AA16,AA20,AA24,AA28,AA32)</f>
        <v>0</v>
      </c>
      <c r="AX4" s="4"/>
      <c r="AY4" s="7">
        <f t="shared" si="7"/>
        <v>8.8174465220882247E-3</v>
      </c>
      <c r="AZ4" s="7">
        <f t="shared" si="7"/>
        <v>8.1278472027855292E-2</v>
      </c>
      <c r="BA4" s="7">
        <f t="shared" si="7"/>
        <v>0.10963282415752813</v>
      </c>
      <c r="BB4" s="7">
        <f t="shared" si="7"/>
        <v>4.7140570080408298E-2</v>
      </c>
      <c r="BC4" s="7">
        <f t="shared" si="7"/>
        <v>0</v>
      </c>
      <c r="BE4" s="5">
        <f t="shared" ref="BE4:BE6" si="12">MAX(AE4,AE8,AE12,AE16,AE20,AE24,AE28,AE32)</f>
        <v>2.1991715449659371E-2</v>
      </c>
      <c r="BF4" s="5">
        <f t="shared" si="8"/>
        <v>0.15839843872661388</v>
      </c>
      <c r="BG4" s="8">
        <f t="shared" si="8"/>
        <v>0.28696916076845302</v>
      </c>
      <c r="BH4" s="8">
        <f t="shared" si="8"/>
        <v>0.37712456064326638</v>
      </c>
      <c r="BI4" s="8">
        <f t="shared" si="8"/>
        <v>0</v>
      </c>
    </row>
    <row r="5" spans="1:61" x14ac:dyDescent="0.3">
      <c r="A5" s="31" t="s">
        <v>53</v>
      </c>
      <c r="B5" t="s">
        <v>29</v>
      </c>
      <c r="C5">
        <v>568</v>
      </c>
      <c r="D5">
        <v>488</v>
      </c>
      <c r="E5">
        <v>89</v>
      </c>
      <c r="F5">
        <v>0</v>
      </c>
      <c r="G5">
        <v>0</v>
      </c>
      <c r="I5">
        <v>65</v>
      </c>
      <c r="J5">
        <v>57</v>
      </c>
      <c r="K5">
        <v>8</v>
      </c>
      <c r="L5">
        <v>0</v>
      </c>
      <c r="M5">
        <v>0</v>
      </c>
      <c r="O5" s="27">
        <f t="shared" si="0"/>
        <v>0.11443661971830986</v>
      </c>
      <c r="P5" s="27">
        <f t="shared" si="1"/>
        <v>0.11680327868852459</v>
      </c>
      <c r="Q5" s="27">
        <f t="shared" si="2"/>
        <v>8.98876404494382E-2</v>
      </c>
      <c r="R5" s="27">
        <f t="shared" si="3"/>
        <v>0</v>
      </c>
      <c r="S5" s="27">
        <f t="shared" si="4"/>
        <v>0</v>
      </c>
      <c r="T5" s="27"/>
      <c r="U5" s="27">
        <f>65/569</f>
        <v>0.11423550087873462</v>
      </c>
      <c r="V5" s="27"/>
      <c r="W5" s="28">
        <f t="shared" si="5"/>
        <v>1.0017605633802817</v>
      </c>
      <c r="X5" s="28">
        <f t="shared" si="5"/>
        <v>1.0224779319041615</v>
      </c>
      <c r="Y5" s="28">
        <f t="shared" si="5"/>
        <v>0.78686257562662054</v>
      </c>
      <c r="Z5" s="28">
        <f t="shared" si="5"/>
        <v>0</v>
      </c>
      <c r="AA5" s="28">
        <f t="shared" si="5"/>
        <v>0</v>
      </c>
      <c r="AB5" s="28">
        <f t="shared" si="6"/>
        <v>1.0224779319041615</v>
      </c>
      <c r="AC5" s="39">
        <f t="shared" si="9"/>
        <v>488</v>
      </c>
      <c r="AD5" s="39" t="str">
        <f t="shared" si="10"/>
        <v>4</v>
      </c>
      <c r="AE5" s="28">
        <f>IF(C5&gt;0,((I5*((3*65)+C5))/(4*C5*65))*(1-(C5-I5)/(569-65)),0)</f>
        <v>6.6632433489827614E-4</v>
      </c>
      <c r="AF5" s="28">
        <f>IF(D5&gt;0,((J5*((3*65)+D5))/(4*D5*65))*(1-(D5-J5)/(569-65)),0)</f>
        <v>4.4442114408815243E-2</v>
      </c>
      <c r="AG5" s="28">
        <f>IF(E5&gt;0,((K5*((3*65)+E5))/(4*E5*65))*(1-(E5-K5)/(569-65)),0)</f>
        <v>8.2405235214223979E-2</v>
      </c>
      <c r="AH5" s="28">
        <f>IF(F5&gt;0,((L5*((3*65)+F5))/(4*F5*65))*(1-(F5-L5)/(569-65)),0)</f>
        <v>0</v>
      </c>
      <c r="AI5" s="28">
        <f>IF(G5&gt;0,((M5*((3*65)+G5))/(4*G5*65))*(1-(G5-M5)/(569-65)),0)</f>
        <v>0</v>
      </c>
      <c r="AJ5" s="2"/>
      <c r="AK5" t="s">
        <v>29</v>
      </c>
      <c r="AL5" s="6">
        <f>AVERAGE(O9,O13,O21,O25,O29,O33)</f>
        <v>0.10818004736236347</v>
      </c>
      <c r="AM5" s="6">
        <f>AVERAGE(P9,P13,P21,P25,P29,P33)</f>
        <v>0.10987095450966745</v>
      </c>
      <c r="AN5" s="6">
        <f>AVERAGE(Q9,Q13,Q21,Q25,Q29,Q33)</f>
        <v>7.7508428650381253E-2</v>
      </c>
      <c r="AO5" s="6">
        <f>AVERAGE(R9,R13,R21,R25,R29,R33)</f>
        <v>8.8888888888888892E-2</v>
      </c>
      <c r="AP5" s="6">
        <f>AVERAGE(S9,S13,S21,S25,S29,S33)</f>
        <v>0</v>
      </c>
      <c r="AR5" t="s">
        <v>29</v>
      </c>
      <c r="AS5" s="7">
        <f t="shared" si="11"/>
        <v>0.99080332521804504</v>
      </c>
      <c r="AT5" s="7">
        <f>AVERAGE(X5,X9,X13,X17,X21,X25,X29,X33)</f>
        <v>0.9792088550278788</v>
      </c>
      <c r="AU5" s="7">
        <f>AVERAGE(Y5,Y9,Y13,Y17,Y21,Y25,Y29,Y33)</f>
        <v>0.97067224363814542</v>
      </c>
      <c r="AV5" s="7">
        <f>AVERAGE(Z5,Z9,Z13,Z17,Z21,Z25,Z29,Z33)</f>
        <v>0.50900601056061112</v>
      </c>
      <c r="AW5" s="7">
        <f>AVERAGE(AA5,AA9,AA13,AA17,AA21,AA25,AA29,AA33)</f>
        <v>0</v>
      </c>
      <c r="AX5" s="4"/>
      <c r="AY5" s="7">
        <f t="shared" si="7"/>
        <v>4.0578969337344232E-3</v>
      </c>
      <c r="AZ5" s="7">
        <f t="shared" si="7"/>
        <v>5.1268970718049686E-2</v>
      </c>
      <c r="BA5" s="7">
        <f t="shared" si="7"/>
        <v>8.1967513375880388E-2</v>
      </c>
      <c r="BB5" s="7">
        <f t="shared" si="7"/>
        <v>5.0853634021859502E-2</v>
      </c>
      <c r="BC5" s="7">
        <f t="shared" si="7"/>
        <v>0</v>
      </c>
      <c r="BE5" s="5">
        <f t="shared" si="12"/>
        <v>1.9193536306781993E-2</v>
      </c>
      <c r="BF5" s="5">
        <f t="shared" si="8"/>
        <v>0.14727368625263718</v>
      </c>
      <c r="BG5" s="8">
        <f t="shared" si="8"/>
        <v>0.17528941419295554</v>
      </c>
      <c r="BH5" s="8">
        <f t="shared" si="8"/>
        <v>0.25518840579710145</v>
      </c>
      <c r="BI5" s="8">
        <f t="shared" si="8"/>
        <v>0</v>
      </c>
    </row>
    <row r="6" spans="1:61" s="1" customFormat="1" x14ac:dyDescent="0.3">
      <c r="A6" s="31" t="s">
        <v>53</v>
      </c>
      <c r="B6" s="1" t="s">
        <v>30</v>
      </c>
      <c r="C6" s="1">
        <v>508</v>
      </c>
      <c r="D6" s="1">
        <v>38</v>
      </c>
      <c r="E6" s="1">
        <v>2</v>
      </c>
      <c r="F6" s="1">
        <v>0</v>
      </c>
      <c r="G6" s="1">
        <v>0</v>
      </c>
      <c r="I6" s="1">
        <v>64</v>
      </c>
      <c r="J6" s="1">
        <v>5</v>
      </c>
      <c r="K6" s="1">
        <v>1</v>
      </c>
      <c r="L6" s="1">
        <v>0</v>
      </c>
      <c r="M6" s="1">
        <v>0</v>
      </c>
      <c r="O6" s="29">
        <f t="shared" si="0"/>
        <v>0.12598425196850394</v>
      </c>
      <c r="P6" s="29">
        <f t="shared" si="1"/>
        <v>0.13157894736842105</v>
      </c>
      <c r="Q6" s="29">
        <f t="shared" si="2"/>
        <v>0.5</v>
      </c>
      <c r="R6" s="29">
        <f t="shared" si="3"/>
        <v>0</v>
      </c>
      <c r="S6" s="29">
        <f t="shared" si="4"/>
        <v>0</v>
      </c>
      <c r="T6" s="29"/>
      <c r="U6" s="29">
        <f>65/569</f>
        <v>0.11423550087873462</v>
      </c>
      <c r="V6" s="29"/>
      <c r="W6" s="30">
        <f t="shared" si="5"/>
        <v>1.1028467595396729</v>
      </c>
      <c r="X6" s="30">
        <f t="shared" si="5"/>
        <v>1.1518218623481782</v>
      </c>
      <c r="Y6" s="30">
        <f t="shared" si="5"/>
        <v>4.3769230769230774</v>
      </c>
      <c r="Z6" s="30">
        <f t="shared" si="5"/>
        <v>0</v>
      </c>
      <c r="AA6" s="30">
        <f t="shared" si="5"/>
        <v>0</v>
      </c>
      <c r="AB6" s="30">
        <f t="shared" si="6"/>
        <v>4.3769230769230774</v>
      </c>
      <c r="AC6" s="40">
        <f t="shared" si="9"/>
        <v>2</v>
      </c>
      <c r="AD6" s="40" t="str">
        <f t="shared" si="10"/>
        <v>5</v>
      </c>
      <c r="AE6" s="30">
        <f>IF(C6&gt;0,((I6*((3*65)+C6))/(4*C6*65))*(1-(C6-I6)/(569-65)),0)</f>
        <v>4.0552623229788594E-2</v>
      </c>
      <c r="AF6" s="30">
        <f>IF(D6&gt;0,((J6*((3*65)+D6))/(4*D6*65))*(1-(D6-J6)/(569-65)),0)</f>
        <v>0.11019435608251398</v>
      </c>
      <c r="AG6" s="30">
        <f>IF(E6&gt;0,((K6*((3*65)+E6))/(4*E6*65))*(1-(E6-K6)/(569-65)),0)</f>
        <v>0.37809447496947496</v>
      </c>
      <c r="AH6" s="30">
        <f>IF(F6&gt;0,((L6*((3*65)+F6))/(4*F6*65))*(1-(F6-L6)/(569-65)),0)</f>
        <v>0</v>
      </c>
      <c r="AI6" s="30">
        <f>IF(G6&gt;0,((M6*((3*65)+G6))/(4*G6*65))*(1-(G6-M6)/(569-65)),0)</f>
        <v>0</v>
      </c>
      <c r="AJ6" s="9"/>
      <c r="AK6" s="1" t="s">
        <v>30</v>
      </c>
      <c r="AL6" s="11">
        <f>AVERAGE(O10,O14,O22,O26,O30,O34)</f>
        <v>0.11274853543569195</v>
      </c>
      <c r="AM6" s="11">
        <f>AVERAGE(P10,P14,P22,P26,P30,P34)</f>
        <v>6.5196805174533468E-2</v>
      </c>
      <c r="AN6" s="11">
        <f>AVERAGE(Q10,Q14,Q22,Q26,Q30,Q34)</f>
        <v>2.7777777777777776E-2</v>
      </c>
      <c r="AO6" s="11">
        <f>AVERAGE(R10,R14,R22,R26,R30,R34)</f>
        <v>0</v>
      </c>
      <c r="AP6" s="11">
        <f>AVERAGE(S10,S14,S22,S26,S30,S34)</f>
        <v>0</v>
      </c>
      <c r="AR6" s="1" t="s">
        <v>30</v>
      </c>
      <c r="AS6" s="12">
        <f t="shared" si="11"/>
        <v>1.0942273217873721</v>
      </c>
      <c r="AT6" s="12">
        <f>AVERAGE(X6,X10,X14,X18,X22,X26,X30,X34)</f>
        <v>0.7415008998590058</v>
      </c>
      <c r="AU6" s="12">
        <f>AVERAGE(Y6,Y10,Y14,Y18,Y22,Y26,Y30,Y34)</f>
        <v>0.71891490152359716</v>
      </c>
      <c r="AV6" s="12">
        <f>AVERAGE(Z6,Z10,Z14,Z18,Z22,Z26,Z30,Z34)</f>
        <v>0</v>
      </c>
      <c r="AW6" s="12">
        <f>AVERAGE(AA6,AA10,AA14,AA18,AA22,AA26,AA30,AA34)</f>
        <v>0</v>
      </c>
      <c r="AX6" s="13"/>
      <c r="AY6" s="12">
        <f t="shared" si="7"/>
        <v>4.2007735717695519E-2</v>
      </c>
      <c r="AZ6" s="12">
        <f t="shared" si="7"/>
        <v>5.8672847704054808E-2</v>
      </c>
      <c r="BA6" s="12">
        <f t="shared" si="7"/>
        <v>6.3461990530604667E-2</v>
      </c>
      <c r="BB6" s="12">
        <f t="shared" si="7"/>
        <v>0</v>
      </c>
      <c r="BC6" s="12">
        <f t="shared" si="7"/>
        <v>0</v>
      </c>
      <c r="BE6" s="14">
        <f t="shared" si="12"/>
        <v>0.12713962938223625</v>
      </c>
      <c r="BF6" s="14">
        <f t="shared" si="8"/>
        <v>0.11843835301873724</v>
      </c>
      <c r="BG6" s="15">
        <f t="shared" si="8"/>
        <v>0.37809447496947496</v>
      </c>
      <c r="BH6" s="15">
        <f t="shared" si="8"/>
        <v>0</v>
      </c>
      <c r="BI6" s="15">
        <f t="shared" si="8"/>
        <v>0</v>
      </c>
    </row>
    <row r="7" spans="1:61" x14ac:dyDescent="0.3">
      <c r="A7" s="31" t="s">
        <v>26</v>
      </c>
      <c r="B7" t="s">
        <v>27</v>
      </c>
      <c r="C7">
        <v>567</v>
      </c>
      <c r="D7">
        <v>545</v>
      </c>
      <c r="E7">
        <v>210</v>
      </c>
      <c r="F7">
        <v>28</v>
      </c>
      <c r="G7">
        <v>0</v>
      </c>
      <c r="I7">
        <v>86</v>
      </c>
      <c r="J7">
        <v>83</v>
      </c>
      <c r="K7">
        <v>40</v>
      </c>
      <c r="L7">
        <v>5</v>
      </c>
      <c r="M7">
        <v>0</v>
      </c>
      <c r="O7" s="2">
        <f t="shared" si="0"/>
        <v>0.15167548500881833</v>
      </c>
      <c r="P7" s="2">
        <f t="shared" si="1"/>
        <v>0.15229357798165138</v>
      </c>
      <c r="Q7" s="2">
        <f t="shared" si="2"/>
        <v>0.19047619047619047</v>
      </c>
      <c r="R7" s="2">
        <f t="shared" si="3"/>
        <v>0.17857142857142858</v>
      </c>
      <c r="S7" s="2">
        <f t="shared" si="4"/>
        <v>0</v>
      </c>
      <c r="T7" s="2"/>
      <c r="U7" s="2">
        <f t="shared" ref="U7:U14" si="13">86/569</f>
        <v>0.15114235500878734</v>
      </c>
      <c r="V7" s="2"/>
      <c r="W7" s="3">
        <f t="shared" si="5"/>
        <v>1.0035273368606701</v>
      </c>
      <c r="X7" s="3">
        <f t="shared" si="5"/>
        <v>1.0076168124599958</v>
      </c>
      <c r="Y7" s="3">
        <f t="shared" si="5"/>
        <v>1.2602436323366555</v>
      </c>
      <c r="Z7" s="3">
        <f t="shared" si="5"/>
        <v>1.1814784053156147</v>
      </c>
      <c r="AA7" s="3">
        <f t="shared" si="5"/>
        <v>0</v>
      </c>
      <c r="AB7" s="3">
        <f t="shared" si="6"/>
        <v>1.2602436323366555</v>
      </c>
      <c r="AC7" s="41">
        <f t="shared" si="9"/>
        <v>210</v>
      </c>
      <c r="AD7" s="41" t="str">
        <f t="shared" si="10"/>
        <v>5</v>
      </c>
      <c r="AE7" s="3">
        <f>IF(C7&gt;0,((I7*((3*86)+C7))/(4*C7*86))*(1-(C7-I7)/(569-86)),0)</f>
        <v>1.5062385662799637E-3</v>
      </c>
      <c r="AF7" s="3">
        <f>IF(D7&gt;0,((J7*((3*86)+D7))/(4*D7*86))*(1-(D7-J7)/(569-86)),0)</f>
        <v>1.5456489271899135E-2</v>
      </c>
      <c r="AG7" s="3">
        <f>IF(E7&gt;0,((K7*((3*86)+E7))/(4*E7*86))*(1-(E7-K7)/(569-86)),0)</f>
        <v>0.16792885000309524</v>
      </c>
      <c r="AH7" s="3">
        <f>IF(F7&gt;0,((L7*((3*86)+F7))/(4*F7*86))*(1-(F7-L7)/(569-86)),0)</f>
        <v>0.14139376680904919</v>
      </c>
      <c r="AI7" s="3">
        <f>IF(G7&gt;0,((M7*((3*86)+G7))/(4*G7*86))*(1-(G7-M7)/(569-86)),0)</f>
        <v>0</v>
      </c>
      <c r="AJ7" s="2"/>
    </row>
    <row r="8" spans="1:61" x14ac:dyDescent="0.3">
      <c r="A8" s="31" t="s">
        <v>26</v>
      </c>
      <c r="B8" t="s">
        <v>28</v>
      </c>
      <c r="C8">
        <v>540</v>
      </c>
      <c r="D8">
        <v>184</v>
      </c>
      <c r="E8">
        <v>8</v>
      </c>
      <c r="F8">
        <v>0</v>
      </c>
      <c r="G8">
        <v>0</v>
      </c>
      <c r="I8">
        <v>85</v>
      </c>
      <c r="J8">
        <v>33</v>
      </c>
      <c r="K8">
        <v>3</v>
      </c>
      <c r="L8">
        <v>0</v>
      </c>
      <c r="M8">
        <v>0</v>
      </c>
      <c r="O8" s="2">
        <f t="shared" si="0"/>
        <v>0.15740740740740741</v>
      </c>
      <c r="P8" s="2">
        <f t="shared" si="1"/>
        <v>0.17934782608695651</v>
      </c>
      <c r="Q8" s="2">
        <f t="shared" si="2"/>
        <v>0.375</v>
      </c>
      <c r="R8" s="2">
        <f t="shared" si="3"/>
        <v>0</v>
      </c>
      <c r="S8" s="2">
        <f t="shared" si="4"/>
        <v>0</v>
      </c>
      <c r="T8" s="2"/>
      <c r="U8" s="2">
        <f t="shared" si="13"/>
        <v>0.15114235500878734</v>
      </c>
      <c r="V8" s="2"/>
      <c r="W8" s="3">
        <f t="shared" si="5"/>
        <v>1.0414513350559864</v>
      </c>
      <c r="X8" s="3">
        <f t="shared" si="5"/>
        <v>1.1866152679474216</v>
      </c>
      <c r="Y8" s="3">
        <f t="shared" si="5"/>
        <v>2.481104651162791</v>
      </c>
      <c r="Z8" s="3">
        <f t="shared" si="5"/>
        <v>0</v>
      </c>
      <c r="AA8" s="3">
        <f t="shared" si="5"/>
        <v>0</v>
      </c>
      <c r="AB8" s="3">
        <f t="shared" si="6"/>
        <v>2.481104651162791</v>
      </c>
      <c r="AC8" s="41">
        <f t="shared" si="9"/>
        <v>8</v>
      </c>
      <c r="AD8" s="41" t="str">
        <f t="shared" si="10"/>
        <v>5</v>
      </c>
      <c r="AE8" s="3">
        <f>IF(C8&gt;0,((I8*((3*86)+C8))/(4*C8*86))*(1-(C8-I8)/(569-86)),0)</f>
        <v>2.1168033554282303E-2</v>
      </c>
      <c r="AF8" s="3">
        <f>IF(D8&gt;0,((J8*((3*86)+D8))/(4*D8*86))*(1-(D8-J8)/(569-86)),0)</f>
        <v>0.15839843872661388</v>
      </c>
      <c r="AG8" s="3">
        <f>IF(E8&gt;0,((K8*((3*86)+E8))/(4*E8*86))*(1-(E8-K8)/(569-86)),0)</f>
        <v>0.28696916076845302</v>
      </c>
      <c r="AH8" s="3">
        <f>IF(F8&gt;0,((L8*((3*86)+F8))/(4*F8*86))*(1-(F8-L8)/(569-86)),0)</f>
        <v>0</v>
      </c>
      <c r="AI8" s="3">
        <f>IF(G8&gt;0,((M8*((3*86)+G8))/(4*G8*86))*(1-(G8-M8)/(569-86)),0)</f>
        <v>0</v>
      </c>
      <c r="AJ8" s="2"/>
    </row>
    <row r="9" spans="1:61" x14ac:dyDescent="0.3">
      <c r="A9" s="31" t="s">
        <v>26</v>
      </c>
      <c r="B9" t="s">
        <v>29</v>
      </c>
      <c r="C9">
        <v>567</v>
      </c>
      <c r="D9">
        <v>477</v>
      </c>
      <c r="E9">
        <v>83</v>
      </c>
      <c r="F9">
        <v>5</v>
      </c>
      <c r="G9">
        <v>0</v>
      </c>
      <c r="I9">
        <v>86</v>
      </c>
      <c r="J9">
        <v>75</v>
      </c>
      <c r="K9">
        <v>17</v>
      </c>
      <c r="L9">
        <v>1</v>
      </c>
      <c r="M9">
        <v>0</v>
      </c>
      <c r="O9" s="2">
        <f t="shared" si="0"/>
        <v>0.15167548500881833</v>
      </c>
      <c r="P9" s="2">
        <f t="shared" si="1"/>
        <v>0.15723270440251572</v>
      </c>
      <c r="Q9" s="2">
        <f t="shared" si="2"/>
        <v>0.20481927710843373</v>
      </c>
      <c r="R9" s="2">
        <f t="shared" si="3"/>
        <v>0.2</v>
      </c>
      <c r="S9" s="2">
        <f t="shared" si="4"/>
        <v>0</v>
      </c>
      <c r="T9" s="2"/>
      <c r="U9" s="2">
        <f t="shared" si="13"/>
        <v>0.15114235500878734</v>
      </c>
      <c r="V9" s="2"/>
      <c r="W9" s="3">
        <f t="shared" si="5"/>
        <v>1.0035273368606701</v>
      </c>
      <c r="X9" s="3">
        <f t="shared" si="5"/>
        <v>1.0402954512212959</v>
      </c>
      <c r="Y9" s="3">
        <f t="shared" si="5"/>
        <v>1.355141496217428</v>
      </c>
      <c r="Z9" s="3">
        <f t="shared" si="5"/>
        <v>1.3232558139534885</v>
      </c>
      <c r="AA9" s="3">
        <f t="shared" si="5"/>
        <v>0</v>
      </c>
      <c r="AB9" s="3">
        <f t="shared" si="6"/>
        <v>1.355141496217428</v>
      </c>
      <c r="AC9" s="41">
        <f t="shared" si="9"/>
        <v>83</v>
      </c>
      <c r="AD9" s="41" t="str">
        <f t="shared" si="10"/>
        <v>5</v>
      </c>
      <c r="AE9" s="3">
        <f>IF(C9&gt;0,((I9*((3*86)+C9))/(4*C9*86))*(1-(C9-I9)/(569-86)),0)</f>
        <v>1.5062385662799637E-3</v>
      </c>
      <c r="AF9" s="3">
        <f>IF(D9&gt;0,((J9*((3*86)+D9))/(4*D9*86))*(1-(D9-J9)/(569-86)),0)</f>
        <v>5.6339069385886245E-2</v>
      </c>
      <c r="AG9" s="3">
        <f>IF(E9&gt;0,((K9*((3*86)+E9))/(4*E9*86))*(1-(E9-K9)/(569-86)),0)</f>
        <v>0.17528941419295554</v>
      </c>
      <c r="AH9" s="3">
        <f>IF(F9&gt;0,((L9*((3*86)+F9))/(4*F9*86))*(1-(F9-L9)/(569-86)),0)</f>
        <v>0.15164066637777457</v>
      </c>
      <c r="AI9" s="3">
        <f>IF(G9&gt;0,((M9*((3*86)+G9))/(4*G9*86))*(1-(G9-M9)/(569-86)),0)</f>
        <v>0</v>
      </c>
      <c r="AJ9" s="2"/>
    </row>
    <row r="10" spans="1:61" s="1" customFormat="1" x14ac:dyDescent="0.3">
      <c r="A10" s="31" t="s">
        <v>26</v>
      </c>
      <c r="B10" s="1" t="s">
        <v>30</v>
      </c>
      <c r="C10" s="1">
        <v>496</v>
      </c>
      <c r="D10" s="1">
        <v>13</v>
      </c>
      <c r="E10" s="1">
        <v>0</v>
      </c>
      <c r="F10" s="1">
        <v>0</v>
      </c>
      <c r="G10" s="1">
        <v>0</v>
      </c>
      <c r="I10" s="1">
        <v>74</v>
      </c>
      <c r="J10" s="1">
        <v>2</v>
      </c>
      <c r="K10" s="1">
        <v>0</v>
      </c>
      <c r="L10" s="1">
        <v>0</v>
      </c>
      <c r="M10" s="1">
        <v>0</v>
      </c>
      <c r="O10" s="9">
        <f t="shared" si="0"/>
        <v>0.14919354838709678</v>
      </c>
      <c r="P10" s="9">
        <f t="shared" si="1"/>
        <v>0.15384615384615385</v>
      </c>
      <c r="Q10" s="9">
        <f t="shared" si="2"/>
        <v>0</v>
      </c>
      <c r="R10" s="9">
        <f t="shared" si="3"/>
        <v>0</v>
      </c>
      <c r="S10" s="9">
        <f t="shared" si="4"/>
        <v>0</v>
      </c>
      <c r="T10" s="9"/>
      <c r="U10" s="9">
        <f t="shared" si="13"/>
        <v>0.15114235500878734</v>
      </c>
      <c r="V10" s="9"/>
      <c r="W10" s="10">
        <f t="shared" si="5"/>
        <v>0.98710615153788461</v>
      </c>
      <c r="X10" s="10">
        <f t="shared" si="5"/>
        <v>1.0178890876565296</v>
      </c>
      <c r="Y10" s="10">
        <f t="shared" si="5"/>
        <v>0</v>
      </c>
      <c r="Z10" s="10">
        <f t="shared" si="5"/>
        <v>0</v>
      </c>
      <c r="AA10" s="10">
        <f t="shared" si="5"/>
        <v>0</v>
      </c>
      <c r="AB10" s="10">
        <f t="shared" si="6"/>
        <v>1.0178890876565296</v>
      </c>
      <c r="AC10" s="42">
        <f t="shared" si="9"/>
        <v>13</v>
      </c>
      <c r="AD10" s="42" t="str">
        <f t="shared" si="10"/>
        <v>4</v>
      </c>
      <c r="AE10" s="10">
        <f>IF(C10&gt;0,((I10*((3*86)+C10))/(4*C10*86))*(1-(C10-I10)/(569-86)),0)</f>
        <v>4.1299581494752588E-2</v>
      </c>
      <c r="AF10" s="10">
        <f>IF(D10&gt;0,((J10*((3*86)+D10))/(4*D10*86))*(1-(D10-J10)/(569-86)),0)</f>
        <v>0.11843835301873724</v>
      </c>
      <c r="AG10" s="10">
        <f>IF(E10&gt;0,((K10*((3*86)+E10))/(4*E10*86))*(1-(E10-K10)/(569-86)),0)</f>
        <v>0</v>
      </c>
      <c r="AH10" s="10">
        <f>IF(F10&gt;0,((L10*((3*86)+F10))/(4*F10*86))*(1-(F10-L10)/(569-86)),0)</f>
        <v>0</v>
      </c>
      <c r="AI10" s="10">
        <f>IF(G10&gt;0,((M10*((3*86)+G10))/(4*G10*86))*(1-(G10-M10)/(569-86)),0)</f>
        <v>0</v>
      </c>
      <c r="AJ10" s="9"/>
      <c r="AR10" s="1" t="s">
        <v>40</v>
      </c>
    </row>
    <row r="11" spans="1:61" x14ac:dyDescent="0.3">
      <c r="A11" s="31" t="s">
        <v>54</v>
      </c>
      <c r="B11" t="s">
        <v>27</v>
      </c>
      <c r="C11">
        <v>566</v>
      </c>
      <c r="D11">
        <v>410</v>
      </c>
      <c r="E11">
        <v>26</v>
      </c>
      <c r="F11">
        <v>0</v>
      </c>
      <c r="G11">
        <v>0</v>
      </c>
      <c r="I11">
        <v>86</v>
      </c>
      <c r="J11">
        <v>66</v>
      </c>
      <c r="K11">
        <v>6</v>
      </c>
      <c r="L11">
        <v>0</v>
      </c>
      <c r="M11">
        <v>0</v>
      </c>
      <c r="O11" s="27">
        <f t="shared" si="0"/>
        <v>0.1519434628975265</v>
      </c>
      <c r="P11" s="27">
        <f t="shared" si="1"/>
        <v>0.16097560975609757</v>
      </c>
      <c r="Q11" s="27">
        <f t="shared" si="2"/>
        <v>0.23076923076923078</v>
      </c>
      <c r="R11" s="27">
        <f t="shared" si="3"/>
        <v>0</v>
      </c>
      <c r="S11" s="27">
        <f t="shared" si="4"/>
        <v>0</v>
      </c>
      <c r="T11" s="27"/>
      <c r="U11" s="27">
        <f t="shared" si="13"/>
        <v>0.15114235500878734</v>
      </c>
      <c r="V11" s="27"/>
      <c r="W11" s="28">
        <f t="shared" ref="W11:Y18" si="14">IF(O11&gt;0, O11/$U11, 0)</f>
        <v>1.0053003533568905</v>
      </c>
      <c r="X11" s="28">
        <f t="shared" si="14"/>
        <v>1.0650595575723201</v>
      </c>
      <c r="Y11" s="28">
        <f t="shared" si="14"/>
        <v>1.5268336314847943</v>
      </c>
      <c r="Z11" s="28">
        <f t="shared" ref="Z11:Z54" si="15">R11/$U11</f>
        <v>0</v>
      </c>
      <c r="AA11" s="28">
        <f t="shared" ref="AA11:AA54" si="16">S11/$U11</f>
        <v>0</v>
      </c>
      <c r="AB11" s="28">
        <f t="shared" si="6"/>
        <v>1.5268336314847943</v>
      </c>
      <c r="AC11" s="39">
        <f t="shared" si="9"/>
        <v>26</v>
      </c>
      <c r="AD11" s="39" t="str">
        <f t="shared" si="10"/>
        <v>5</v>
      </c>
      <c r="AE11" s="28">
        <f>IF(C11&gt;0,((I11*((3*86)+C11))/(4*C11*86))*(1-(C11-I11)/(569-86)),0)</f>
        <v>2.2606061936220221E-3</v>
      </c>
      <c r="AF11" s="28">
        <f>IF(D11&gt;0,((J11*((3*86)+D11))/(4*D11*86))*(1-(D11-J11)/(569-86)),0)</f>
        <v>8.9959238029474045E-2</v>
      </c>
      <c r="AG11" s="28">
        <f>IF(E11&gt;0,((K11*((3*86)+E11))/(4*E11*86))*(1-(E11-K11)/(569-86)),0)</f>
        <v>0.18262980699785553</v>
      </c>
      <c r="AH11" s="28">
        <f>IF(F11&gt;0,((L11*((3*86)+F11))/(4*F11*86))*(1-(F11-L11)/(569-86)),0)</f>
        <v>0</v>
      </c>
      <c r="AI11" s="28">
        <f>IF(G11&gt;0,((M11*((3*86)+G11))/(4*G11*86))*(1-(G11-M11)/(569-86)),0)</f>
        <v>0</v>
      </c>
      <c r="AJ11" s="2"/>
      <c r="AR11" t="s">
        <v>27</v>
      </c>
      <c r="AS11" s="5">
        <f>MAX(W3,W7,W11,W15,W19,W23,W27,W31)</f>
        <v>1.1135029354207437</v>
      </c>
      <c r="AT11" s="5">
        <f>MAX(X3,X7,X11,X15,X19,X23,X27,X31)</f>
        <v>1.0729101194217474</v>
      </c>
      <c r="AU11" s="5">
        <f>MAX(Y3,Y7,Y11,Y15,Y19,Y23,Y27,Y31)</f>
        <v>1.5268336314847943</v>
      </c>
      <c r="AV11" s="5">
        <f>MAX(Z3,Z7,Z11,Z15,Z19,Z23,Z27,Z31)</f>
        <v>1.1814784053156147</v>
      </c>
      <c r="AW11" s="5">
        <f>MAX(AA3,AA7,AA11,AA15,AA19,AA23,AA27,AA31)</f>
        <v>0</v>
      </c>
      <c r="AX11" s="5"/>
    </row>
    <row r="12" spans="1:61" x14ac:dyDescent="0.3">
      <c r="A12" s="31" t="s">
        <v>54</v>
      </c>
      <c r="B12" t="s">
        <v>28</v>
      </c>
      <c r="C12">
        <v>544</v>
      </c>
      <c r="D12">
        <v>226</v>
      </c>
      <c r="E12">
        <v>19</v>
      </c>
      <c r="F12">
        <v>2</v>
      </c>
      <c r="G12">
        <v>0</v>
      </c>
      <c r="I12">
        <v>83</v>
      </c>
      <c r="J12">
        <v>29</v>
      </c>
      <c r="K12">
        <v>4</v>
      </c>
      <c r="L12">
        <v>1</v>
      </c>
      <c r="M12">
        <v>0</v>
      </c>
      <c r="O12" s="27">
        <f t="shared" si="0"/>
        <v>0.15257352941176472</v>
      </c>
      <c r="P12" s="27">
        <f t="shared" si="1"/>
        <v>0.12831858407079647</v>
      </c>
      <c r="Q12" s="27">
        <f t="shared" si="2"/>
        <v>0.21052631578947367</v>
      </c>
      <c r="R12" s="27">
        <f t="shared" si="3"/>
        <v>0.5</v>
      </c>
      <c r="S12" s="27">
        <f t="shared" si="4"/>
        <v>0</v>
      </c>
      <c r="T12" s="27"/>
      <c r="U12" s="27">
        <f t="shared" si="13"/>
        <v>0.15114235500878734</v>
      </c>
      <c r="V12" s="27"/>
      <c r="W12" s="28">
        <f t="shared" si="14"/>
        <v>1.0094690492476062</v>
      </c>
      <c r="X12" s="28">
        <f t="shared" si="14"/>
        <v>0.84899156204980453</v>
      </c>
      <c r="Y12" s="28">
        <f t="shared" si="14"/>
        <v>1.3929008567931456</v>
      </c>
      <c r="Z12" s="28">
        <f t="shared" si="15"/>
        <v>3.308139534883721</v>
      </c>
      <c r="AA12" s="28">
        <f t="shared" si="16"/>
        <v>0</v>
      </c>
      <c r="AB12" s="28">
        <f t="shared" si="6"/>
        <v>3.308139534883721</v>
      </c>
      <c r="AC12" s="39">
        <f t="shared" si="9"/>
        <v>2</v>
      </c>
      <c r="AD12" s="39" t="str">
        <f t="shared" si="10"/>
        <v>6</v>
      </c>
      <c r="AE12" s="28">
        <f>IF(C12&gt;0,((I12*((3*86)+C12))/(4*C12*86))*(1-(C12-I12)/(569-86)),0)</f>
        <v>1.620207612873259E-2</v>
      </c>
      <c r="AF12" s="28">
        <f>IF(D12&gt;0,((J12*((3*86)+D12))/(4*D12*86))*(1-(D12-J12)/(569-86)),0)</f>
        <v>0.10690435072352981</v>
      </c>
      <c r="AG12" s="28">
        <f>IF(E12&gt;0,((K12*((3*86)+E12))/(4*E12*86))*(1-(E12-K12)/(569-86)),0)</f>
        <v>0.16425796543938209</v>
      </c>
      <c r="AH12" s="28">
        <f>IF(F12&gt;0,((L12*((3*86)+F12))/(4*F12*86))*(1-(F12-L12)/(569-86)),0)</f>
        <v>0.37712456064326638</v>
      </c>
      <c r="AI12" s="28">
        <f>IF(G12&gt;0,((M12*((3*86)+G12))/(4*G12*86))*(1-(G12-M12)/(569-86)),0)</f>
        <v>0</v>
      </c>
      <c r="AJ12" s="2"/>
      <c r="AR12" t="s">
        <v>28</v>
      </c>
      <c r="AS12" s="8">
        <f>MAX(W4,W8,W12,W16,W20,W24,W28,W32)</f>
        <v>1.0471890726096333</v>
      </c>
      <c r="AT12" s="8">
        <f>MAX(X4,X8,X12,X16,X20,X24,X28,X32)</f>
        <v>1.2873303167420815</v>
      </c>
      <c r="AU12" s="8">
        <f>MAX(Y4,Y8,Y12,Y16,Y20,Y24,Y28,Y32)</f>
        <v>2.481104651162791</v>
      </c>
      <c r="AV12" s="5">
        <f>MAX(Z4,Z8,Z12,Z16,Z20,Z24,Z28,Z32)</f>
        <v>3.308139534883721</v>
      </c>
      <c r="AW12" s="5">
        <f>MAX(AA4,AA8,AA12,AA16,AA20,AA24,AA28,AA32)</f>
        <v>0</v>
      </c>
      <c r="AX12" s="5"/>
    </row>
    <row r="13" spans="1:61" x14ac:dyDescent="0.3">
      <c r="A13" s="31" t="s">
        <v>54</v>
      </c>
      <c r="B13" t="s">
        <v>29</v>
      </c>
      <c r="C13">
        <v>540</v>
      </c>
      <c r="D13">
        <v>137</v>
      </c>
      <c r="E13">
        <v>11</v>
      </c>
      <c r="F13">
        <v>1</v>
      </c>
      <c r="G13">
        <v>0</v>
      </c>
      <c r="I13">
        <v>83</v>
      </c>
      <c r="J13">
        <v>23</v>
      </c>
      <c r="K13">
        <v>0</v>
      </c>
      <c r="L13">
        <v>0</v>
      </c>
      <c r="M13">
        <v>0</v>
      </c>
      <c r="O13" s="27">
        <f t="shared" si="0"/>
        <v>0.1537037037037037</v>
      </c>
      <c r="P13" s="27">
        <f t="shared" si="1"/>
        <v>0.16788321167883211</v>
      </c>
      <c r="Q13" s="27">
        <f t="shared" si="2"/>
        <v>0</v>
      </c>
      <c r="R13" s="27">
        <f t="shared" si="3"/>
        <v>0</v>
      </c>
      <c r="S13" s="27">
        <f t="shared" si="4"/>
        <v>0</v>
      </c>
      <c r="T13" s="27"/>
      <c r="U13" s="27">
        <f t="shared" si="13"/>
        <v>0.15114235500878734</v>
      </c>
      <c r="V13" s="27"/>
      <c r="W13" s="28">
        <f t="shared" si="14"/>
        <v>1.0169465977605514</v>
      </c>
      <c r="X13" s="28">
        <f t="shared" si="14"/>
        <v>1.1107621795959939</v>
      </c>
      <c r="Y13" s="28">
        <f t="shared" si="14"/>
        <v>0</v>
      </c>
      <c r="Z13" s="28">
        <f t="shared" si="15"/>
        <v>0</v>
      </c>
      <c r="AA13" s="28">
        <f t="shared" si="16"/>
        <v>0</v>
      </c>
      <c r="AB13" s="28">
        <f t="shared" si="6"/>
        <v>1.1107621795959939</v>
      </c>
      <c r="AC13" s="39">
        <f t="shared" si="9"/>
        <v>137</v>
      </c>
      <c r="AD13" s="39" t="str">
        <f t="shared" si="10"/>
        <v>4</v>
      </c>
      <c r="AE13" s="28">
        <f>IF(C13&gt;0,((I13*((3*86)+C13))/(4*C13*86))*(1-(C13-I13)/(569-86)),0)</f>
        <v>1.9193536306781993E-2</v>
      </c>
      <c r="AF13" s="28">
        <f>IF(D13&gt;0,((J13*((3*86)+D13))/(4*D13*86))*(1-(D13-J13)/(569-86)),0)</f>
        <v>0.14727368625263718</v>
      </c>
      <c r="AG13" s="28">
        <f>IF(E13&gt;0,((K13*((3*86)+E13))/(4*E13*86))*(1-(E13-K13)/(569-86)),0)</f>
        <v>0</v>
      </c>
      <c r="AH13" s="28">
        <f>IF(F13&gt;0,((L13*((3*86)+F13))/(4*F13*86))*(1-(F13-L13)/(569-86)),0)</f>
        <v>0</v>
      </c>
      <c r="AI13" s="28">
        <f>IF(G13&gt;0,((M13*((3*86)+G13))/(4*G13*86))*(1-(G13-M13)/(569-86)),0)</f>
        <v>0</v>
      </c>
      <c r="AJ13" s="2"/>
      <c r="AR13" t="s">
        <v>29</v>
      </c>
      <c r="AS13" s="8">
        <f>MAX(W5,W9,W13,W17,W21,W25,W29,W33)</f>
        <v>1.0169465977605514</v>
      </c>
      <c r="AT13" s="8">
        <f>MAX(X5,X9,X13,X17,X21,X25,X29,X33)</f>
        <v>1.1107621795959939</v>
      </c>
      <c r="AU13" s="8">
        <f>MAX(Y5,Y9,Y13,Y17,Y21,Y25,Y29,Y33)</f>
        <v>2.8029556650246303</v>
      </c>
      <c r="AV13" s="5">
        <f>MAX(Z5,Z9,Z13,Z17,Z21,Z25,Z29,Z33)</f>
        <v>2.7487922705314007</v>
      </c>
      <c r="AW13" s="5">
        <f>MAX(AA5,AA9,AA13,AA17,AA21,AA25,AA29,AA33)</f>
        <v>0</v>
      </c>
      <c r="AX13" s="5"/>
    </row>
    <row r="14" spans="1:61" s="1" customFormat="1" x14ac:dyDescent="0.3">
      <c r="A14" s="31" t="s">
        <v>54</v>
      </c>
      <c r="B14" s="1" t="s">
        <v>30</v>
      </c>
      <c r="C14" s="1">
        <v>500</v>
      </c>
      <c r="D14" s="1">
        <v>9</v>
      </c>
      <c r="E14" s="1">
        <v>0</v>
      </c>
      <c r="F14" s="1">
        <v>0</v>
      </c>
      <c r="G14" s="1">
        <v>0</v>
      </c>
      <c r="I14" s="1">
        <v>75</v>
      </c>
      <c r="J14" s="1">
        <v>0</v>
      </c>
      <c r="K14" s="1">
        <v>0</v>
      </c>
      <c r="L14" s="1">
        <v>0</v>
      </c>
      <c r="M14" s="1">
        <v>0</v>
      </c>
      <c r="O14" s="29">
        <f t="shared" si="0"/>
        <v>0.15</v>
      </c>
      <c r="P14" s="29">
        <f t="shared" si="1"/>
        <v>0</v>
      </c>
      <c r="Q14" s="29">
        <f t="shared" si="2"/>
        <v>0</v>
      </c>
      <c r="R14" s="29">
        <f t="shared" si="3"/>
        <v>0</v>
      </c>
      <c r="S14" s="29">
        <f t="shared" si="4"/>
        <v>0</v>
      </c>
      <c r="T14" s="29"/>
      <c r="U14" s="29">
        <f t="shared" si="13"/>
        <v>0.15114235500878734</v>
      </c>
      <c r="V14" s="29"/>
      <c r="W14" s="30">
        <f t="shared" si="14"/>
        <v>0.99244186046511629</v>
      </c>
      <c r="X14" s="30">
        <f t="shared" si="14"/>
        <v>0</v>
      </c>
      <c r="Y14" s="30">
        <f t="shared" si="14"/>
        <v>0</v>
      </c>
      <c r="Z14" s="30">
        <f t="shared" si="15"/>
        <v>0</v>
      </c>
      <c r="AA14" s="30">
        <f t="shared" si="16"/>
        <v>0</v>
      </c>
      <c r="AB14" s="30">
        <f t="shared" si="6"/>
        <v>0.99244186046511629</v>
      </c>
      <c r="AC14" s="40">
        <f t="shared" si="9"/>
        <v>500</v>
      </c>
      <c r="AD14" s="40" t="str">
        <f t="shared" si="10"/>
        <v>3</v>
      </c>
      <c r="AE14" s="30">
        <f>IF(C14&gt;0,((I14*((3*86)+C14))/(4*C14*86))*(1-(C14-I14)/(569-86)),0)</f>
        <v>3.9690163224035832E-2</v>
      </c>
      <c r="AF14" s="30">
        <f>IF(D14&gt;0,((J14*((3*86)+D14))/(4*D14*86))*(1-(D14-J14)/(569-86)),0)</f>
        <v>0</v>
      </c>
      <c r="AG14" s="30">
        <f>IF(E14&gt;0,((K14*((3*86)+E14))/(4*E14*86))*(1-(E14-K14)/(569-86)),0)</f>
        <v>0</v>
      </c>
      <c r="AH14" s="30">
        <f>IF(F14&gt;0,((L14*((3*86)+F14))/(4*F14*86))*(1-(F14-L14)/(569-86)),0)</f>
        <v>0</v>
      </c>
      <c r="AI14" s="30">
        <f>IF(G14&gt;0,((M14*((3*86)+G14))/(4*G14*86))*(1-(G14-M14)/(569-86)),0)</f>
        <v>0</v>
      </c>
      <c r="AJ14" s="9"/>
      <c r="AR14" s="1" t="s">
        <v>30</v>
      </c>
      <c r="AS14" s="15">
        <f>MAX(W6,W10,W14,W18,W22,W26,W30,W34)</f>
        <v>1.7008152173913045</v>
      </c>
      <c r="AT14" s="15">
        <f>MAX(X6,X10,X14,X18,X22,X26,X30,X34)</f>
        <v>1.2083182265499561</v>
      </c>
      <c r="AU14" s="15">
        <f>MAX(Y6,Y10,Y14,Y18,Y22,Y26,Y30,Y34)</f>
        <v>4.3769230769230774</v>
      </c>
      <c r="AV14" s="14">
        <f>MAX(Z6,Z10,Z14,Z18,Z22,Z26,Z30,Z34)</f>
        <v>0</v>
      </c>
      <c r="AW14" s="14">
        <f>MAX(AA6,AA10,AA14,AA18,AA22,AA26,AA30,AA34)</f>
        <v>0</v>
      </c>
      <c r="AX14" s="14"/>
    </row>
    <row r="15" spans="1:61" x14ac:dyDescent="0.3">
      <c r="A15" s="31" t="s">
        <v>31</v>
      </c>
      <c r="B15" t="s">
        <v>27</v>
      </c>
      <c r="C15">
        <v>560</v>
      </c>
      <c r="D15">
        <v>291</v>
      </c>
      <c r="E15">
        <v>49</v>
      </c>
      <c r="F15">
        <v>2</v>
      </c>
      <c r="G15">
        <v>0</v>
      </c>
      <c r="I15">
        <v>26</v>
      </c>
      <c r="J15">
        <v>9</v>
      </c>
      <c r="K15">
        <v>3</v>
      </c>
      <c r="L15">
        <v>0</v>
      </c>
      <c r="M15">
        <v>0</v>
      </c>
      <c r="O15" s="2">
        <f t="shared" si="0"/>
        <v>4.642857142857143E-2</v>
      </c>
      <c r="P15" s="2">
        <f t="shared" si="1"/>
        <v>3.0927835051546393E-2</v>
      </c>
      <c r="Q15" s="2">
        <f t="shared" si="2"/>
        <v>6.1224489795918366E-2</v>
      </c>
      <c r="R15" s="2">
        <f t="shared" si="3"/>
        <v>0</v>
      </c>
      <c r="S15" s="2">
        <f t="shared" si="4"/>
        <v>0</v>
      </c>
      <c r="T15" s="2"/>
      <c r="U15" s="2">
        <f>29/569</f>
        <v>5.0966608084358524E-2</v>
      </c>
      <c r="V15" s="2"/>
      <c r="W15" s="3">
        <f t="shared" si="14"/>
        <v>0.91096059113300498</v>
      </c>
      <c r="X15" s="3">
        <f t="shared" si="14"/>
        <v>0.60682545325275505</v>
      </c>
      <c r="Y15" s="3">
        <f t="shared" si="14"/>
        <v>1.2012667135819846</v>
      </c>
      <c r="Z15" s="3">
        <f t="shared" si="15"/>
        <v>0</v>
      </c>
      <c r="AA15" s="3">
        <f t="shared" si="16"/>
        <v>0</v>
      </c>
      <c r="AB15" s="3">
        <f t="shared" si="6"/>
        <v>1.2012667135819846</v>
      </c>
      <c r="AC15" s="41">
        <f t="shared" si="9"/>
        <v>49</v>
      </c>
      <c r="AD15" s="41" t="str">
        <f t="shared" si="10"/>
        <v>5</v>
      </c>
      <c r="AE15" s="3">
        <f>IF(C15&gt;0,((I15*((3*29)+C15))/(4*C15*29))*(1-(C15-I15)/(569-29)),0)</f>
        <v>2.8773262178434489E-3</v>
      </c>
      <c r="AF15" s="3">
        <f>IF(D15&gt;0,((J15*((3*29)+D15))/(4*D15*29))*(1-(D15-J15)/(569-29)),0)</f>
        <v>4.8151439744045503E-2</v>
      </c>
      <c r="AG15" s="3">
        <f>IF(E15&gt;0,((K15*((3*29)+E15))/(4*E15*29))*(1-(E15-K15)/(569-29)),0)</f>
        <v>6.5665806552506062E-2</v>
      </c>
      <c r="AH15" s="3">
        <f>IF(F15&gt;0,((L15*((3*29)+F15))/(4*F15*29))*(1-(F15-L15)/(569-29)),0)</f>
        <v>0</v>
      </c>
      <c r="AI15" s="3">
        <f>IF(G15&gt;0,((M15*((3*29)+G15))/(4*G15*29))*(1-(G15-M15)/(569-29)),0)</f>
        <v>0</v>
      </c>
      <c r="AJ15" s="2"/>
    </row>
    <row r="16" spans="1:61" x14ac:dyDescent="0.3">
      <c r="A16" s="31" t="s">
        <v>31</v>
      </c>
      <c r="B16" t="s">
        <v>28</v>
      </c>
      <c r="C16">
        <v>562</v>
      </c>
      <c r="D16">
        <v>351</v>
      </c>
      <c r="E16">
        <v>28</v>
      </c>
      <c r="F16">
        <v>0</v>
      </c>
      <c r="G16">
        <v>0</v>
      </c>
      <c r="I16">
        <v>28</v>
      </c>
      <c r="J16">
        <v>17</v>
      </c>
      <c r="K16">
        <v>0</v>
      </c>
      <c r="L16">
        <v>0</v>
      </c>
      <c r="M16">
        <v>0</v>
      </c>
      <c r="O16" s="2">
        <f t="shared" si="0"/>
        <v>4.9822064056939501E-2</v>
      </c>
      <c r="P16" s="2">
        <f t="shared" si="1"/>
        <v>4.843304843304843E-2</v>
      </c>
      <c r="Q16" s="2">
        <f t="shared" si="2"/>
        <v>0</v>
      </c>
      <c r="R16" s="2">
        <f t="shared" si="3"/>
        <v>0</v>
      </c>
      <c r="S16" s="2">
        <f t="shared" si="4"/>
        <v>0</v>
      </c>
      <c r="T16" s="2"/>
      <c r="U16" s="2">
        <f>29/569</f>
        <v>5.0966608084358524E-2</v>
      </c>
      <c r="V16" s="2"/>
      <c r="W16" s="3">
        <f t="shared" si="14"/>
        <v>0.97754325684133025</v>
      </c>
      <c r="X16" s="3">
        <f t="shared" si="14"/>
        <v>0.95028981235877785</v>
      </c>
      <c r="Y16" s="3">
        <f t="shared" si="14"/>
        <v>0</v>
      </c>
      <c r="Z16" s="3">
        <f t="shared" si="15"/>
        <v>0</v>
      </c>
      <c r="AA16" s="3">
        <f t="shared" si="16"/>
        <v>0</v>
      </c>
      <c r="AB16" s="3">
        <f t="shared" si="6"/>
        <v>0.97754325684133025</v>
      </c>
      <c r="AC16" s="41">
        <f t="shared" si="9"/>
        <v>562</v>
      </c>
      <c r="AD16" s="41" t="str">
        <f t="shared" si="10"/>
        <v>3</v>
      </c>
      <c r="AE16" s="3">
        <f>IF(C16&gt;0,((I16*((3*29)+C16))/(4*C16*29))*(1-(C16-I16)/(569-29)),0)</f>
        <v>3.0971762043059022E-3</v>
      </c>
      <c r="AF16" s="3">
        <f>IF(D16&gt;0,((J16*((3*29)+D16))/(4*D16*29))*(1-(D16-J16)/(569-29)),0)</f>
        <v>6.9764002139481071E-2</v>
      </c>
      <c r="AG16" s="3">
        <f>IF(E16&gt;0,((K16*((3*29)+E16))/(4*E16*29))*(1-(E16-K16)/(569-29)),0)</f>
        <v>0</v>
      </c>
      <c r="AH16" s="3">
        <f>IF(F16&gt;0,((L16*((3*29)+F16))/(4*F16*29))*(1-(F16-L16)/(569-29)),0)</f>
        <v>0</v>
      </c>
      <c r="AI16" s="3">
        <f>IF(G16&gt;0,((M16*((3*29)+G16))/(4*G16*29))*(1-(G16-M16)/(569-29)),0)</f>
        <v>0</v>
      </c>
      <c r="AJ16" s="2"/>
    </row>
    <row r="17" spans="1:71" x14ac:dyDescent="0.3">
      <c r="A17" s="31" t="s">
        <v>31</v>
      </c>
      <c r="B17" t="s">
        <v>29</v>
      </c>
      <c r="C17">
        <v>550</v>
      </c>
      <c r="D17">
        <v>233</v>
      </c>
      <c r="E17">
        <v>14</v>
      </c>
      <c r="F17">
        <v>0</v>
      </c>
      <c r="G17">
        <v>0</v>
      </c>
      <c r="I17">
        <v>25</v>
      </c>
      <c r="J17">
        <v>10</v>
      </c>
      <c r="K17">
        <v>2</v>
      </c>
      <c r="L17">
        <v>0</v>
      </c>
      <c r="M17">
        <v>0</v>
      </c>
      <c r="O17" s="2">
        <f t="shared" si="0"/>
        <v>4.5454545454545456E-2</v>
      </c>
      <c r="P17" s="2">
        <f t="shared" si="1"/>
        <v>4.2918454935622317E-2</v>
      </c>
      <c r="Q17" s="2">
        <f t="shared" si="2"/>
        <v>0.14285714285714285</v>
      </c>
      <c r="R17" s="2">
        <f t="shared" si="3"/>
        <v>0</v>
      </c>
      <c r="S17" s="2">
        <f t="shared" si="4"/>
        <v>0</v>
      </c>
      <c r="T17" s="2"/>
      <c r="U17" s="2">
        <f>29/569</f>
        <v>5.0966608084358524E-2</v>
      </c>
      <c r="V17" s="2"/>
      <c r="W17" s="3">
        <f t="shared" si="14"/>
        <v>0.89184952978056431</v>
      </c>
      <c r="X17" s="3">
        <f t="shared" si="14"/>
        <v>0.84208968477134827</v>
      </c>
      <c r="Y17" s="3">
        <f t="shared" si="14"/>
        <v>2.8029556650246303</v>
      </c>
      <c r="Z17" s="3">
        <f t="shared" si="15"/>
        <v>0</v>
      </c>
      <c r="AA17" s="3">
        <f t="shared" si="16"/>
        <v>0</v>
      </c>
      <c r="AB17" s="3">
        <f t="shared" si="6"/>
        <v>2.8029556650246303</v>
      </c>
      <c r="AC17" s="41">
        <f t="shared" si="9"/>
        <v>14</v>
      </c>
      <c r="AD17" s="41" t="str">
        <f t="shared" si="10"/>
        <v>5</v>
      </c>
      <c r="AE17" s="3">
        <f>IF(C17&gt;0,((I17*((3*29)+C17))/(4*C17*29))*(1-(C17-I17)/(569-29)),0)</f>
        <v>6.9335597352838769E-3</v>
      </c>
      <c r="AF17" s="3">
        <f>IF(D17&gt;0,((J17*((3*29)+D17))/(4*D17*29))*(1-(D17-J17)/(569-29)),0)</f>
        <v>6.9502683088594003E-2</v>
      </c>
      <c r="AG17" s="3">
        <f>IF(E17&gt;0,((K17*((3*29)+E17))/(4*E17*29))*(1-(E17-K17)/(569-29)),0)</f>
        <v>0.12162014230979748</v>
      </c>
      <c r="AH17" s="3">
        <f>IF(F17&gt;0,((L17*((3*29)+F17))/(4*F17*29))*(1-(F17-L17)/(569-29)),0)</f>
        <v>0</v>
      </c>
      <c r="AI17" s="3">
        <f>IF(G17&gt;0,((M17*((3*29)+G17))/(4*G17*29))*(1-(G17-M17)/(569-29)),0)</f>
        <v>0</v>
      </c>
      <c r="AJ17" s="2"/>
    </row>
    <row r="18" spans="1:71" s="1" customFormat="1" x14ac:dyDescent="0.3">
      <c r="A18" s="31" t="s">
        <v>31</v>
      </c>
      <c r="B18" s="1" t="s">
        <v>30</v>
      </c>
      <c r="C18" s="1">
        <v>557</v>
      </c>
      <c r="D18" s="1">
        <v>378</v>
      </c>
      <c r="E18" s="1">
        <v>0</v>
      </c>
      <c r="F18" s="1">
        <v>0</v>
      </c>
      <c r="G18" s="1">
        <v>0</v>
      </c>
      <c r="I18" s="1">
        <v>29</v>
      </c>
      <c r="J18" s="1">
        <v>22</v>
      </c>
      <c r="K18" s="1">
        <v>0</v>
      </c>
      <c r="L18" s="1">
        <v>0</v>
      </c>
      <c r="M18" s="1">
        <v>0</v>
      </c>
      <c r="O18" s="9">
        <f t="shared" si="0"/>
        <v>5.2064631956912029E-2</v>
      </c>
      <c r="P18" s="9">
        <f t="shared" si="1"/>
        <v>5.8201058201058198E-2</v>
      </c>
      <c r="Q18" s="9">
        <f t="shared" si="2"/>
        <v>0</v>
      </c>
      <c r="R18" s="9">
        <f t="shared" si="3"/>
        <v>0</v>
      </c>
      <c r="S18" s="9">
        <f t="shared" si="4"/>
        <v>0</v>
      </c>
      <c r="T18" s="9"/>
      <c r="U18" s="9">
        <f>29/569</f>
        <v>5.0966608084358524E-2</v>
      </c>
      <c r="V18" s="9"/>
      <c r="W18" s="10">
        <f t="shared" si="14"/>
        <v>1.0215439856373429</v>
      </c>
      <c r="X18" s="10">
        <f t="shared" si="14"/>
        <v>1.1419449005655902</v>
      </c>
      <c r="Y18" s="10">
        <f t="shared" si="14"/>
        <v>0</v>
      </c>
      <c r="Z18" s="10">
        <f t="shared" si="15"/>
        <v>0</v>
      </c>
      <c r="AA18" s="10">
        <f t="shared" si="16"/>
        <v>0</v>
      </c>
      <c r="AB18" s="10">
        <f t="shared" si="6"/>
        <v>1.1419449005655902</v>
      </c>
      <c r="AC18" s="42">
        <f t="shared" si="9"/>
        <v>378</v>
      </c>
      <c r="AD18" s="42" t="str">
        <f t="shared" si="10"/>
        <v>4</v>
      </c>
      <c r="AE18" s="10">
        <f>IF(C18&gt;0,((I18*((3*29)+C18))/(4*C18*29))*(1-(C18-I18)/(569-29)),0)</f>
        <v>6.4232994215040985E-3</v>
      </c>
      <c r="AF18" s="10">
        <f>IF(D18&gt;0,((J18*((3*29)+D18))/(4*D18*29))*(1-(D18-J18)/(569-29)),0)</f>
        <v>7.9496847696081424E-2</v>
      </c>
      <c r="AG18" s="10">
        <f>IF(E18&gt;0,((K18*((3*29)+E18))/(4*E18*29))*(1-(E18-K18)/(569-29)),0)</f>
        <v>0</v>
      </c>
      <c r="AH18" s="10">
        <f>IF(F18&gt;0,((L18*((3*29)+F18))/(4*F18*29))*(1-(F18-L18)/(569-29)),0)</f>
        <v>0</v>
      </c>
      <c r="AI18" s="10">
        <f>IF(G18&gt;0,((M18*((3*29)+G18))/(4*G18*29))*(1-(G18-M18)/(569-29)),0)</f>
        <v>0</v>
      </c>
      <c r="AJ18" s="9"/>
    </row>
    <row r="19" spans="1:71" x14ac:dyDescent="0.3">
      <c r="A19" s="31" t="s">
        <v>55</v>
      </c>
      <c r="B19" t="s">
        <v>27</v>
      </c>
      <c r="C19">
        <v>567</v>
      </c>
      <c r="D19">
        <v>446</v>
      </c>
      <c r="E19">
        <v>49</v>
      </c>
      <c r="F19">
        <v>1</v>
      </c>
      <c r="G19">
        <v>0</v>
      </c>
      <c r="I19">
        <v>31</v>
      </c>
      <c r="J19">
        <v>23</v>
      </c>
      <c r="K19">
        <v>2</v>
      </c>
      <c r="L19">
        <v>0</v>
      </c>
      <c r="M19">
        <v>0</v>
      </c>
      <c r="O19" s="27">
        <f t="shared" si="0"/>
        <v>5.4673721340388004E-2</v>
      </c>
      <c r="P19" s="27">
        <f t="shared" si="1"/>
        <v>5.1569506726457402E-2</v>
      </c>
      <c r="Q19" s="27">
        <f t="shared" si="2"/>
        <v>4.0816326530612242E-2</v>
      </c>
      <c r="R19" s="27">
        <f t="shared" si="3"/>
        <v>0</v>
      </c>
      <c r="S19" s="27">
        <f t="shared" si="4"/>
        <v>0</v>
      </c>
      <c r="T19" s="27"/>
      <c r="U19" s="27">
        <f>32/569</f>
        <v>5.6239015817223195E-2</v>
      </c>
      <c r="V19" s="27"/>
      <c r="W19" s="28">
        <f t="shared" ref="W19:W54" si="17">O19/$U19</f>
        <v>0.97216710758377423</v>
      </c>
      <c r="X19" s="28">
        <f t="shared" ref="X19:X54" si="18">P19/$U19</f>
        <v>0.91697029147982079</v>
      </c>
      <c r="Y19" s="28">
        <f t="shared" ref="Y19:Y54" si="19">Q19/$U19</f>
        <v>0.72576530612244894</v>
      </c>
      <c r="Z19" s="28">
        <f t="shared" si="15"/>
        <v>0</v>
      </c>
      <c r="AA19" s="28">
        <f t="shared" si="16"/>
        <v>0</v>
      </c>
      <c r="AB19" s="28">
        <f t="shared" si="6"/>
        <v>0.97216710758377423</v>
      </c>
      <c r="AC19" s="39">
        <f t="shared" si="9"/>
        <v>567</v>
      </c>
      <c r="AD19" s="39" t="str">
        <f t="shared" si="10"/>
        <v>3</v>
      </c>
      <c r="AE19" s="28">
        <f>IF(C19&gt;0,((I19*((3*32)+C19))/(4*C19*32))*(1-(C19-I19)/(569-32)),0)</f>
        <v>5.2736087710484008E-4</v>
      </c>
      <c r="AF19" s="28">
        <f>IF(D19&gt;0,((J19*((3*32)+D19))/(4*D19*32))*(1-(D19-J19)/(569-32)),0)</f>
        <v>4.635673710449182E-2</v>
      </c>
      <c r="AG19" s="28">
        <f>IF(E19&gt;0,((K19*((3*32)+E19))/(4*E19*32))*(1-(E19-K19)/(569-32)),0)</f>
        <v>4.2190409683426446E-2</v>
      </c>
      <c r="AH19" s="28">
        <f>IF(F19&gt;0,((L19*((3*32)+F19))/(4*F19*32))*(1-(F19-L19)/(569-32)),0)</f>
        <v>0</v>
      </c>
      <c r="AI19" s="28">
        <f>IF(G19&gt;0,((M19*((3*32)+G19))/(4*G19*32))*(1-(G19-M19)/(569-32)),0)</f>
        <v>0</v>
      </c>
      <c r="AJ19" s="2"/>
      <c r="AR19" t="s">
        <v>27</v>
      </c>
      <c r="AT19" s="5"/>
    </row>
    <row r="20" spans="1:71" x14ac:dyDescent="0.3">
      <c r="A20" s="31" t="s">
        <v>55</v>
      </c>
      <c r="B20" t="s">
        <v>28</v>
      </c>
      <c r="C20">
        <v>568</v>
      </c>
      <c r="D20">
        <v>485</v>
      </c>
      <c r="E20">
        <v>103</v>
      </c>
      <c r="F20">
        <v>2</v>
      </c>
      <c r="G20">
        <v>0</v>
      </c>
      <c r="I20">
        <v>32</v>
      </c>
      <c r="J20">
        <v>29</v>
      </c>
      <c r="K20">
        <v>11</v>
      </c>
      <c r="L20">
        <v>0</v>
      </c>
      <c r="M20">
        <v>0</v>
      </c>
      <c r="O20" s="27">
        <f t="shared" si="0"/>
        <v>5.6338028169014086E-2</v>
      </c>
      <c r="P20" s="27">
        <f t="shared" si="1"/>
        <v>5.9793814432989693E-2</v>
      </c>
      <c r="Q20" s="27">
        <f t="shared" si="2"/>
        <v>0.10679611650485436</v>
      </c>
      <c r="R20" s="27">
        <f t="shared" si="3"/>
        <v>0</v>
      </c>
      <c r="S20" s="27">
        <f t="shared" si="4"/>
        <v>0</v>
      </c>
      <c r="T20" s="27"/>
      <c r="U20" s="27">
        <f>32/569</f>
        <v>5.6239015817223195E-2</v>
      </c>
      <c r="V20" s="27"/>
      <c r="W20" s="28">
        <f t="shared" si="17"/>
        <v>1.0017605633802817</v>
      </c>
      <c r="X20" s="28">
        <f t="shared" si="18"/>
        <v>1.063208762886598</v>
      </c>
      <c r="Y20" s="28">
        <f t="shared" si="19"/>
        <v>1.8989684466019419</v>
      </c>
      <c r="Z20" s="28">
        <f t="shared" si="15"/>
        <v>0</v>
      </c>
      <c r="AA20" s="28">
        <f t="shared" si="16"/>
        <v>0</v>
      </c>
      <c r="AB20" s="28">
        <f t="shared" si="6"/>
        <v>1.8989684466019419</v>
      </c>
      <c r="AC20" s="39">
        <f t="shared" si="9"/>
        <v>103</v>
      </c>
      <c r="AD20" s="39" t="str">
        <f t="shared" si="10"/>
        <v>5</v>
      </c>
      <c r="AE20" s="28">
        <f>IF(C20&gt;0,((I20*((3*32)+C20))/(4*C20*32))*(1-(C20-I20)/(569-32)),0)</f>
        <v>5.4423374511502597E-4</v>
      </c>
      <c r="AF20" s="28">
        <f>IF(D20&gt;0,((J20*((3*32)+D20))/(4*D20*32))*(1-(D20-J20)/(569-32)),0)</f>
        <v>4.0938615878592412E-2</v>
      </c>
      <c r="AG20" s="28">
        <f>IF(E20&gt;0,((K20*((3*32)+E20))/(4*E20*32))*(1-(E20-K20)/(569-32)),0)</f>
        <v>0.13758918320948815</v>
      </c>
      <c r="AH20" s="28">
        <f>IF(F20&gt;0,((L20*((3*32)+F20))/(4*F20*32))*(1-(F20-L20)/(569-32)),0)</f>
        <v>0</v>
      </c>
      <c r="AI20" s="28">
        <f>IF(G20&gt;0,((M20*((3*32)+G20))/(4*G20*32))*(1-(G20-M20)/(569-32)),0)</f>
        <v>0</v>
      </c>
      <c r="AJ20" s="2"/>
      <c r="AR20" t="s">
        <v>28</v>
      </c>
    </row>
    <row r="21" spans="1:71" x14ac:dyDescent="0.3">
      <c r="A21" s="31" t="s">
        <v>55</v>
      </c>
      <c r="B21" t="s">
        <v>29</v>
      </c>
      <c r="C21">
        <v>567</v>
      </c>
      <c r="D21">
        <v>518</v>
      </c>
      <c r="E21">
        <v>121</v>
      </c>
      <c r="F21">
        <v>4</v>
      </c>
      <c r="G21">
        <v>1</v>
      </c>
      <c r="I21">
        <v>32</v>
      </c>
      <c r="J21">
        <v>23</v>
      </c>
      <c r="K21">
        <v>5</v>
      </c>
      <c r="L21">
        <v>0</v>
      </c>
      <c r="M21">
        <v>0</v>
      </c>
      <c r="O21" s="27">
        <f t="shared" si="0"/>
        <v>5.6437389770723101E-2</v>
      </c>
      <c r="P21" s="27">
        <f t="shared" si="1"/>
        <v>4.4401544401544403E-2</v>
      </c>
      <c r="Q21" s="27">
        <f t="shared" si="2"/>
        <v>4.1322314049586778E-2</v>
      </c>
      <c r="R21" s="27">
        <f t="shared" si="3"/>
        <v>0</v>
      </c>
      <c r="S21" s="27">
        <f t="shared" si="4"/>
        <v>0</v>
      </c>
      <c r="T21" s="27"/>
      <c r="U21" s="27">
        <f>32/569</f>
        <v>5.6239015817223195E-2</v>
      </c>
      <c r="V21" s="27"/>
      <c r="W21" s="28">
        <f t="shared" si="17"/>
        <v>1.0035273368606703</v>
      </c>
      <c r="X21" s="28">
        <f t="shared" si="18"/>
        <v>0.78951496138996147</v>
      </c>
      <c r="Y21" s="28">
        <f t="shared" si="19"/>
        <v>0.73476239669421495</v>
      </c>
      <c r="Z21" s="28">
        <f t="shared" si="15"/>
        <v>0</v>
      </c>
      <c r="AA21" s="28">
        <f t="shared" si="16"/>
        <v>0</v>
      </c>
      <c r="AB21" s="28">
        <f t="shared" si="6"/>
        <v>1.0035273368606703</v>
      </c>
      <c r="AC21" s="39">
        <f t="shared" si="9"/>
        <v>567</v>
      </c>
      <c r="AD21" s="39" t="str">
        <f t="shared" si="10"/>
        <v>3</v>
      </c>
      <c r="AE21" s="28">
        <f>IF(C21&gt;0,((I21*((3*32)+C21))/(4*C21*32))*(1-(C21-I21)/(569-32)),0)</f>
        <v>1.0887450366035085E-3</v>
      </c>
      <c r="AF21" s="28">
        <f>IF(D21&gt;0,((J21*((3*32)+D21))/(4*D21*32))*(1-(D21-J21)/(569-32)),0)</f>
        <v>1.6658330816850375E-2</v>
      </c>
      <c r="AG21" s="28">
        <f>IF(E21&gt;0,((K21*((3*32)+E21))/(4*E21*32))*(1-(E21-K21)/(569-32)),0)</f>
        <v>5.4921477022638776E-2</v>
      </c>
      <c r="AH21" s="28">
        <f>IF(F21&gt;0,((L21*((3*32)+F21))/(4*F21*32))*(1-(F21-L21)/(569-32)),0)</f>
        <v>0</v>
      </c>
      <c r="AI21" s="28">
        <f>IF(G21&gt;0,((M21*((3*32)+G21))/(4*G21*32))*(1-(G21-M21)/(569-32)),0)</f>
        <v>0</v>
      </c>
      <c r="AJ21" s="2"/>
      <c r="AR21" t="s">
        <v>29</v>
      </c>
    </row>
    <row r="22" spans="1:71" s="1" customFormat="1" x14ac:dyDescent="0.3">
      <c r="A22" s="31" t="s">
        <v>55</v>
      </c>
      <c r="B22" s="1" t="s">
        <v>30</v>
      </c>
      <c r="C22" s="1">
        <v>115</v>
      </c>
      <c r="D22" s="1">
        <v>10</v>
      </c>
      <c r="E22" s="1">
        <v>0</v>
      </c>
      <c r="F22" s="1">
        <v>0</v>
      </c>
      <c r="G22" s="1">
        <v>0</v>
      </c>
      <c r="I22" s="1">
        <v>11</v>
      </c>
      <c r="J22" s="1">
        <v>0</v>
      </c>
      <c r="K22" s="1">
        <v>0</v>
      </c>
      <c r="L22" s="1">
        <v>0</v>
      </c>
      <c r="M22" s="1">
        <v>0</v>
      </c>
      <c r="O22" s="29">
        <f t="shared" si="0"/>
        <v>9.5652173913043481E-2</v>
      </c>
      <c r="P22" s="29">
        <f t="shared" si="1"/>
        <v>0</v>
      </c>
      <c r="Q22" s="29">
        <f t="shared" si="2"/>
        <v>0</v>
      </c>
      <c r="R22" s="29">
        <f t="shared" si="3"/>
        <v>0</v>
      </c>
      <c r="S22" s="29">
        <f t="shared" si="4"/>
        <v>0</v>
      </c>
      <c r="T22" s="29"/>
      <c r="U22" s="29">
        <f>32/569</f>
        <v>5.6239015817223195E-2</v>
      </c>
      <c r="V22" s="29"/>
      <c r="W22" s="30">
        <f t="shared" si="17"/>
        <v>1.7008152173913045</v>
      </c>
      <c r="X22" s="30">
        <f t="shared" si="18"/>
        <v>0</v>
      </c>
      <c r="Y22" s="30">
        <f t="shared" si="19"/>
        <v>0</v>
      </c>
      <c r="Z22" s="30">
        <f t="shared" si="15"/>
        <v>0</v>
      </c>
      <c r="AA22" s="30">
        <f t="shared" si="16"/>
        <v>0</v>
      </c>
      <c r="AB22" s="30">
        <f t="shared" si="6"/>
        <v>1.7008152173913045</v>
      </c>
      <c r="AC22" s="40">
        <f t="shared" si="9"/>
        <v>115</v>
      </c>
      <c r="AD22" s="40" t="str">
        <f t="shared" si="10"/>
        <v>3</v>
      </c>
      <c r="AE22" s="30">
        <f>IF(C22&gt;0,((I22*((3*32)+C22))/(4*C22*32))*(1-(C22-I22)/(569-32)),0)</f>
        <v>0.12713962938223625</v>
      </c>
      <c r="AF22" s="30">
        <f>IF(D22&gt;0,((J22*((3*32)+D22))/(4*D22*32))*(1-(D22-J22)/(569-32)),0)</f>
        <v>0</v>
      </c>
      <c r="AG22" s="30">
        <f>IF(E22&gt;0,((K22*((3*32)+E22))/(4*E22*32))*(1-(E22-K22)/(569-32)),0)</f>
        <v>0</v>
      </c>
      <c r="AH22" s="30">
        <f>IF(F22&gt;0,((L22*((3*32)+F22))/(4*F22*32))*(1-(F22-L22)/(569-32)),0)</f>
        <v>0</v>
      </c>
      <c r="AI22" s="30">
        <f>IF(G22&gt;0,((M22*((3*32)+G22))/(4*G22*32))*(1-(G22-M22)/(569-32)),0)</f>
        <v>0</v>
      </c>
      <c r="AJ22" s="9"/>
      <c r="AR22" s="1" t="s">
        <v>30</v>
      </c>
    </row>
    <row r="23" spans="1:71" x14ac:dyDescent="0.3">
      <c r="A23" s="31" t="s">
        <v>32</v>
      </c>
      <c r="B23" t="s">
        <v>27</v>
      </c>
      <c r="C23">
        <v>511</v>
      </c>
      <c r="D23">
        <v>74</v>
      </c>
      <c r="E23">
        <v>3</v>
      </c>
      <c r="F23">
        <v>0</v>
      </c>
      <c r="G23">
        <v>0</v>
      </c>
      <c r="I23">
        <v>43</v>
      </c>
      <c r="J23">
        <v>6</v>
      </c>
      <c r="K23">
        <v>0</v>
      </c>
      <c r="L23">
        <v>0</v>
      </c>
      <c r="M23">
        <v>0</v>
      </c>
      <c r="O23" s="2">
        <f t="shared" si="0"/>
        <v>8.4148727984344418E-2</v>
      </c>
      <c r="P23" s="2">
        <f t="shared" si="1"/>
        <v>8.1081081081081086E-2</v>
      </c>
      <c r="Q23" s="2">
        <f t="shared" si="2"/>
        <v>0</v>
      </c>
      <c r="R23" s="2">
        <f t="shared" si="3"/>
        <v>0</v>
      </c>
      <c r="S23" s="2">
        <f t="shared" si="4"/>
        <v>0</v>
      </c>
      <c r="T23" s="2"/>
      <c r="U23" s="2">
        <f>43/569</f>
        <v>7.5571177504393669E-2</v>
      </c>
      <c r="V23" s="2"/>
      <c r="W23" s="3">
        <f t="shared" si="17"/>
        <v>1.1135029354207437</v>
      </c>
      <c r="X23" s="3">
        <f t="shared" si="18"/>
        <v>1.0729101194217474</v>
      </c>
      <c r="Y23" s="3">
        <f t="shared" si="19"/>
        <v>0</v>
      </c>
      <c r="Z23" s="3">
        <f t="shared" si="15"/>
        <v>0</v>
      </c>
      <c r="AA23" s="3">
        <f t="shared" si="16"/>
        <v>0</v>
      </c>
      <c r="AB23" s="3">
        <f t="shared" si="6"/>
        <v>1.1135029354207437</v>
      </c>
      <c r="AC23" s="41">
        <f t="shared" si="9"/>
        <v>511</v>
      </c>
      <c r="AD23" s="41" t="str">
        <f t="shared" si="10"/>
        <v>3</v>
      </c>
      <c r="AE23" s="3">
        <f>IF(C23&gt;0,((I23*((3*43)+C23))/(4*C23*43))*(1-(C23-I23)/(569-43)),0)</f>
        <v>3.4525607732545607E-2</v>
      </c>
      <c r="AF23" s="3">
        <f>IF(D23&gt;0,((J23*((3*43)+D23))/(4*D23*43))*(1-(D23-J23)/(569-43)),0)</f>
        <v>8.3323375546383763E-2</v>
      </c>
      <c r="AG23" s="3">
        <f>IF(E23&gt;0,((K23*((3*43)+E23))/(4*E23*43))*(1-(E23-K23)/(569-43)),0)</f>
        <v>0</v>
      </c>
      <c r="AH23" s="3">
        <f>IF(F23&gt;0,((L23*((3*43)+F23))/(4*F23*43))*(1-(F23-L23)/(569-43)),0)</f>
        <v>0</v>
      </c>
      <c r="AI23" s="3">
        <f>IF(G23&gt;0,((M23*((3*43)+G23))/(4*G23*43))*(1-(G23-M23)/(569-43)),0)</f>
        <v>0</v>
      </c>
    </row>
    <row r="24" spans="1:71" x14ac:dyDescent="0.3">
      <c r="A24" s="31" t="s">
        <v>32</v>
      </c>
      <c r="B24" t="s">
        <v>28</v>
      </c>
      <c r="C24">
        <v>569</v>
      </c>
      <c r="D24">
        <v>493</v>
      </c>
      <c r="E24">
        <v>41</v>
      </c>
      <c r="F24">
        <v>0</v>
      </c>
      <c r="G24">
        <v>0</v>
      </c>
      <c r="I24">
        <v>43</v>
      </c>
      <c r="J24">
        <v>40</v>
      </c>
      <c r="K24">
        <v>1</v>
      </c>
      <c r="L24">
        <v>0</v>
      </c>
      <c r="M24">
        <v>0</v>
      </c>
      <c r="O24" s="2">
        <f t="shared" si="0"/>
        <v>7.5571177504393669E-2</v>
      </c>
      <c r="P24" s="2">
        <f t="shared" si="1"/>
        <v>8.1135902636916835E-2</v>
      </c>
      <c r="Q24" s="2">
        <f t="shared" si="2"/>
        <v>2.4390243902439025E-2</v>
      </c>
      <c r="R24" s="2">
        <f t="shared" si="3"/>
        <v>0</v>
      </c>
      <c r="S24" s="2">
        <f t="shared" si="4"/>
        <v>0</v>
      </c>
      <c r="T24" s="2"/>
      <c r="U24" s="2">
        <f>43/569</f>
        <v>7.5571177504393669E-2</v>
      </c>
      <c r="V24" s="2"/>
      <c r="W24" s="3">
        <f t="shared" si="17"/>
        <v>1</v>
      </c>
      <c r="X24" s="3">
        <f t="shared" si="18"/>
        <v>1.0736355488466438</v>
      </c>
      <c r="Y24" s="3">
        <f t="shared" si="19"/>
        <v>0.3227453204764606</v>
      </c>
      <c r="Z24" s="3">
        <f t="shared" si="15"/>
        <v>0</v>
      </c>
      <c r="AA24" s="3">
        <f t="shared" si="16"/>
        <v>0</v>
      </c>
      <c r="AB24" s="3">
        <f t="shared" si="6"/>
        <v>1.0736355488466438</v>
      </c>
      <c r="AC24" s="41">
        <f t="shared" si="9"/>
        <v>493</v>
      </c>
      <c r="AD24" s="41" t="str">
        <f t="shared" si="10"/>
        <v>4</v>
      </c>
      <c r="AE24" s="3">
        <f>IF(C24&gt;0,((I24*((3*43)+C24))/(4*C24*43))*(1-(C24-I24)/(569-43)),0)</f>
        <v>0</v>
      </c>
      <c r="AF24" s="3">
        <f>IF(D24&gt;0,((J24*((3*43)+D24))/(4*D24*43))*(1-(D24-J24)/(569-43)),0)</f>
        <v>4.0720408470375877E-2</v>
      </c>
      <c r="AG24" s="3">
        <f>IF(E24&gt;0,((K24*((3*43)+E24))/(4*E24*43))*(1-(E24-K24)/(569-43)),0)</f>
        <v>2.227343212507198E-2</v>
      </c>
      <c r="AH24" s="3">
        <f>IF(F24&gt;0,((L24*((3*43)+F24))/(4*F24*43))*(1-(F24-L24)/(569-43)),0)</f>
        <v>0</v>
      </c>
      <c r="AI24" s="3">
        <f>IF(G24&gt;0,((M24*((3*43)+G24))/(4*G24*43))*(1-(G24-M24)/(569-43)),0)</f>
        <v>0</v>
      </c>
    </row>
    <row r="25" spans="1:71" x14ac:dyDescent="0.3">
      <c r="A25" s="31" t="s">
        <v>32</v>
      </c>
      <c r="B25" t="s">
        <v>29</v>
      </c>
      <c r="C25">
        <v>567</v>
      </c>
      <c r="D25">
        <v>514</v>
      </c>
      <c r="E25">
        <v>94</v>
      </c>
      <c r="F25">
        <v>6</v>
      </c>
      <c r="G25">
        <v>2</v>
      </c>
      <c r="I25">
        <v>43</v>
      </c>
      <c r="J25">
        <v>40</v>
      </c>
      <c r="K25">
        <v>2</v>
      </c>
      <c r="L25">
        <v>0</v>
      </c>
      <c r="M25">
        <v>0</v>
      </c>
      <c r="O25" s="2">
        <f t="shared" si="0"/>
        <v>7.5837742504409167E-2</v>
      </c>
      <c r="P25" s="2">
        <f t="shared" si="1"/>
        <v>7.7821011673151752E-2</v>
      </c>
      <c r="Q25" s="2">
        <f t="shared" si="2"/>
        <v>2.1276595744680851E-2</v>
      </c>
      <c r="R25" s="2">
        <f t="shared" si="3"/>
        <v>0</v>
      </c>
      <c r="S25" s="2">
        <f t="shared" si="4"/>
        <v>0</v>
      </c>
      <c r="T25" s="2"/>
      <c r="U25" s="2">
        <f>43/569</f>
        <v>7.5571177504393669E-2</v>
      </c>
      <c r="V25" s="2"/>
      <c r="W25" s="3">
        <f t="shared" si="17"/>
        <v>1.0035273368606701</v>
      </c>
      <c r="X25" s="3">
        <f t="shared" si="18"/>
        <v>1.0297710614424034</v>
      </c>
      <c r="Y25" s="3">
        <f t="shared" si="19"/>
        <v>0.28154379020286985</v>
      </c>
      <c r="Z25" s="3">
        <f t="shared" si="15"/>
        <v>0</v>
      </c>
      <c r="AA25" s="3">
        <f t="shared" si="16"/>
        <v>0</v>
      </c>
      <c r="AB25" s="3">
        <f t="shared" si="6"/>
        <v>1.0297710614424034</v>
      </c>
      <c r="AC25" s="41">
        <f t="shared" si="9"/>
        <v>514</v>
      </c>
      <c r="AD25" s="41" t="str">
        <f t="shared" si="10"/>
        <v>4</v>
      </c>
      <c r="AE25" s="3">
        <f>IF(C25&gt;0,((I25*((3*43)+C25))/(4*C25*43))*(1-(C25-I25)/(569-43)),0)</f>
        <v>1.1668376687388193E-3</v>
      </c>
      <c r="AF25" s="3">
        <f>IF(D25&gt;0,((J25*((3*43)+D25))/(4*D25*43))*(1-(D25-J25)/(569-43)),0)</f>
        <v>2.876053747351115E-2</v>
      </c>
      <c r="AG25" s="3">
        <f>IF(E25&gt;0,((K25*((3*43)+E25))/(4*E25*43))*(1-(E25-K25)/(569-43)),0)</f>
        <v>2.2760539054753982E-2</v>
      </c>
      <c r="AH25" s="3">
        <f>IF(F25&gt;0,((L25*((3*43)+F25))/(4*F25*43))*(1-(F25-L25)/(569-43)),0)</f>
        <v>0</v>
      </c>
      <c r="AI25" s="3">
        <f>IF(G25&gt;0,((M25*((3*43)+G25))/(4*G25*43))*(1-(G25-M25)/(569-43)),0)</f>
        <v>0</v>
      </c>
      <c r="BE25" t="s">
        <v>27</v>
      </c>
      <c r="BI25" t="s">
        <v>28</v>
      </c>
      <c r="BM25" t="s">
        <v>29</v>
      </c>
      <c r="BQ25" t="s">
        <v>30</v>
      </c>
    </row>
    <row r="26" spans="1:71" s="1" customFormat="1" x14ac:dyDescent="0.3">
      <c r="A26" s="31" t="s">
        <v>32</v>
      </c>
      <c r="B26" s="1" t="s">
        <v>30</v>
      </c>
      <c r="C26" s="1">
        <v>566</v>
      </c>
      <c r="D26" s="1">
        <v>449</v>
      </c>
      <c r="E26" s="1">
        <v>6</v>
      </c>
      <c r="F26" s="1">
        <v>0</v>
      </c>
      <c r="G26" s="1">
        <v>0</v>
      </c>
      <c r="I26" s="1">
        <v>43</v>
      </c>
      <c r="J26" s="1">
        <v>41</v>
      </c>
      <c r="K26" s="1">
        <v>0</v>
      </c>
      <c r="L26" s="1">
        <v>0</v>
      </c>
      <c r="M26" s="1">
        <v>0</v>
      </c>
      <c r="O26" s="9">
        <f t="shared" si="0"/>
        <v>7.5971731448763249E-2</v>
      </c>
      <c r="P26" s="9">
        <f t="shared" si="1"/>
        <v>9.1314031180400893E-2</v>
      </c>
      <c r="Q26" s="9">
        <f t="shared" si="2"/>
        <v>0</v>
      </c>
      <c r="R26" s="9">
        <f t="shared" si="3"/>
        <v>0</v>
      </c>
      <c r="S26" s="9">
        <f t="shared" si="4"/>
        <v>0</v>
      </c>
      <c r="T26" s="9"/>
      <c r="U26" s="9">
        <f>43/569</f>
        <v>7.5571177504393669E-2</v>
      </c>
      <c r="V26" s="9"/>
      <c r="W26" s="10">
        <f t="shared" si="17"/>
        <v>1.0053003533568905</v>
      </c>
      <c r="X26" s="10">
        <f t="shared" si="18"/>
        <v>1.2083182265499561</v>
      </c>
      <c r="Y26" s="10">
        <f t="shared" si="19"/>
        <v>0</v>
      </c>
      <c r="Z26" s="10">
        <f t="shared" si="15"/>
        <v>0</v>
      </c>
      <c r="AA26" s="10">
        <f t="shared" si="16"/>
        <v>0</v>
      </c>
      <c r="AB26" s="10">
        <f t="shared" si="6"/>
        <v>1.2083182265499561</v>
      </c>
      <c r="AC26" s="42">
        <f t="shared" si="9"/>
        <v>449</v>
      </c>
      <c r="AD26" s="42" t="str">
        <f t="shared" si="10"/>
        <v>4</v>
      </c>
      <c r="AE26" s="10">
        <f>IF(C26&gt;0,((I26*((3*43)+C26))/(4*C26*43))*(1-(C26-I26)/(569-43)),0)</f>
        <v>1.750829649733301E-3</v>
      </c>
      <c r="AF26" s="10">
        <f>IF(D26&gt;0,((J26*((3*43)+D26))/(4*D26*43))*(1-(D26-J26)/(569-43)),0)</f>
        <v>6.8838780867318761E-2</v>
      </c>
      <c r="AG26" s="10">
        <f>IF(E26&gt;0,((K26*((3*43)+E26))/(4*E26*43))*(1-(E26-K26)/(569-43)),0)</f>
        <v>0</v>
      </c>
      <c r="AH26" s="10">
        <f>IF(F26&gt;0,((L26*((3*43)+F26))/(4*F26*43))*(1-(F26-L26)/(569-43)),0)</f>
        <v>0</v>
      </c>
      <c r="AI26" s="10">
        <f>IF(G26&gt;0,((M26*((3*43)+G26))/(4*G26*43))*(1-(G26-M26)/(569-43)),0)</f>
        <v>0</v>
      </c>
      <c r="AR26" s="1" t="s">
        <v>36</v>
      </c>
      <c r="AY26" s="1" t="s">
        <v>41</v>
      </c>
      <c r="BA26" s="1" t="s">
        <v>48</v>
      </c>
      <c r="BB26" s="1" t="s">
        <v>44</v>
      </c>
      <c r="BE26" s="1" t="s">
        <v>41</v>
      </c>
      <c r="BG26" s="1" t="s">
        <v>48</v>
      </c>
      <c r="BI26" s="1" t="s">
        <v>41</v>
      </c>
      <c r="BK26" s="1" t="s">
        <v>48</v>
      </c>
      <c r="BM26" s="1" t="s">
        <v>41</v>
      </c>
      <c r="BO26" s="1" t="s">
        <v>48</v>
      </c>
      <c r="BQ26" s="1" t="s">
        <v>41</v>
      </c>
      <c r="BS26" s="1" t="s">
        <v>48</v>
      </c>
    </row>
    <row r="27" spans="1:71" x14ac:dyDescent="0.3">
      <c r="A27" s="31" t="s">
        <v>33</v>
      </c>
      <c r="B27" t="s">
        <v>27</v>
      </c>
      <c r="C27">
        <v>567</v>
      </c>
      <c r="D27">
        <v>552</v>
      </c>
      <c r="E27">
        <v>312</v>
      </c>
      <c r="F27">
        <v>15</v>
      </c>
      <c r="G27">
        <v>0</v>
      </c>
      <c r="I27">
        <v>51</v>
      </c>
      <c r="J27">
        <v>49</v>
      </c>
      <c r="K27">
        <v>22</v>
      </c>
      <c r="L27">
        <v>0</v>
      </c>
      <c r="M27">
        <v>0</v>
      </c>
      <c r="O27" s="2">
        <f t="shared" si="0"/>
        <v>8.9947089947089942E-2</v>
      </c>
      <c r="P27" s="2">
        <f t="shared" si="1"/>
        <v>8.8768115942028991E-2</v>
      </c>
      <c r="Q27" s="2">
        <f t="shared" si="2"/>
        <v>7.0512820512820512E-2</v>
      </c>
      <c r="R27" s="2">
        <f t="shared" si="3"/>
        <v>0</v>
      </c>
      <c r="S27" s="2">
        <f t="shared" si="4"/>
        <v>0</v>
      </c>
      <c r="T27" s="2"/>
      <c r="U27" s="2">
        <f>51/569</f>
        <v>8.9630931458699478E-2</v>
      </c>
      <c r="V27" s="2"/>
      <c r="W27" s="3">
        <f t="shared" si="17"/>
        <v>1.0035273368606701</v>
      </c>
      <c r="X27" s="3">
        <f t="shared" si="18"/>
        <v>0.99037368570616657</v>
      </c>
      <c r="Y27" s="3">
        <f t="shared" si="19"/>
        <v>0.78670186023127198</v>
      </c>
      <c r="Z27" s="3">
        <f t="shared" si="15"/>
        <v>0</v>
      </c>
      <c r="AA27" s="3">
        <f t="shared" si="16"/>
        <v>0</v>
      </c>
      <c r="AB27" s="3">
        <f t="shared" si="6"/>
        <v>1.0035273368606701</v>
      </c>
      <c r="AC27" s="41">
        <f t="shared" si="9"/>
        <v>567</v>
      </c>
      <c r="AD27" s="41" t="str">
        <f t="shared" si="10"/>
        <v>3</v>
      </c>
      <c r="AE27" s="3">
        <f>IF(C27&gt;0,((I27*((3*51)+C27))/(4*C27*51))*(1-(C27-I27)/(569-51)),0)</f>
        <v>1.2257155114297946E-3</v>
      </c>
      <c r="AF27" s="3">
        <f>IF(D27&gt;0,((J27*((3*51)+D27))/(4*D27*51))*(1-(D27-J27)/(569-51)),0)</f>
        <v>8.883363862583829E-3</v>
      </c>
      <c r="AG27" s="3">
        <f>IF(E27&gt;0,((K27*((3*51)+E27))/(4*E27*51))*(1-(E27-K27)/(569-51)),0)</f>
        <v>7.0745033980328109E-2</v>
      </c>
      <c r="AH27" s="3">
        <f>IF(F27&gt;0,((L27*((3*51)+F27))/(4*F27*51))*(1-(F27-L27)/(569-51)),0)</f>
        <v>0</v>
      </c>
      <c r="AI27" s="3">
        <f>IF(G27&gt;0,((M27*((3*51)+G27))/(4*G27*51))*(1-(G27-M27)/(569-51)),0)</f>
        <v>0</v>
      </c>
      <c r="AR27" s="17" t="s">
        <v>27</v>
      </c>
      <c r="AS27" s="24">
        <f>COUNTIF(W3, "&gt;1") + COUNTIF(W7, "&gt;1") + COUNTIF(W11, "&gt;1") + COUNTIF(W15, "&gt;1") + COUNTIF(W19, "&gt;1") + COUNTIF(W23, "&gt;1") + COUNTIF(W27, "&gt;1") + COUNTIF(W31, "&gt;1")</f>
        <v>5</v>
      </c>
      <c r="AT27" s="24">
        <f>COUNTIF(X3, "&gt;1") + COUNTIF(X7, "&gt;1") + COUNTIF(X11, "&gt;1") + COUNTIF(X15, "&gt;1") + COUNTIF(X19, "&gt;1") + COUNTIF(X23, "&gt;1") + COUNTIF(X27, "&gt;1") + COUNTIF(X31, "&gt;1")</f>
        <v>5</v>
      </c>
      <c r="AU27" s="7">
        <f>COUNTIF(Y3, "&gt;1") + COUNTIF(Y7, "&gt;1") + COUNTIF(Y11, "&gt;1") + COUNTIF(Y15, "&gt;1") + COUNTIF(Y19, "&gt;1") + COUNTIF(Y23, "&gt;1") + COUNTIF(Y27, "&gt;1") + COUNTIF(Y31, "&gt;1")</f>
        <v>5</v>
      </c>
      <c r="AV27" s="7">
        <f>COUNTIF(Z3, "&gt;1") + COUNTIF(Z7, "&gt;1") + COUNTIF(Z11, "&gt;1") + COUNTIF(Z15, "&gt;1") + COUNTIF(Z19, "&gt;1") + COUNTIF(Z23, "&gt;1") + COUNTIF(Z27, "&gt;1") + COUNTIF(Z31, "&gt;1")</f>
        <v>1</v>
      </c>
      <c r="AW27" s="18">
        <f>COUNTIF(AA3, "&gt;1") + COUNTIF(AA7, "&gt;1") + COUNTIF(AA11, "&gt;1") + COUNTIF(AA15, "&gt;1") + COUNTIF(AA19, "&gt;1") + COUNTIF(AA23, "&gt;1") + COUNTIF(AA27, "&gt;1") + COUNTIF(AA31, "&gt;1")</f>
        <v>0</v>
      </c>
      <c r="AX27" s="4"/>
      <c r="AY27" t="s">
        <v>26</v>
      </c>
      <c r="AZ27" s="5">
        <f>MAX(W3:AA6)</f>
        <v>4.3769230769230774</v>
      </c>
      <c r="BA27" s="5">
        <f>_xlfn.IFNA(VLOOKUP(AZ27, W3:AI6,8,0), _xlfn.IFNA(VLOOKUP(AZ27, X3:AI6,8,0), _xlfn.IFNA(VLOOKUP(AZ27, Y3:AI6,8,0), _xlfn.IFNA(VLOOKUP(AZ27, Z3:AI6,8,0), VLOOKUP(AZ27, AA3:AI6,8,0)))))</f>
        <v>0.11019435608251398</v>
      </c>
      <c r="BB27" t="s">
        <v>26</v>
      </c>
      <c r="BC27" s="5">
        <f>MAX(AE3:AI6)</f>
        <v>0.37809447496947496</v>
      </c>
      <c r="BE27" t="s">
        <v>26</v>
      </c>
      <c r="BF27" s="4">
        <f>MAX($W3:$AA3)</f>
        <v>1.0807217473884141</v>
      </c>
      <c r="BG27" s="5">
        <f>_xlfn.IFNA(VLOOKUP($BF27, $W3:$AI3,8,0), _xlfn.IFNA(VLOOKUP($BF27, $X3:$AI3,8,0), _xlfn.IFNA(VLOOKUP($BF27, $Y3:$AI3,8,0), _xlfn.IFNA(VLOOKUP($BF27, $Z3:$AI3,8,0), VLOOKUP($BF27, $AA3:$AI3,8,0)))))</f>
        <v>9.9681762765347098E-2</v>
      </c>
      <c r="BI27" t="s">
        <v>26</v>
      </c>
      <c r="BJ27" s="4">
        <f>MAX($W4:$AA4)</f>
        <v>2.1884615384615387</v>
      </c>
      <c r="BK27" s="5">
        <f>_xlfn.IFNA(VLOOKUP($BJ27, $W4:$AI4,8,0), _xlfn.IFNA(VLOOKUP($BJ27, $X4:$AI4,8,0), _xlfn.IFNA(VLOOKUP($BJ27, $Y4:$AI4,8,0), _xlfn.IFNA(VLOOKUP($BJ27, $Z4:$AI4,8,0), VLOOKUP($BJ27, $AA4:$AI4,8,0)))))</f>
        <v>0.1477658371040724</v>
      </c>
      <c r="BM27" t="s">
        <v>26</v>
      </c>
      <c r="BN27" s="4">
        <f>MAX($W5:$AA5)</f>
        <v>1.0224779319041615</v>
      </c>
      <c r="BO27" s="5">
        <f>_xlfn.IFNA(VLOOKUP($BN27, $W5:$AI5,8,0), _xlfn.IFNA(VLOOKUP($BN27, $X5:$AI5,8,0), _xlfn.IFNA(VLOOKUP($BN27, $Y5:$AI5,8,0), _xlfn.IFNA(VLOOKUP($BN27, $Z5:$AI5,8,0), VLOOKUP($BN27, $AA5:$AI5,8,0)))))</f>
        <v>6.6632433489827614E-4</v>
      </c>
      <c r="BQ27" t="s">
        <v>26</v>
      </c>
      <c r="BR27" s="4">
        <f>MAX($W6:$AA6)</f>
        <v>4.3769230769230774</v>
      </c>
      <c r="BS27" s="5">
        <f>_xlfn.IFNA(VLOOKUP($BR27, $W6:$AI6,8,0), _xlfn.IFNA(VLOOKUP($BR27, $X6:$AI6,8,0), _xlfn.IFNA(VLOOKUP($BR27, $Y6:$AI6,8,0), _xlfn.IFNA(VLOOKUP($BR27, $Z6:$AI6,8,0), VLOOKUP($BR27, $AA6:$AI6,8,0)))))</f>
        <v>0.11019435608251398</v>
      </c>
    </row>
    <row r="28" spans="1:71" x14ac:dyDescent="0.3">
      <c r="A28" s="31" t="s">
        <v>33</v>
      </c>
      <c r="B28" t="s">
        <v>28</v>
      </c>
      <c r="C28">
        <v>569</v>
      </c>
      <c r="D28">
        <v>552</v>
      </c>
      <c r="E28">
        <v>317</v>
      </c>
      <c r="F28">
        <v>37</v>
      </c>
      <c r="G28">
        <v>0</v>
      </c>
      <c r="I28">
        <v>51</v>
      </c>
      <c r="J28">
        <v>47</v>
      </c>
      <c r="K28">
        <v>24</v>
      </c>
      <c r="L28">
        <v>0</v>
      </c>
      <c r="M28">
        <v>0</v>
      </c>
      <c r="O28" s="2">
        <f t="shared" si="0"/>
        <v>8.9630931458699478E-2</v>
      </c>
      <c r="P28" s="2">
        <f t="shared" si="1"/>
        <v>8.5144927536231887E-2</v>
      </c>
      <c r="Q28" s="2">
        <f t="shared" si="2"/>
        <v>7.5709779179810727E-2</v>
      </c>
      <c r="R28" s="2">
        <f t="shared" si="3"/>
        <v>0</v>
      </c>
      <c r="S28" s="2">
        <f t="shared" si="4"/>
        <v>0</v>
      </c>
      <c r="T28" s="2"/>
      <c r="U28" s="2">
        <f>51/569</f>
        <v>8.9630931458699478E-2</v>
      </c>
      <c r="V28" s="2"/>
      <c r="W28" s="3">
        <f t="shared" si="17"/>
        <v>1</v>
      </c>
      <c r="X28" s="3">
        <f t="shared" si="18"/>
        <v>0.94995026996305765</v>
      </c>
      <c r="Y28" s="3">
        <f t="shared" si="19"/>
        <v>0.84468361477082943</v>
      </c>
      <c r="Z28" s="3">
        <f t="shared" si="15"/>
        <v>0</v>
      </c>
      <c r="AA28" s="3">
        <f t="shared" si="16"/>
        <v>0</v>
      </c>
      <c r="AB28" s="3">
        <f t="shared" si="6"/>
        <v>1</v>
      </c>
      <c r="AC28" s="41">
        <f t="shared" si="9"/>
        <v>569</v>
      </c>
      <c r="AD28" s="41" t="str">
        <f t="shared" si="10"/>
        <v>3</v>
      </c>
      <c r="AE28" s="3">
        <f>IF(C28&gt;0,((I28*((3*51)+C28))/(4*C28*51))*(1-(C28-I28)/(569-51)),0)</f>
        <v>0</v>
      </c>
      <c r="AF28" s="3">
        <f>IF(D28&gt;0,((J28*((3*51)+D28))/(4*D28*51))*(1-(D28-J28)/(569-51)),0)</f>
        <v>7.3846739048145545E-3</v>
      </c>
      <c r="AG28" s="3">
        <f>IF(E28&gt;0,((K28*((3*51)+E28))/(4*E28*51))*(1-(E28-K28)/(569-51)),0)</f>
        <v>7.5765663073141282E-2</v>
      </c>
      <c r="AH28" s="3">
        <f>IF(F28&gt;0,((L28*((3*51)+F28))/(4*F28*51))*(1-(F28-L28)/(569-51)),0)</f>
        <v>0</v>
      </c>
      <c r="AI28" s="3">
        <f>IF(G28&gt;0,((M28*((3*51)+G28))/(4*G28*51))*(1-(G28-M28)/(569-51)),0)</f>
        <v>0</v>
      </c>
      <c r="AR28" s="21" t="s">
        <v>28</v>
      </c>
      <c r="AS28" s="25">
        <f>COUNTIF(W4, "&gt;1") + COUNTIF(W8, "&gt;1") + COUNTIF(W12, "&gt;1") + COUNTIF(W16, "&gt;1") + COUNTIF(W20, "&gt;1") + COUNTIF(W24, "&gt;1") + COUNTIF(W28, "&gt;1") + COUNTIF(W32, "&gt;1")</f>
        <v>4</v>
      </c>
      <c r="AT28" s="25">
        <f>COUNTIF(X4, "&gt;1") + COUNTIF(X8, "&gt;1") + COUNTIF(X12, "&gt;1") + COUNTIF(X16, "&gt;1") + COUNTIF(X20, "&gt;1") + COUNTIF(X24, "&gt;1") + COUNTIF(X28, "&gt;1") + COUNTIF(X32, "&gt;1")</f>
        <v>4</v>
      </c>
      <c r="AU28" s="4">
        <f>COUNTIF(Y4, "&gt;1") + COUNTIF(Y8, "&gt;1") + COUNTIF(Y12, "&gt;1") + COUNTIF(Y16, "&gt;1") + COUNTIF(Y20, "&gt;1") + COUNTIF(Y24, "&gt;1") + COUNTIF(Y28, "&gt;1") + COUNTIF(Y32, "&gt;1")</f>
        <v>4</v>
      </c>
      <c r="AV28" s="4">
        <f>COUNTIF(Z4, "&gt;1") + COUNTIF(Z8, "&gt;1") + COUNTIF(Z12, "&gt;1") + COUNTIF(Z16, "&gt;1") + COUNTIF(Z20, "&gt;1") + COUNTIF(Z24, "&gt;1") + COUNTIF(Z28, "&gt;1") + COUNTIF(Z32, "&gt;1")</f>
        <v>1</v>
      </c>
      <c r="AW28" s="22">
        <f>COUNTIF(AA4, "&gt;1") + COUNTIF(AA8, "&gt;1") + COUNTIF(AA12, "&gt;1") + COUNTIF(AA16, "&gt;1") + COUNTIF(AA20, "&gt;1") + COUNTIF(AA24, "&gt;1") + COUNTIF(AA28, "&gt;1") + COUNTIF(AA32, "&gt;1")</f>
        <v>0</v>
      </c>
      <c r="AX28" s="4"/>
      <c r="AY28" t="s">
        <v>31</v>
      </c>
      <c r="AZ28" s="5">
        <f>MAX(W7:AA10)</f>
        <v>2.481104651162791</v>
      </c>
      <c r="BA28" s="5">
        <f>_xlfn.IFNA(VLOOKUP(AZ28, W7:AI10,8,0), _xlfn.IFNA(VLOOKUP(AZ28, X7:AI10,8,0), _xlfn.IFNA(VLOOKUP(AZ28, Y7:AI10,8,0), _xlfn.IFNA(VLOOKUP(AZ28, Z7:AI10,8,0), VLOOKUP(AZ28, AA7:AI10,8,0)))))</f>
        <v>0.15839843872661388</v>
      </c>
      <c r="BB28" t="s">
        <v>31</v>
      </c>
      <c r="BC28" s="5">
        <f>MAX(AE7:AI10)</f>
        <v>0.28696916076845302</v>
      </c>
      <c r="BE28" t="s">
        <v>31</v>
      </c>
      <c r="BF28" s="4">
        <f>MAX($W7:$AA7)</f>
        <v>1.2602436323366555</v>
      </c>
      <c r="BG28" s="5">
        <f>_xlfn.IFNA(VLOOKUP($BF28, $W7:$AI7,8,0), _xlfn.IFNA(VLOOKUP($BF28, $X7:$AI7,8,0), _xlfn.IFNA(VLOOKUP($BF28, $Y7:$AI7,8,0), _xlfn.IFNA(VLOOKUP($BF28, $Z7:$AI7,8,0), VLOOKUP($BF28, $AA7:$AI7,8,0)))))</f>
        <v>1.5456489271899135E-2</v>
      </c>
      <c r="BI28" t="s">
        <v>31</v>
      </c>
      <c r="BJ28" s="4">
        <f>MAX($W8:$AA8)</f>
        <v>2.481104651162791</v>
      </c>
      <c r="BK28" s="5">
        <f>_xlfn.IFNA(VLOOKUP($BJ28, $W8:$AI8,8,0), _xlfn.IFNA(VLOOKUP($BJ28, $X8:$AI8,8,0), _xlfn.IFNA(VLOOKUP($BJ28, $Y8:$AI8,8,0), _xlfn.IFNA(VLOOKUP($BJ28, $Z8:$AI8,8,0), VLOOKUP($BJ28, $AA8:$AI8,8,0)))))</f>
        <v>0.15839843872661388</v>
      </c>
      <c r="BM28" t="s">
        <v>31</v>
      </c>
      <c r="BN28" s="4">
        <f>MAX($W9:$AA9)</f>
        <v>1.355141496217428</v>
      </c>
      <c r="BO28" s="5">
        <f>_xlfn.IFNA(VLOOKUP($BN28, $W9:$AI9,8,0), _xlfn.IFNA(VLOOKUP($BN28, $X9:$AI9,8,0), _xlfn.IFNA(VLOOKUP($BN28, $Y9:$AI9,8,0), _xlfn.IFNA(VLOOKUP($BN28, $Z9:$AI9,8,0), VLOOKUP($BN28, $AA9:$AI9,8,0)))))</f>
        <v>5.6339069385886245E-2</v>
      </c>
      <c r="BQ28" t="s">
        <v>31</v>
      </c>
      <c r="BR28" s="4">
        <f>MAX($W10:$AA10)</f>
        <v>1.0178890876565296</v>
      </c>
      <c r="BS28" s="5">
        <f>_xlfn.IFNA(VLOOKUP($BR28, $W10:$AI10,8,0), _xlfn.IFNA(VLOOKUP($BR28, $X10:$AI10,8,0), _xlfn.IFNA(VLOOKUP($BR28, $Y10:$AI10,8,0), _xlfn.IFNA(VLOOKUP($BR28, $Z10:$AI10,8,0), VLOOKUP($BR28, $AA10:$AI10,8,0)))))</f>
        <v>4.1299581494752588E-2</v>
      </c>
    </row>
    <row r="29" spans="1:71" x14ac:dyDescent="0.3">
      <c r="A29" s="31" t="s">
        <v>33</v>
      </c>
      <c r="B29" t="s">
        <v>29</v>
      </c>
      <c r="C29">
        <v>567</v>
      </c>
      <c r="D29">
        <v>544</v>
      </c>
      <c r="E29">
        <v>217</v>
      </c>
      <c r="F29">
        <v>27</v>
      </c>
      <c r="G29">
        <v>3</v>
      </c>
      <c r="I29">
        <v>51</v>
      </c>
      <c r="J29">
        <v>47</v>
      </c>
      <c r="K29">
        <v>13</v>
      </c>
      <c r="L29">
        <v>0</v>
      </c>
      <c r="M29">
        <v>0</v>
      </c>
      <c r="O29" s="2">
        <f t="shared" si="0"/>
        <v>8.9947089947089942E-2</v>
      </c>
      <c r="P29" s="2">
        <f t="shared" si="1"/>
        <v>8.639705882352941E-2</v>
      </c>
      <c r="Q29" s="2">
        <f t="shared" si="2"/>
        <v>5.9907834101382486E-2</v>
      </c>
      <c r="R29" s="2">
        <f t="shared" si="3"/>
        <v>0</v>
      </c>
      <c r="S29" s="2">
        <f t="shared" si="4"/>
        <v>0</v>
      </c>
      <c r="T29" s="2"/>
      <c r="U29" s="2">
        <f>51/569</f>
        <v>8.9630931458699478E-2</v>
      </c>
      <c r="V29" s="2"/>
      <c r="W29" s="3">
        <f t="shared" si="17"/>
        <v>1.0035273368606701</v>
      </c>
      <c r="X29" s="3">
        <f t="shared" si="18"/>
        <v>0.96392012687427908</v>
      </c>
      <c r="Y29" s="3">
        <f t="shared" si="19"/>
        <v>0.66838348242522805</v>
      </c>
      <c r="Z29" s="3">
        <f t="shared" si="15"/>
        <v>0</v>
      </c>
      <c r="AA29" s="3">
        <f t="shared" si="16"/>
        <v>0</v>
      </c>
      <c r="AB29" s="3">
        <f t="shared" si="6"/>
        <v>1.0035273368606701</v>
      </c>
      <c r="AC29" s="41">
        <f t="shared" si="9"/>
        <v>567</v>
      </c>
      <c r="AD29" s="41" t="str">
        <f t="shared" si="10"/>
        <v>3</v>
      </c>
      <c r="AE29" s="3">
        <f>IF(C29&gt;0,((I29*((3*51)+C29))/(4*C29*51))*(1-(C29-I29)/(569-51)),0)</f>
        <v>1.2257155114297946E-3</v>
      </c>
      <c r="AF29" s="3">
        <f>IF(D29&gt;0,((J29*((3*51)+D29))/(4*D29*51))*(1-(D29-J29)/(569-51)),0)</f>
        <v>1.1967160174880771E-2</v>
      </c>
      <c r="AG29" s="3">
        <f>IF(E29&gt;0,((K29*((3*51)+E29))/(4*E29*51))*(1-(E29-K29)/(569-51)),0)</f>
        <v>6.5865055699699235E-2</v>
      </c>
      <c r="AH29" s="3">
        <f>IF(F29&gt;0,((L29*((3*51)+F29))/(4*F29*51))*(1-(F29-L29)/(569-51)),0)</f>
        <v>0</v>
      </c>
      <c r="AI29" s="3">
        <f>IF(G29&gt;0,((M29*((3*51)+G29))/(4*G29*51))*(1-(G29-M29)/(569-51)),0)</f>
        <v>0</v>
      </c>
      <c r="AR29" s="21" t="s">
        <v>29</v>
      </c>
      <c r="AS29" s="25">
        <f>COUNTIF(W5, "&gt;1") + COUNTIF(W9, "&gt;1") + COUNTIF(W13, "&gt;1") + COUNTIF(W17, "&gt;1") + COUNTIF(W21, "&gt;1") + COUNTIF(W25, "&gt;1") + COUNTIF(W29, "&gt;1") + COUNTIF(W33, "&gt;1")</f>
        <v>7</v>
      </c>
      <c r="AT29" s="25">
        <f>COUNTIF(X5, "&gt;1") + COUNTIF(X9, "&gt;1") + COUNTIF(X13, "&gt;1") + COUNTIF(X17, "&gt;1") + COUNTIF(X21, "&gt;1") + COUNTIF(X25, "&gt;1") + COUNTIF(X29, "&gt;1") + COUNTIF(X33, "&gt;1")</f>
        <v>5</v>
      </c>
      <c r="AU29" s="4">
        <f>COUNTIF(Y5, "&gt;1") + COUNTIF(Y9, "&gt;1") + COUNTIF(Y13, "&gt;1") + COUNTIF(Y17, "&gt;1") + COUNTIF(Y21, "&gt;1") + COUNTIF(Y25, "&gt;1") + COUNTIF(Y29, "&gt;1") + COUNTIF(Y33, "&gt;1")</f>
        <v>3</v>
      </c>
      <c r="AV29" s="4">
        <f>COUNTIF(Z5, "&gt;1") + COUNTIF(Z9, "&gt;1") + COUNTIF(Z13, "&gt;1") + COUNTIF(Z17, "&gt;1") + COUNTIF(Z21, "&gt;1") + COUNTIF(Z25, "&gt;1") + COUNTIF(Z29, "&gt;1") + COUNTIF(Z33, "&gt;1")</f>
        <v>2</v>
      </c>
      <c r="AW29" s="22">
        <f>COUNTIF(AA5, "&gt;1") + COUNTIF(AA9, "&gt;1") + COUNTIF(AA13, "&gt;1") + COUNTIF(AA17, "&gt;1") + COUNTIF(AA21, "&gt;1") + COUNTIF(AA25, "&gt;1") + COUNTIF(AA29, "&gt;1") + COUNTIF(AA33, "&gt;1")</f>
        <v>0</v>
      </c>
      <c r="AX29" s="4"/>
      <c r="AY29" t="s">
        <v>32</v>
      </c>
      <c r="AZ29" s="5">
        <f>MAX(W11:AA14)</f>
        <v>3.308139534883721</v>
      </c>
      <c r="BA29" s="5">
        <f>_xlfn.IFNA(VLOOKUP(AZ29, W11:AI14,8,0), _xlfn.IFNA(VLOOKUP(AZ29, X11:AI14,8,0), _xlfn.IFNA(VLOOKUP(AZ29, Y11:AI14,8,0), _xlfn.IFNA(VLOOKUP(AZ29, Z11:AI14,8,0), VLOOKUP(AZ29, AA11:AI14,8,0)))))</f>
        <v>0.16425796543938209</v>
      </c>
      <c r="BB29" t="s">
        <v>32</v>
      </c>
      <c r="BC29" s="5">
        <f>MAX(AE11:AI14)</f>
        <v>0.37712456064326638</v>
      </c>
      <c r="BE29" t="s">
        <v>32</v>
      </c>
      <c r="BF29" s="4">
        <f>MAX($W11:$AA11)</f>
        <v>1.5268336314847943</v>
      </c>
      <c r="BG29" s="5">
        <f>_xlfn.IFNA(VLOOKUP($BF29, $W11:$AI11,8,0), _xlfn.IFNA(VLOOKUP($BF29, $X11:$AI11,8,0), _xlfn.IFNA(VLOOKUP($BF29, $Y11:$AI11,8,0), _xlfn.IFNA(VLOOKUP($BF29, $Z11:$AI11,8,0), VLOOKUP($BF29, $AA11:$AI11,8,0)))))</f>
        <v>8.9959238029474045E-2</v>
      </c>
      <c r="BI29" t="s">
        <v>32</v>
      </c>
      <c r="BJ29" s="4">
        <f>MAX($W12:$AA12)</f>
        <v>3.308139534883721</v>
      </c>
      <c r="BK29" s="5">
        <f>_xlfn.IFNA(VLOOKUP($BJ29, $W12:$AI12,8,0), _xlfn.IFNA(VLOOKUP($BJ29, $X12:$AI12,8,0), _xlfn.IFNA(VLOOKUP($BJ29, $Y12:$AI12,8,0), _xlfn.IFNA(VLOOKUP($BJ29, $Z12:$AI12,8,0), VLOOKUP($BJ29, $AA12:$AI12,8,0)))))</f>
        <v>0.16425796543938209</v>
      </c>
      <c r="BM29" t="s">
        <v>32</v>
      </c>
      <c r="BN29" s="4">
        <f>MAX($W13:$AA13)</f>
        <v>1.1107621795959939</v>
      </c>
      <c r="BO29" s="5">
        <f>_xlfn.IFNA(VLOOKUP($BN29, $W13:$AI13,8,0), _xlfn.IFNA(VLOOKUP($BN29, $X13:$AI13,8,0), _xlfn.IFNA(VLOOKUP($BN29, $Y13:$AI13,8,0), _xlfn.IFNA(VLOOKUP($BN29, $Z13:$AI13,8,0), VLOOKUP($BN29, $AA13:$AI13,8,0)))))</f>
        <v>1.9193536306781993E-2</v>
      </c>
      <c r="BQ29" t="s">
        <v>32</v>
      </c>
      <c r="BR29" s="4">
        <f>MAX($W14:$AA14)</f>
        <v>0.99244186046511629</v>
      </c>
      <c r="BS29" s="5" t="str">
        <f>_xlfn.IFNA(VLOOKUP($BR29, $W14:$AI14,8,0), _xlfn.IFNA(VLOOKUP($BR29, $X14:$AI14,8,0), _xlfn.IFNA(VLOOKUP($BR29, $Y14:$AI14,8,0), _xlfn.IFNA(VLOOKUP($BR29, $Z14:$AI14,8,0), VLOOKUP($BR29, $AA14:$AI14,8,0)))))</f>
        <v>3</v>
      </c>
    </row>
    <row r="30" spans="1:71" s="1" customFormat="1" x14ac:dyDescent="0.3">
      <c r="A30" s="31" t="s">
        <v>33</v>
      </c>
      <c r="B30" s="1" t="s">
        <v>30</v>
      </c>
      <c r="C30" s="1">
        <v>47</v>
      </c>
      <c r="D30" s="1">
        <v>14</v>
      </c>
      <c r="E30" s="1">
        <v>1</v>
      </c>
      <c r="F30" s="1">
        <v>0</v>
      </c>
      <c r="G30" s="1">
        <v>0</v>
      </c>
      <c r="I30" s="1">
        <v>4</v>
      </c>
      <c r="J30" s="1">
        <v>1</v>
      </c>
      <c r="K30" s="1">
        <v>0</v>
      </c>
      <c r="L30" s="1">
        <v>0</v>
      </c>
      <c r="M30" s="1">
        <v>0</v>
      </c>
      <c r="O30" s="9">
        <f t="shared" si="0"/>
        <v>8.5106382978723402E-2</v>
      </c>
      <c r="P30" s="9">
        <f t="shared" si="1"/>
        <v>7.1428571428571425E-2</v>
      </c>
      <c r="Q30" s="9">
        <f t="shared" si="2"/>
        <v>0</v>
      </c>
      <c r="R30" s="9">
        <f t="shared" si="3"/>
        <v>0</v>
      </c>
      <c r="S30" s="9">
        <f t="shared" si="4"/>
        <v>0</v>
      </c>
      <c r="T30" s="9"/>
      <c r="U30" s="9">
        <f>51/569</f>
        <v>8.9630931458699478E-2</v>
      </c>
      <c r="V30" s="9"/>
      <c r="W30" s="10">
        <f t="shared" si="17"/>
        <v>0.94952023362536497</v>
      </c>
      <c r="X30" s="10">
        <f t="shared" si="18"/>
        <v>0.79691876750700275</v>
      </c>
      <c r="Y30" s="10">
        <f t="shared" si="19"/>
        <v>0</v>
      </c>
      <c r="Z30" s="10">
        <f t="shared" si="15"/>
        <v>0</v>
      </c>
      <c r="AA30" s="10">
        <f t="shared" si="16"/>
        <v>0</v>
      </c>
      <c r="AB30" s="10">
        <f t="shared" si="6"/>
        <v>0.94952023362536497</v>
      </c>
      <c r="AC30" s="42">
        <f t="shared" si="9"/>
        <v>47</v>
      </c>
      <c r="AD30" s="42" t="str">
        <f t="shared" si="10"/>
        <v>3</v>
      </c>
      <c r="AE30" s="10">
        <f>IF(C30&gt;0,((I30*((3*51)+C30))/(4*C30*51))*(1-(C30-I30)/(569-51)),0)</f>
        <v>7.6511340591440713E-2</v>
      </c>
      <c r="AF30" s="10">
        <f>IF(D30&gt;0,((J30*((3*51)+D30))/(4*D30*51))*(1-(D30-J30)/(569-51)),0)</f>
        <v>5.7005910472297028E-2</v>
      </c>
      <c r="AG30" s="10">
        <f>IF(E30&gt;0,((K30*((3*51)+E30))/(4*E30*51))*(1-(E30-K30)/(569-51)),0)</f>
        <v>0</v>
      </c>
      <c r="AH30" s="10">
        <f>IF(F30&gt;0,((L30*((3*51)+F30))/(4*F30*51))*(1-(F30-L30)/(569-51)),0)</f>
        <v>0</v>
      </c>
      <c r="AI30" s="10">
        <f>IF(G30&gt;0,((M30*((3*51)+G30))/(4*G30*51))*(1-(G30-M30)/(569-51)),0)</f>
        <v>0</v>
      </c>
      <c r="AR30" s="19" t="s">
        <v>30</v>
      </c>
      <c r="AS30" s="16">
        <f>COUNTIF(W6, "&gt;1") + COUNTIF(W10, "&gt;1") + COUNTIF(W14, "&gt;1") + COUNTIF(W18, "&gt;1") + COUNTIF(W22, "&gt;1") + COUNTIF(W26, "&gt;1") + COUNTIF(W30, "&gt;1") + COUNTIF(W34, "&gt;1")</f>
        <v>4</v>
      </c>
      <c r="AT30" s="16">
        <f>COUNTIF(X6, "&gt;1") + COUNTIF(X10, "&gt;1") + COUNTIF(X14, "&gt;1") + COUNTIF(X18, "&gt;1") + COUNTIF(X22, "&gt;1") + COUNTIF(X26, "&gt;1") + COUNTIF(X30, "&gt;1") + COUNTIF(X34, "&gt;1")</f>
        <v>4</v>
      </c>
      <c r="AU30" s="13">
        <f>COUNTIF(Y6, "&gt;1") + COUNTIF(Y10, "&gt;1") + COUNTIF(Y14, "&gt;1") + COUNTIF(Y18, "&gt;1") + COUNTIF(Y22, "&gt;1") + COUNTIF(Y26, "&gt;1") + COUNTIF(Y30, "&gt;1") + COUNTIF(Y34, "&gt;1")</f>
        <v>2</v>
      </c>
      <c r="AV30" s="13">
        <f>COUNTIF(Z6, "&gt;1") + COUNTIF(Z10, "&gt;1") + COUNTIF(Z14, "&gt;1") + COUNTIF(Z18, "&gt;1") + COUNTIF(Z22, "&gt;1") + COUNTIF(Z26, "&gt;1") + COUNTIF(Z30, "&gt;1") + COUNTIF(Z34, "&gt;1")</f>
        <v>0</v>
      </c>
      <c r="AW30" s="20">
        <f>COUNTIF(AA6, "&gt;1") + COUNTIF(AA10, "&gt;1") + COUNTIF(AA14, "&gt;1") + COUNTIF(AA18, "&gt;1") + COUNTIF(AA22, "&gt;1") + COUNTIF(AA26, "&gt;1") + COUNTIF(AA30, "&gt;1") + COUNTIF(AA34, "&gt;1")</f>
        <v>0</v>
      </c>
      <c r="AX30" s="13"/>
      <c r="AY30" s="1" t="s">
        <v>33</v>
      </c>
      <c r="AZ30" s="14">
        <f>MAX(W15:AA18)</f>
        <v>2.8029556650246303</v>
      </c>
      <c r="BA30" s="14">
        <f>_xlfn.IFNA(VLOOKUP(AZ30, W15:AI18,8,0), _xlfn.IFNA(VLOOKUP(AZ30, X15:AI18,8,0), _xlfn.IFNA(VLOOKUP(AZ30, Y15:AI18,8,0), _xlfn.IFNA(VLOOKUP(AZ30, Z15:AI18,8,0), VLOOKUP(AZ30, AA15:AI18,8,0)))))</f>
        <v>6.9502683088594003E-2</v>
      </c>
      <c r="BB30" s="1" t="s">
        <v>33</v>
      </c>
      <c r="BC30" s="14">
        <f>MAX(AE15:AI18)</f>
        <v>0.12162014230979748</v>
      </c>
      <c r="BE30" s="1" t="s">
        <v>33</v>
      </c>
      <c r="BF30" s="4">
        <f>MAX($W15:$AA15)</f>
        <v>1.2012667135819846</v>
      </c>
      <c r="BG30" s="14">
        <f>_xlfn.IFNA(VLOOKUP($BF30, $W15:$AI15,8,0), _xlfn.IFNA(VLOOKUP($BF30, $X15:$AI15,8,0), _xlfn.IFNA(VLOOKUP($BF30, $Y15:$AI15,8,0), _xlfn.IFNA(VLOOKUP($BF30, $Z15:$AI15,8,0), VLOOKUP($BF30, $AA15:$AI15,8,0)))))</f>
        <v>4.8151439744045503E-2</v>
      </c>
      <c r="BI30" s="1" t="s">
        <v>33</v>
      </c>
      <c r="BJ30" s="4">
        <f>MAX($W16:$AA16)</f>
        <v>0.97754325684133025</v>
      </c>
      <c r="BK30" s="5" t="str">
        <f>_xlfn.IFNA(VLOOKUP($BJ30, $W16:$AI16,8,0), _xlfn.IFNA(VLOOKUP($BJ30, $X16:$AI16,8,0), _xlfn.IFNA(VLOOKUP($BJ30, $Y16:$AI16,8,0), _xlfn.IFNA(VLOOKUP($BJ30, $Z16:$AI16,8,0), VLOOKUP($BJ30, $AA16:$AI16,8,0)))))</f>
        <v>3</v>
      </c>
      <c r="BM30" s="1" t="s">
        <v>33</v>
      </c>
      <c r="BN30" s="13">
        <f>MAX($W17:$AA17)</f>
        <v>2.8029556650246303</v>
      </c>
      <c r="BO30" s="14">
        <f>_xlfn.IFNA(VLOOKUP($BN30, $W17:$AI17,8,0), _xlfn.IFNA(VLOOKUP($BN30, $X17:$AI17,8,0), _xlfn.IFNA(VLOOKUP($BN30, $Y17:$AI17,8,0), _xlfn.IFNA(VLOOKUP($BN30, $Z17:$AI17,8,0), VLOOKUP($BN30, $AA17:$AI17,8,0)))))</f>
        <v>6.9502683088594003E-2</v>
      </c>
      <c r="BQ30" s="1" t="s">
        <v>33</v>
      </c>
      <c r="BR30" s="13">
        <f>MAX($W18:$AA18)</f>
        <v>1.1419449005655902</v>
      </c>
      <c r="BS30" s="14">
        <f>_xlfn.IFNA(VLOOKUP($BR30, $W18:$AI18,8,0), _xlfn.IFNA(VLOOKUP($BR30, $X18:$AI18,8,0), _xlfn.IFNA(VLOOKUP($BR30, $Y18:$AI18,8,0), _xlfn.IFNA(VLOOKUP($BR30, $Z18:$AI18,8,0), VLOOKUP($BR30, $AA18:$AI18,8,0)))))</f>
        <v>6.4232994215040985E-3</v>
      </c>
    </row>
    <row r="31" spans="1:71" x14ac:dyDescent="0.3">
      <c r="A31" s="31" t="s">
        <v>34</v>
      </c>
      <c r="B31" t="s">
        <v>27</v>
      </c>
      <c r="C31">
        <v>569</v>
      </c>
      <c r="D31">
        <v>536</v>
      </c>
      <c r="E31">
        <v>183</v>
      </c>
      <c r="F31">
        <v>13</v>
      </c>
      <c r="G31">
        <v>0</v>
      </c>
      <c r="I31">
        <v>69</v>
      </c>
      <c r="J31">
        <v>66</v>
      </c>
      <c r="K31">
        <v>23</v>
      </c>
      <c r="L31">
        <v>1</v>
      </c>
      <c r="M31">
        <v>0</v>
      </c>
      <c r="O31" s="2">
        <f t="shared" si="0"/>
        <v>0.12126537785588752</v>
      </c>
      <c r="P31" s="2">
        <f t="shared" si="1"/>
        <v>0.12313432835820895</v>
      </c>
      <c r="Q31" s="2">
        <f t="shared" si="2"/>
        <v>0.12568306010928962</v>
      </c>
      <c r="R31" s="2">
        <f t="shared" si="3"/>
        <v>7.6923076923076927E-2</v>
      </c>
      <c r="S31" s="2">
        <f t="shared" si="4"/>
        <v>0</v>
      </c>
      <c r="T31" s="2"/>
      <c r="U31" s="2">
        <f>69/569</f>
        <v>0.12126537785588752</v>
      </c>
      <c r="V31" s="2"/>
      <c r="W31" s="3">
        <f t="shared" si="17"/>
        <v>1</v>
      </c>
      <c r="X31" s="3">
        <f t="shared" si="18"/>
        <v>1.0154120700843607</v>
      </c>
      <c r="Y31" s="3">
        <f t="shared" si="19"/>
        <v>1.0364298724954464</v>
      </c>
      <c r="Z31" s="3">
        <f t="shared" si="15"/>
        <v>0.63433667781493874</v>
      </c>
      <c r="AA31" s="3">
        <f t="shared" si="16"/>
        <v>0</v>
      </c>
      <c r="AB31" s="3">
        <f t="shared" si="6"/>
        <v>1.0364298724954464</v>
      </c>
      <c r="AC31" s="41">
        <f t="shared" si="9"/>
        <v>183</v>
      </c>
      <c r="AD31" s="41" t="str">
        <f t="shared" si="10"/>
        <v>5</v>
      </c>
      <c r="AE31" s="3">
        <f>IF(C31&gt;0,((I31*((3*69)+C31))/(4*C31*69))*(1-(C31-I31)/(569-69)),0)</f>
        <v>0</v>
      </c>
      <c r="AF31" s="3">
        <f>IF(D31&gt;0,((J31*((3*69)+D31))/(4*D31*69))*(1-(D31-J31)/(569-69)),0)</f>
        <v>1.988887086307594E-2</v>
      </c>
      <c r="AG31" s="3">
        <f>IF(E31&gt;0,((K31*((3*69)+E31))/(4*E31*69))*(1-(E31-K31)/(569-69)),0)</f>
        <v>0.12076502732240436</v>
      </c>
      <c r="AH31" s="3">
        <f>IF(F31&gt;0,((L31*((3*69)+F31))/(4*F31*69))*(1-(F31-L31)/(569-69)),0)</f>
        <v>5.9843924191750275E-2</v>
      </c>
      <c r="AI31" s="3">
        <f>IF(G31&gt;0,((M31*((3*69)+G31))/(4*G31*69))*(1-(G31-M31)/(569-69)),0)</f>
        <v>0</v>
      </c>
      <c r="AY31" t="s">
        <v>34</v>
      </c>
      <c r="AZ31" s="5">
        <f>MAX(W19:AA22)</f>
        <v>1.8989684466019419</v>
      </c>
      <c r="BA31" s="5">
        <f>_xlfn.IFNA(VLOOKUP(AZ31, W19:AI22,8,0), _xlfn.IFNA(VLOOKUP(AZ31, X19:AI22,8,0), _xlfn.IFNA(VLOOKUP(AZ31, Y19:AI22,8,0), _xlfn.IFNA(VLOOKUP(AZ31, Z19:AI22,8,0), VLOOKUP(AZ31, AA19:AI22,8,0)))))</f>
        <v>4.0938615878592412E-2</v>
      </c>
      <c r="BB31" t="s">
        <v>34</v>
      </c>
      <c r="BC31" s="5">
        <f>MAX(AE19:AI22)</f>
        <v>0.13758918320948815</v>
      </c>
      <c r="BE31" t="s">
        <v>34</v>
      </c>
      <c r="BF31" s="4">
        <f>MAX($W19:$AA19)</f>
        <v>0.97216710758377423</v>
      </c>
      <c r="BG31" s="5" t="str">
        <f>_xlfn.IFNA(VLOOKUP($BF31, $W19:$AI19,8,0), _xlfn.IFNA(VLOOKUP($BF31, $X19:$AI19,8,0), _xlfn.IFNA(VLOOKUP($BF31, $Y19:$AI19,8,0), _xlfn.IFNA(VLOOKUP($BF31, $Z19:$AI19,8,0), VLOOKUP($BF31, $AA19:$AI19,8,0)))))</f>
        <v>3</v>
      </c>
      <c r="BI31" t="s">
        <v>34</v>
      </c>
      <c r="BJ31" s="4">
        <f>MAX($W20:$AA20)</f>
        <v>1.8989684466019419</v>
      </c>
      <c r="BK31" s="5">
        <f>_xlfn.IFNA(VLOOKUP($BJ31, $W20:$AI20,8,0), _xlfn.IFNA(VLOOKUP($BJ31, $X20:$AI20,8,0), _xlfn.IFNA(VLOOKUP($BJ31, $Y20:$AI20,8,0), _xlfn.IFNA(VLOOKUP($BJ31, $Z20:$AI20,8,0), VLOOKUP($BJ31, $AA20:$AI20,8,0)))))</f>
        <v>4.0938615878592412E-2</v>
      </c>
      <c r="BM31" t="s">
        <v>34</v>
      </c>
      <c r="BN31" s="4">
        <f>MAX($W21:$AA21)</f>
        <v>1.0035273368606703</v>
      </c>
      <c r="BO31" s="5" t="str">
        <f>_xlfn.IFNA(VLOOKUP($BN31, $W21:$AI21,8,0), _xlfn.IFNA(VLOOKUP($BN31, $X21:$AI21,8,0), _xlfn.IFNA(VLOOKUP($BN31, $Y21:$AI21,8,0), _xlfn.IFNA(VLOOKUP($BN31, $Z21:$AI21,8,0), VLOOKUP($BN31, $AA21:$AI21,8,0)))))</f>
        <v>3</v>
      </c>
      <c r="BQ31" t="s">
        <v>34</v>
      </c>
      <c r="BR31" s="4">
        <f>MAX($W22:$AA22)</f>
        <v>1.7008152173913045</v>
      </c>
      <c r="BS31" s="5" t="str">
        <f>_xlfn.IFNA(VLOOKUP($BR31, $W22:$AI22,8,0), _xlfn.IFNA(VLOOKUP($BR31, $X22:$AI22,8,0), _xlfn.IFNA(VLOOKUP($BR31, $Y22:$AI22,8,0), _xlfn.IFNA(VLOOKUP($BR31, $Z22:$AI22,8,0), VLOOKUP($BR31, $AA22:$AI22,8,0)))))</f>
        <v>3</v>
      </c>
    </row>
    <row r="32" spans="1:71" x14ac:dyDescent="0.3">
      <c r="A32" s="31" t="s">
        <v>34</v>
      </c>
      <c r="B32" t="s">
        <v>28</v>
      </c>
      <c r="C32">
        <v>551</v>
      </c>
      <c r="D32">
        <v>168</v>
      </c>
      <c r="E32">
        <v>6</v>
      </c>
      <c r="F32">
        <v>0</v>
      </c>
      <c r="G32">
        <v>0</v>
      </c>
      <c r="I32">
        <v>63</v>
      </c>
      <c r="J32">
        <v>14</v>
      </c>
      <c r="K32">
        <v>0</v>
      </c>
      <c r="L32">
        <v>0</v>
      </c>
      <c r="M32">
        <v>0</v>
      </c>
      <c r="O32" s="2">
        <f t="shared" si="0"/>
        <v>0.11433756805807622</v>
      </c>
      <c r="P32" s="2">
        <f t="shared" si="1"/>
        <v>8.3333333333333329E-2</v>
      </c>
      <c r="Q32" s="2">
        <f t="shared" si="2"/>
        <v>0</v>
      </c>
      <c r="R32" s="2">
        <f t="shared" si="3"/>
        <v>0</v>
      </c>
      <c r="S32" s="2">
        <f t="shared" si="4"/>
        <v>0</v>
      </c>
      <c r="T32" s="2"/>
      <c r="U32" s="2">
        <f>69/569</f>
        <v>0.12126537785588752</v>
      </c>
      <c r="V32" s="2"/>
      <c r="W32" s="3">
        <f t="shared" si="17"/>
        <v>0.94287066992819379</v>
      </c>
      <c r="X32" s="3">
        <f t="shared" si="18"/>
        <v>0.68719806763285018</v>
      </c>
      <c r="Y32" s="3">
        <f t="shared" si="19"/>
        <v>0</v>
      </c>
      <c r="Z32" s="3">
        <f t="shared" si="15"/>
        <v>0</v>
      </c>
      <c r="AA32" s="3">
        <f t="shared" si="16"/>
        <v>0</v>
      </c>
      <c r="AB32" s="3">
        <f t="shared" si="6"/>
        <v>0.94287066992819379</v>
      </c>
      <c r="AC32" s="41">
        <f t="shared" si="9"/>
        <v>551</v>
      </c>
      <c r="AD32" s="41" t="str">
        <f t="shared" si="10"/>
        <v>3</v>
      </c>
      <c r="AE32" s="3">
        <f>IF(C32&gt;0,((I32*((3*69)+C32))/(4*C32*69))*(1-(C32-I32)/(569-69)),0)</f>
        <v>7.536337094610596E-3</v>
      </c>
      <c r="AF32" s="3">
        <f>IF(D32&gt;0,((J32*((3*69)+D32))/(4*D32*69))*(1-(D32-J32)/(569-69)),0)</f>
        <v>7.835144927536232E-2</v>
      </c>
      <c r="AG32" s="3">
        <f>IF(E32&gt;0,((K32*((3*69)+E32))/(4*E32*69))*(1-(E32-K32)/(569-69)),0)</f>
        <v>0</v>
      </c>
      <c r="AH32" s="3">
        <f>IF(F32&gt;0,((L32*((3*69)+F32))/(4*F32*69))*(1-(F32-L32)/(569-69)),0)</f>
        <v>0</v>
      </c>
      <c r="AI32" s="3">
        <f>IF(G32&gt;0,((M32*((3*69)+G32))/(4*G32*69))*(1-(G32-M32)/(569-69)),0)</f>
        <v>0</v>
      </c>
      <c r="AR32" t="s">
        <v>39</v>
      </c>
      <c r="AY32" t="s">
        <v>35</v>
      </c>
      <c r="AZ32" s="5">
        <f>MAX(W23:AA26)</f>
        <v>1.2083182265499561</v>
      </c>
      <c r="BA32" s="5">
        <f>_xlfn.IFNA(VLOOKUP(AZ32, W23:AI26,8,0), _xlfn.IFNA(VLOOKUP(AZ32, X23:AI26,8,0), _xlfn.IFNA(VLOOKUP(AZ32, Y23:AI26,8,0), _xlfn.IFNA(VLOOKUP(AZ32, Z23:AI26,8,0), VLOOKUP(AZ32, AA23:AI26,8,0)))))</f>
        <v>1.750829649733301E-3</v>
      </c>
      <c r="BB32" t="s">
        <v>35</v>
      </c>
      <c r="BC32" s="5">
        <f>MAX(AE23:AI26)</f>
        <v>8.3323375546383763E-2</v>
      </c>
      <c r="BE32" t="s">
        <v>35</v>
      </c>
      <c r="BF32" s="4">
        <f>MAX($W23:$AA23)</f>
        <v>1.1135029354207437</v>
      </c>
      <c r="BG32" s="5" t="str">
        <f>_xlfn.IFNA(VLOOKUP($BF32, $W23:$AI23,8,0), _xlfn.IFNA(VLOOKUP($BF32, $X23:$AI23,8,0), _xlfn.IFNA(VLOOKUP($BF32, $Y23:$AI23,8,0), _xlfn.IFNA(VLOOKUP($BF32, $Z23:$AI23,8,0), VLOOKUP($BF32, $AA23:$AI23,8,0)))))</f>
        <v>3</v>
      </c>
      <c r="BI32" t="s">
        <v>35</v>
      </c>
      <c r="BJ32" s="4">
        <f>MAX($W24:$AA24)</f>
        <v>1.0736355488466438</v>
      </c>
      <c r="BK32" s="5">
        <f>_xlfn.IFNA(VLOOKUP($BJ32, $W24:$AI24,8,0), _xlfn.IFNA(VLOOKUP($BJ32, $X24:$AI24,8,0), _xlfn.IFNA(VLOOKUP($BJ32, $Y24:$AI24,8,0), _xlfn.IFNA(VLOOKUP($BJ32, $Z24:$AI24,8,0), VLOOKUP($BJ32, $AA24:$AI24,8,0)))))</f>
        <v>0</v>
      </c>
      <c r="BM32" t="s">
        <v>35</v>
      </c>
      <c r="BN32" s="4">
        <f>MAX($W25:$AA25)</f>
        <v>1.0297710614424034</v>
      </c>
      <c r="BO32" s="5">
        <f>_xlfn.IFNA(VLOOKUP($BN32, $W25:$AI25,8,0), _xlfn.IFNA(VLOOKUP($BN32, $X25:$AI25,8,0), _xlfn.IFNA(VLOOKUP($BN32, $Y25:$AI25,8,0), _xlfn.IFNA(VLOOKUP($BN32, $Z25:$AI25,8,0), VLOOKUP($BN32, $AA25:$AI25,8,0)))))</f>
        <v>1.1668376687388193E-3</v>
      </c>
      <c r="BQ32" t="s">
        <v>35</v>
      </c>
      <c r="BR32" s="4">
        <f>MAX($W26:$AA26)</f>
        <v>1.2083182265499561</v>
      </c>
      <c r="BS32" s="5">
        <f>_xlfn.IFNA(VLOOKUP($BR32, $W26:$AI26,8,0), _xlfn.IFNA(VLOOKUP($BR32, $X26:$AI26,8,0), _xlfn.IFNA(VLOOKUP($BR32, $Y26:$AI26,8,0), _xlfn.IFNA(VLOOKUP($BR32, $Z26:$AI26,8,0), VLOOKUP($BR32, $AA26:$AI26,8,0)))))</f>
        <v>1.750829649733301E-3</v>
      </c>
    </row>
    <row r="33" spans="1:71" x14ac:dyDescent="0.3">
      <c r="A33" s="31" t="s">
        <v>34</v>
      </c>
      <c r="B33" t="s">
        <v>29</v>
      </c>
      <c r="C33">
        <v>568</v>
      </c>
      <c r="D33">
        <v>510</v>
      </c>
      <c r="E33">
        <v>167</v>
      </c>
      <c r="F33">
        <v>6</v>
      </c>
      <c r="G33">
        <v>0</v>
      </c>
      <c r="I33">
        <v>69</v>
      </c>
      <c r="J33">
        <v>64</v>
      </c>
      <c r="K33">
        <v>23</v>
      </c>
      <c r="L33">
        <v>2</v>
      </c>
      <c r="M33">
        <v>0</v>
      </c>
      <c r="O33" s="2">
        <f t="shared" si="0"/>
        <v>0.12147887323943662</v>
      </c>
      <c r="P33" s="2">
        <f t="shared" si="1"/>
        <v>0.12549019607843137</v>
      </c>
      <c r="Q33" s="2">
        <f t="shared" si="2"/>
        <v>0.1377245508982036</v>
      </c>
      <c r="R33" s="2">
        <f t="shared" si="3"/>
        <v>0.33333333333333331</v>
      </c>
      <c r="S33" s="2">
        <f t="shared" si="4"/>
        <v>0</v>
      </c>
      <c r="T33" s="2"/>
      <c r="U33" s="2">
        <f>69/569</f>
        <v>0.12126537785588752</v>
      </c>
      <c r="V33" s="2"/>
      <c r="W33" s="3">
        <f t="shared" si="17"/>
        <v>1.0017605633802817</v>
      </c>
      <c r="X33" s="3">
        <f t="shared" si="18"/>
        <v>1.0348394430235863</v>
      </c>
      <c r="Y33" s="3">
        <f t="shared" si="19"/>
        <v>1.1357285429141717</v>
      </c>
      <c r="Z33" s="3">
        <f t="shared" si="15"/>
        <v>2.7487922705314007</v>
      </c>
      <c r="AA33" s="3">
        <f t="shared" si="16"/>
        <v>0</v>
      </c>
      <c r="AB33" s="3">
        <f t="shared" si="6"/>
        <v>2.7487922705314007</v>
      </c>
      <c r="AC33" s="41">
        <f t="shared" si="9"/>
        <v>6</v>
      </c>
      <c r="AD33" s="41" t="str">
        <f t="shared" si="10"/>
        <v>6</v>
      </c>
      <c r="AE33" s="3">
        <f>IF(C33&gt;0,((I33*((3*69)+C33))/(4*C33*69))*(1-(C33-I33)/(569-69)),0)</f>
        <v>6.8221830985915554E-4</v>
      </c>
      <c r="AF33" s="3">
        <f>IF(D33&gt;0,((J33*((3*69)+D33))/(4*D33*69))*(1-(D33-J33)/(569-69)),0)</f>
        <v>3.52081841432225E-2</v>
      </c>
      <c r="AG33" s="3">
        <f>IF(E33&gt;0,((K33*((3*69)+E33))/(4*E33*69))*(1-(E33-K33)/(569-69)),0)</f>
        <v>0.13287824351297403</v>
      </c>
      <c r="AH33" s="3">
        <f>IF(F33&gt;0,((L33*((3*69)+F33))/(4*F33*69))*(1-(F33-L33)/(569-69)),0)</f>
        <v>0.25518840579710145</v>
      </c>
      <c r="AI33" s="3">
        <f>IF(G33&gt;0,((M33*((3*69)+G33))/(4*G33*69))*(1-(G33-M33)/(569-69)),0)</f>
        <v>0</v>
      </c>
      <c r="AR33" s="17" t="s">
        <v>27</v>
      </c>
      <c r="AS33" s="7">
        <f>COUNTIF(W3, "&gt;2") + COUNTIF(W7, "&gt;2") + COUNTIF(W11, "&gt;2") + COUNTIF(W15, "&gt;2") + COUNTIF(W19, "&gt;2") + COUNTIF(W23, "&gt;2") + COUNTIF(W27, "&gt;2") + COUNTIF(W31, "&gt;2")</f>
        <v>0</v>
      </c>
      <c r="AT33" s="7">
        <f>COUNTIF(X3, "&gt;2") + COUNTIF(X7, "&gt;2") + COUNTIF(X11, "&gt;2") + COUNTIF(X15, "&gt;2") + COUNTIF(X19, "&gt;2") + COUNTIF(X23, "&gt;2") + COUNTIF(X27, "&gt;2") + COUNTIF(X31, "&gt;2")</f>
        <v>0</v>
      </c>
      <c r="AU33" s="7">
        <f>COUNTIF(Y3, "&gt;2") + COUNTIF(Y7, "&gt;2") + COUNTIF(Y11, "&gt;2") + COUNTIF(Y15, "&gt;2") + COUNTIF(Y19, "&gt;2") + COUNTIF(Y23, "&gt;2") + COUNTIF(Y27, "&gt;2") + COUNTIF(Y31, "&gt;2")</f>
        <v>0</v>
      </c>
      <c r="AV33" s="7">
        <f>COUNTIF(Z3, "&gt;2") + COUNTIF(Z7, "&gt;2") + COUNTIF(Z11, "&gt;2") + COUNTIF(Z15, "&gt;2") + COUNTIF(Z19, "&gt;2") + COUNTIF(Z23, "&gt;2") + COUNTIF(Z27, "&gt;2") + COUNTIF(Z31, "&gt;2")</f>
        <v>0</v>
      </c>
      <c r="AW33" s="18">
        <f>COUNTIF(AA3, "&gt;2") + COUNTIF(AA7, "&gt;2") + COUNTIF(AA11, "&gt;2") + COUNTIF(AA15, "&gt;2") + COUNTIF(AA19, "&gt;2") + COUNTIF(AA23, "&gt;2") + COUNTIF(AA27, "&gt;2") + COUNTIF(AA31, "&gt;2")</f>
        <v>0</v>
      </c>
      <c r="AX33" s="4"/>
      <c r="AY33" t="s">
        <v>37</v>
      </c>
      <c r="AZ33" s="5">
        <f>MAX(W27:AA30)</f>
        <v>1.0035273368606701</v>
      </c>
      <c r="BA33" s="5" t="str">
        <f>_xlfn.IFNA(VLOOKUP(AZ33, W27:AI30,8,0), _xlfn.IFNA(VLOOKUP(AZ33, X27:AI30,8,0), _xlfn.IFNA(VLOOKUP(AZ33, Y27:AI30,8,0), _xlfn.IFNA(VLOOKUP(AZ33, Z27:AI30,8,0), VLOOKUP(AZ33, AA27:AI30,8,0)))))</f>
        <v>3</v>
      </c>
      <c r="BB33" t="s">
        <v>37</v>
      </c>
      <c r="BC33" s="5">
        <f>MAX(AE27:AI30)</f>
        <v>7.6511340591440713E-2</v>
      </c>
      <c r="BE33" t="s">
        <v>37</v>
      </c>
      <c r="BF33" s="4">
        <f>MAX($W27:$AA27)</f>
        <v>1.0035273368606701</v>
      </c>
      <c r="BG33" s="5" t="str">
        <f>_xlfn.IFNA(VLOOKUP($BF33, $W27:$AI27,8,0), _xlfn.IFNA(VLOOKUP($BF33, $X27:$AI27,8,0), _xlfn.IFNA(VLOOKUP($BF33, $Y27:$AI27,8,0), _xlfn.IFNA(VLOOKUP($BF33, $Z27:$AI27,8,0), VLOOKUP($BF33, $AA27:$AI27,8,0)))))</f>
        <v>3</v>
      </c>
      <c r="BI33" t="s">
        <v>37</v>
      </c>
      <c r="BJ33" s="4">
        <f>MAX($W28:$AA28)</f>
        <v>1</v>
      </c>
      <c r="BK33" s="5" t="str">
        <f>_xlfn.IFNA(VLOOKUP($BJ33, $W28:$AI28,8,0), _xlfn.IFNA(VLOOKUP($BJ33, $X28:$AI28,8,0), _xlfn.IFNA(VLOOKUP($BJ33, $Y28:$AI28,8,0), _xlfn.IFNA(VLOOKUP($BJ33, $Z28:$AI28,8,0), VLOOKUP($BJ33, $AA28:$AI28,8,0)))))</f>
        <v>3</v>
      </c>
      <c r="BM33" t="s">
        <v>37</v>
      </c>
      <c r="BN33" s="4">
        <f>MAX($W29:$AA29)</f>
        <v>1.0035273368606701</v>
      </c>
      <c r="BO33" s="5" t="str">
        <f>_xlfn.IFNA(VLOOKUP($BN33, $W29:$AI29,8,0), _xlfn.IFNA(VLOOKUP($BN33, $X29:$AI29,8,0), _xlfn.IFNA(VLOOKUP($BN33, $Y29:$AI29,8,0), _xlfn.IFNA(VLOOKUP($BN33, $Z29:$AI29,8,0), VLOOKUP($BN33, $AA29:$AI29,8,0)))))</f>
        <v>3</v>
      </c>
      <c r="BQ33" t="s">
        <v>37</v>
      </c>
      <c r="BR33" s="4">
        <f>MAX($W30:$AA30)</f>
        <v>0.94952023362536497</v>
      </c>
      <c r="BS33" s="5" t="str">
        <f>_xlfn.IFNA(VLOOKUP($BR33, $W30:$AI30,8,0), _xlfn.IFNA(VLOOKUP($BR33, $X30:$AI30,8,0), _xlfn.IFNA(VLOOKUP($BR33, $Y30:$AI30,8,0), _xlfn.IFNA(VLOOKUP($BR33, $Z30:$AI30,8,0), VLOOKUP($BR33, $AA30:$AI30,8,0)))))</f>
        <v>3</v>
      </c>
    </row>
    <row r="34" spans="1:71" s="1" customFormat="1" x14ac:dyDescent="0.3">
      <c r="A34" s="31" t="s">
        <v>34</v>
      </c>
      <c r="B34" s="1" t="s">
        <v>30</v>
      </c>
      <c r="C34" s="1">
        <v>564</v>
      </c>
      <c r="D34" s="1">
        <v>429</v>
      </c>
      <c r="E34" s="1">
        <v>12</v>
      </c>
      <c r="F34" s="1">
        <v>0</v>
      </c>
      <c r="G34" s="1">
        <v>0</v>
      </c>
      <c r="I34" s="1">
        <v>68</v>
      </c>
      <c r="J34" s="1">
        <v>32</v>
      </c>
      <c r="K34" s="1">
        <v>2</v>
      </c>
      <c r="L34" s="1">
        <v>0</v>
      </c>
      <c r="M34" s="1">
        <v>0</v>
      </c>
      <c r="O34" s="9">
        <f t="shared" si="0"/>
        <v>0.12056737588652482</v>
      </c>
      <c r="P34" s="9">
        <f t="shared" si="1"/>
        <v>7.4592074592074592E-2</v>
      </c>
      <c r="Q34" s="9">
        <f t="shared" si="2"/>
        <v>0.16666666666666666</v>
      </c>
      <c r="R34" s="9">
        <f t="shared" si="3"/>
        <v>0</v>
      </c>
      <c r="S34" s="9">
        <f t="shared" si="4"/>
        <v>0</v>
      </c>
      <c r="T34" s="9"/>
      <c r="U34" s="9">
        <f>69/569</f>
        <v>0.12126537785588752</v>
      </c>
      <c r="V34" s="9"/>
      <c r="W34" s="10">
        <f t="shared" si="17"/>
        <v>0.99424401274540031</v>
      </c>
      <c r="X34" s="10">
        <f t="shared" si="18"/>
        <v>0.615114354244789</v>
      </c>
      <c r="Y34" s="10">
        <f t="shared" si="19"/>
        <v>1.3743961352657004</v>
      </c>
      <c r="Z34" s="10">
        <f t="shared" si="15"/>
        <v>0</v>
      </c>
      <c r="AA34" s="10">
        <f t="shared" si="16"/>
        <v>0</v>
      </c>
      <c r="AB34" s="10">
        <f t="shared" si="6"/>
        <v>1.3743961352657004</v>
      </c>
      <c r="AC34" s="42">
        <f t="shared" si="9"/>
        <v>12</v>
      </c>
      <c r="AD34" s="42" t="str">
        <f t="shared" si="10"/>
        <v>5</v>
      </c>
      <c r="AE34" s="10">
        <f>IF(C34&gt;0,((I34*((3*69)+C34))/(4*C34*69))*(1-(C34-I34)/(569-69)),0)</f>
        <v>2.6944187480727744E-3</v>
      </c>
      <c r="AF34" s="10">
        <f>IF(D34&gt;0,((J34*((3*69)+D34))/(4*D34*69))*(1-(D34-J34)/(569-69)),0)</f>
        <v>3.5408533495490009E-2</v>
      </c>
      <c r="AG34" s="10">
        <f>IF(E34&gt;0,((K34*((3*69)+E34))/(4*E34*69))*(1-(E34-K34)/(569-69)),0)</f>
        <v>0.12960144927536232</v>
      </c>
      <c r="AH34" s="10">
        <f>IF(F34&gt;0,((L34*((3*69)+F34))/(4*F34*69))*(1-(F34-L34)/(569-69)),0)</f>
        <v>0</v>
      </c>
      <c r="AI34" s="10">
        <f>IF(G34&gt;0,((M34*((3*69)+G34))/(4*G34*69))*(1-(G34-M34)/(569-69)),0)</f>
        <v>0</v>
      </c>
      <c r="AR34" s="21" t="s">
        <v>28</v>
      </c>
      <c r="AS34" s="4">
        <f>COUNTIF(W4, "&gt;2") + COUNTIF(W8, "&gt;2") + COUNTIF(W12, "&gt;2") + COUNTIF(W16, "&gt;2") + COUNTIF(W20, "&gt;2") + COUNTIF(W24, "&gt;2") + COUNTIF(W28, "&gt;2") + COUNTIF(W32, "&gt;2")</f>
        <v>0</v>
      </c>
      <c r="AT34" s="4">
        <f>COUNTIF(X4, "&gt;2") + COUNTIF(X8, "&gt;2") + COUNTIF(X12, "&gt;2") + COUNTIF(X16, "&gt;2") + COUNTIF(X20, "&gt;2") + COUNTIF(X24, "&gt;2") + COUNTIF(X28, "&gt;2") + COUNTIF(X32, "&gt;2")</f>
        <v>0</v>
      </c>
      <c r="AU34" s="4">
        <f>COUNTIF(Y4, "&gt;2") + COUNTIF(Y8, "&gt;2") + COUNTIF(Y12, "&gt;2") + COUNTIF(Y16, "&gt;2") + COUNTIF(Y20, "&gt;2") + COUNTIF(Y24, "&gt;2") + COUNTIF(Y28, "&gt;2") + COUNTIF(Y32, "&gt;2")</f>
        <v>2</v>
      </c>
      <c r="AV34" s="4">
        <f>COUNTIF(Z4, "&gt;2") + COUNTIF(Z8, "&gt;2") + COUNTIF(Z12, "&gt;2") + COUNTIF(Z16, "&gt;2") + COUNTIF(Z20, "&gt;2") + COUNTIF(Z24, "&gt;2") + COUNTIF(Z28, "&gt;2") + COUNTIF(Z32, "&gt;2")</f>
        <v>1</v>
      </c>
      <c r="AW34" s="22">
        <f>COUNTIF(AA4, "&gt;2") + COUNTIF(AA8, "&gt;2") + COUNTIF(AA12, "&gt;2") + COUNTIF(AA16, "&gt;2") + COUNTIF(AA20, "&gt;2") + COUNTIF(AA24, "&gt;2") + COUNTIF(AA28, "&gt;2") + COUNTIF(AA32, "&gt;2")</f>
        <v>0</v>
      </c>
      <c r="AX34" s="13"/>
      <c r="AY34" s="1" t="s">
        <v>38</v>
      </c>
      <c r="AZ34" s="14">
        <f>MAX(W31:AA34)</f>
        <v>2.7487922705314007</v>
      </c>
      <c r="BA34" s="14">
        <f>_xlfn.IFNA(VLOOKUP(AZ34, W31:AI34,8,0), _xlfn.IFNA(VLOOKUP(AZ34, X31:AI34,8,0), _xlfn.IFNA(VLOOKUP(AZ34, Y31:AI34,8,0), _xlfn.IFNA(VLOOKUP(AZ34, Z31:AI34,8,0), VLOOKUP(AZ34, AA31:AI34,8,0)))))</f>
        <v>0.13287824351297403</v>
      </c>
      <c r="BB34" s="1" t="s">
        <v>38</v>
      </c>
      <c r="BC34" s="14">
        <f>MAX(AE31:AI34)</f>
        <v>0.25518840579710145</v>
      </c>
      <c r="BE34" s="1" t="s">
        <v>38</v>
      </c>
      <c r="BF34" s="4">
        <f>MAX($W31:$AA31)</f>
        <v>1.0364298724954464</v>
      </c>
      <c r="BG34" s="14">
        <f>_xlfn.IFNA(VLOOKUP($BF34, $W31:$AI31,8,0), _xlfn.IFNA(VLOOKUP($BF34, $X31:$AI31,8,0), _xlfn.IFNA(VLOOKUP($BF34, $Y31:$AI31,8,0), _xlfn.IFNA(VLOOKUP($BF34, $Z31:$AI31,8,0), VLOOKUP($BF34, $AA31:$AI31,8,0)))))</f>
        <v>1.988887086307594E-2</v>
      </c>
      <c r="BI34" s="1" t="s">
        <v>38</v>
      </c>
      <c r="BJ34" s="4">
        <f>MAX($W32:$AA32)</f>
        <v>0.94287066992819379</v>
      </c>
      <c r="BK34" s="5" t="str">
        <f>_xlfn.IFNA(VLOOKUP($BJ34, $W32:$AI32,8,0), _xlfn.IFNA(VLOOKUP($BJ34, $X32:$AI32,8,0), _xlfn.IFNA(VLOOKUP($BJ34, $Y32:$AI32,8,0), _xlfn.IFNA(VLOOKUP($BJ34, $Z32:$AI32,8,0), VLOOKUP($BJ34, $AA32:$AI32,8,0)))))</f>
        <v>3</v>
      </c>
      <c r="BM34" s="1" t="s">
        <v>38</v>
      </c>
      <c r="BN34" s="13">
        <f>MAX($W33:$AA33)</f>
        <v>2.7487922705314007</v>
      </c>
      <c r="BO34" s="14">
        <f>_xlfn.IFNA(VLOOKUP($BN34, $W33:$AI33,8,0), _xlfn.IFNA(VLOOKUP($BN34, $X33:$AI33,8,0), _xlfn.IFNA(VLOOKUP($BN34, $Y33:$AI33,8,0), _xlfn.IFNA(VLOOKUP($BN34, $Z33:$AI33,8,0), VLOOKUP($BN34, $AA33:$AI33,8,0)))))</f>
        <v>0.13287824351297403</v>
      </c>
      <c r="BQ34" s="1" t="s">
        <v>38</v>
      </c>
      <c r="BR34" s="13">
        <f>MAX($W34:$AA34)</f>
        <v>1.3743961352657004</v>
      </c>
      <c r="BS34" s="14">
        <f>_xlfn.IFNA(VLOOKUP($BR34, $W34:$AI34,8,0), _xlfn.IFNA(VLOOKUP($BR34, $X34:$AI34,8,0), _xlfn.IFNA(VLOOKUP($BR34, $Y34:$AI34,8,0), _xlfn.IFNA(VLOOKUP($BR34, $Z34:$AI34,8,0), VLOOKUP($BR34, $AA34:$AI34,8,0)))))</f>
        <v>3.5408533495490009E-2</v>
      </c>
    </row>
    <row r="35" spans="1:71" x14ac:dyDescent="0.3">
      <c r="A35" s="31" t="s">
        <v>56</v>
      </c>
      <c r="B35" t="s">
        <v>27</v>
      </c>
      <c r="C35">
        <v>524</v>
      </c>
      <c r="D35">
        <v>61</v>
      </c>
      <c r="E35">
        <v>1</v>
      </c>
      <c r="F35">
        <v>0</v>
      </c>
      <c r="G35">
        <v>0</v>
      </c>
      <c r="I35">
        <v>49</v>
      </c>
      <c r="J35">
        <v>7</v>
      </c>
      <c r="K35">
        <v>1</v>
      </c>
      <c r="L35">
        <v>0</v>
      </c>
      <c r="M35">
        <v>0</v>
      </c>
      <c r="O35" s="27">
        <f t="shared" ref="O35:O54" si="20">IF(I35&gt;0, I35/C35, 0)</f>
        <v>9.3511450381679392E-2</v>
      </c>
      <c r="P35" s="27">
        <f t="shared" ref="P35:P54" si="21">IF(J35&gt;0, J35/D35, 0)</f>
        <v>0.11475409836065574</v>
      </c>
      <c r="Q35" s="27">
        <f t="shared" ref="Q35:Q54" si="22">IF(K35&gt;0, K35/E35, 0)</f>
        <v>1</v>
      </c>
      <c r="R35" s="27">
        <f t="shared" ref="R35:R54" si="23">IF(L35&gt;0, L35/F35, 0)</f>
        <v>0</v>
      </c>
      <c r="S35" s="27">
        <f t="shared" ref="S35:S54" si="24">IF(M35&gt;0, M35/G35, 0)</f>
        <v>0</v>
      </c>
      <c r="T35" s="27"/>
      <c r="U35" s="27">
        <f>53/569</f>
        <v>9.3145869947275917E-2</v>
      </c>
      <c r="V35" s="27"/>
      <c r="W35" s="28">
        <f t="shared" si="17"/>
        <v>1.0039248163618033</v>
      </c>
      <c r="X35" s="28">
        <f t="shared" si="18"/>
        <v>1.2319826786266626</v>
      </c>
      <c r="Y35" s="28">
        <f t="shared" si="19"/>
        <v>10.735849056603774</v>
      </c>
      <c r="Z35" s="28">
        <f t="shared" si="15"/>
        <v>0</v>
      </c>
      <c r="AA35" s="28">
        <f t="shared" si="16"/>
        <v>0</v>
      </c>
      <c r="AB35" s="28">
        <f t="shared" ref="AB35:AB54" si="25">MAX(W35:AA35)</f>
        <v>10.735849056603774</v>
      </c>
      <c r="AC35" s="39">
        <f t="shared" si="9"/>
        <v>1</v>
      </c>
      <c r="AD35" s="39" t="str">
        <f t="shared" si="10"/>
        <v>5</v>
      </c>
      <c r="AE35" s="28">
        <f>IF(C35&gt;0,((I35*((3*53)+C35))/(4*C35*53))*(1-(C35-I35)/(569-53)),0)</f>
        <v>2.393777556894626E-2</v>
      </c>
      <c r="AF35" s="28">
        <f>IF(D35&gt;0,((J35*((3*53)+D35))/(4*D35*53))*(1-(D35-J35)/(569-53)),0)</f>
        <v>0.10662211640135522</v>
      </c>
      <c r="AG35" s="28">
        <f>IF(E35&gt;0,((K35*((3*53)+E35))/(4*E35*53))*(1-(E35-K35)/(569-53)),0)</f>
        <v>0.75471698113207553</v>
      </c>
      <c r="AH35" s="28">
        <f>IF(F35&gt;0,((L35*((3*53)+F35))/(4*F35*53))*(1-(F35-L35)/(569-53)),0)</f>
        <v>0</v>
      </c>
      <c r="AI35" s="28">
        <f>IF(G35&gt;0,((M35*((3*53)+G35))/(4*G35*53))*(1-(G35-M35)/(569-53)),0)</f>
        <v>0</v>
      </c>
      <c r="AR35" s="21" t="s">
        <v>29</v>
      </c>
      <c r="AS35" s="4">
        <f>COUNTIF(W5, "&gt;2") + COUNTIF(W9, "&gt;2") + COUNTIF(W13, "&gt;2") + COUNTIF(W17, "&gt;2") + COUNTIF(W21, "&gt;2") + COUNTIF(W25, "&gt;2") + COUNTIF(W29, "&gt;2") + COUNTIF(W33, "&gt;2")</f>
        <v>0</v>
      </c>
      <c r="AT35" s="4">
        <f>COUNTIF(X5, "&gt;2") + COUNTIF(X9, "&gt;2") + COUNTIF(X13, "&gt;2") + COUNTIF(X17, "&gt;2") + COUNTIF(X21, "&gt;2") + COUNTIF(X25, "&gt;2") + COUNTIF(X29, "&gt;2") + COUNTIF(X33, "&gt;2")</f>
        <v>0</v>
      </c>
      <c r="AU35" s="4">
        <f>COUNTIF(Y5, "&gt;2") + COUNTIF(Y9, "&gt;2") + COUNTIF(Y13, "&gt;2") + COUNTIF(Y17, "&gt;2") + COUNTIF(Y21, "&gt;2") + COUNTIF(Y25, "&gt;2") + COUNTIF(Y29, "&gt;2") + COUNTIF(Y33, "&gt;2")</f>
        <v>1</v>
      </c>
      <c r="AV35" s="4">
        <f>COUNTIF(Z5, "&gt;2") + COUNTIF(Z9, "&gt;2") + COUNTIF(Z13, "&gt;2") + COUNTIF(Z17, "&gt;2") + COUNTIF(Z21, "&gt;2") + COUNTIF(Z25, "&gt;2") + COUNTIF(Z29, "&gt;2") + COUNTIF(Z33, "&gt;2")</f>
        <v>1</v>
      </c>
      <c r="AW35" s="22">
        <f>COUNTIF(AA5, "&gt;2") + COUNTIF(AA9, "&gt;2") + COUNTIF(AA13, "&gt;2") + COUNTIF(AA17, "&gt;2") + COUNTIF(AA21, "&gt;2") + COUNTIF(AA25, "&gt;2") + COUNTIF(AA29, "&gt;2") + COUNTIF(AA33, "&gt;2")</f>
        <v>0</v>
      </c>
      <c r="AX35" s="4"/>
    </row>
    <row r="36" spans="1:71" x14ac:dyDescent="0.3">
      <c r="A36" s="31" t="s">
        <v>56</v>
      </c>
      <c r="B36" t="s">
        <v>28</v>
      </c>
      <c r="C36">
        <v>195</v>
      </c>
      <c r="D36">
        <v>3</v>
      </c>
      <c r="E36">
        <v>0</v>
      </c>
      <c r="F36">
        <v>0</v>
      </c>
      <c r="G36">
        <v>0</v>
      </c>
      <c r="I36">
        <v>17</v>
      </c>
      <c r="J36">
        <v>1</v>
      </c>
      <c r="K36">
        <v>0</v>
      </c>
      <c r="L36">
        <v>0</v>
      </c>
      <c r="M36">
        <v>0</v>
      </c>
      <c r="O36" s="27">
        <f t="shared" si="20"/>
        <v>8.7179487179487175E-2</v>
      </c>
      <c r="P36" s="27">
        <f t="shared" si="21"/>
        <v>0.33333333333333331</v>
      </c>
      <c r="Q36" s="27">
        <f t="shared" si="22"/>
        <v>0</v>
      </c>
      <c r="R36" s="27">
        <f t="shared" si="23"/>
        <v>0</v>
      </c>
      <c r="S36" s="27">
        <f t="shared" si="24"/>
        <v>0</v>
      </c>
      <c r="T36" s="27"/>
      <c r="U36" s="27">
        <f>53/569</f>
        <v>9.3145869947275917E-2</v>
      </c>
      <c r="V36" s="27"/>
      <c r="W36" s="28">
        <f t="shared" si="17"/>
        <v>0.93594581519109821</v>
      </c>
      <c r="X36" s="28">
        <f t="shared" si="18"/>
        <v>3.5786163522012577</v>
      </c>
      <c r="Y36" s="28">
        <f t="shared" si="19"/>
        <v>0</v>
      </c>
      <c r="Z36" s="28">
        <f t="shared" si="15"/>
        <v>0</v>
      </c>
      <c r="AA36" s="28">
        <f t="shared" si="16"/>
        <v>0</v>
      </c>
      <c r="AB36" s="28">
        <f t="shared" si="25"/>
        <v>3.5786163522012577</v>
      </c>
      <c r="AC36" s="39">
        <f t="shared" si="9"/>
        <v>3</v>
      </c>
      <c r="AD36" s="39" t="str">
        <f t="shared" si="10"/>
        <v>4</v>
      </c>
      <c r="AE36" s="28">
        <f>IF(C36&gt;0,((I36*((3*53)+C36))/(4*C36*53))*(1-(C36-I36)/(569-53)),0)</f>
        <v>9.5356150358344313E-2</v>
      </c>
      <c r="AF36" s="28">
        <f>IF(D36&gt;0,((J36*((3*53)+D36))/(4*D36*53))*(1-(D36-J36)/(569-53)),0)</f>
        <v>0.25372970601140848</v>
      </c>
      <c r="AG36" s="28">
        <f>IF(E36&gt;0,((K36*((3*53)+E36))/(4*E36*53))*(1-(E36-K36)/(569-53)),0)</f>
        <v>0</v>
      </c>
      <c r="AH36" s="28">
        <f>IF(F36&gt;0,((L36*((3*53)+F36))/(4*F36*53))*(1-(F36-L36)/(569-53)),0)</f>
        <v>0</v>
      </c>
      <c r="AI36" s="28">
        <f>IF(G36&gt;0,((M36*((3*53)+G36))/(4*G36*53))*(1-(G36-M36)/(569-53)),0)</f>
        <v>0</v>
      </c>
      <c r="AR36" s="21" t="s">
        <v>30</v>
      </c>
      <c r="AS36" s="4">
        <f>COUNTIF(W6, "&gt;2") + COUNTIF(W10, "&gt;2") + COUNTIF(W14, "&gt;2") + COUNTIF(W18, "&gt;2") + COUNTIF(W22, "&gt;2") + COUNTIF(W26, "&gt;2") + COUNTIF(W30, "&gt;2") + COUNTIF(W34, "&gt;2")</f>
        <v>0</v>
      </c>
      <c r="AT36" s="4">
        <f>COUNTIF(X6, "&gt;2") + COUNTIF(X10, "&gt;2") + COUNTIF(X14, "&gt;2") + COUNTIF(X18, "&gt;2") + COUNTIF(X22, "&gt;2") + COUNTIF(X26, "&gt;2") + COUNTIF(X30, "&gt;2") + COUNTIF(X34, "&gt;2")</f>
        <v>0</v>
      </c>
      <c r="AU36" s="4">
        <f>COUNTIF(Y6, "&gt;2") + COUNTIF(Y10, "&gt;2") + COUNTIF(Y14, "&gt;2") + COUNTIF(Y18, "&gt;2") + COUNTIF(Y22, "&gt;2") + COUNTIF(Y26, "&gt;2") + COUNTIF(Y30, "&gt;2") + COUNTIF(Y34, "&gt;2")</f>
        <v>1</v>
      </c>
      <c r="AV36" s="4">
        <f>COUNTIF(Z6, "&gt;2") + COUNTIF(Z10, "&gt;2") + COUNTIF(Z14, "&gt;2") + COUNTIF(Z18, "&gt;2") + COUNTIF(Z22, "&gt;2") + COUNTIF(Z26, "&gt;2") + COUNTIF(Z30, "&gt;2") + COUNTIF(Z34, "&gt;2")</f>
        <v>0</v>
      </c>
      <c r="AW36" s="22">
        <f>COUNTIF(AA6, "&gt;2") + COUNTIF(AA10, "&gt;2") + COUNTIF(AA14, "&gt;2") + COUNTIF(AA18, "&gt;2") + COUNTIF(AA22, "&gt;2") + COUNTIF(AA26, "&gt;2") + COUNTIF(AA30, "&gt;2") + COUNTIF(AA34, "&gt;2")</f>
        <v>0</v>
      </c>
      <c r="AX36" s="4"/>
      <c r="AY36" t="s">
        <v>42</v>
      </c>
      <c r="AZ36">
        <f>COUNTIF(AZ27:AZ34, "&gt;1.5")</f>
        <v>6</v>
      </c>
      <c r="BE36" t="s">
        <v>42</v>
      </c>
      <c r="BF36">
        <f>COUNTIF(BF27:BF34, "&gt;1.5")</f>
        <v>1</v>
      </c>
      <c r="BI36" t="s">
        <v>42</v>
      </c>
      <c r="BJ36">
        <f>COUNTIF(BJ27:BJ34, "&gt;1.5")</f>
        <v>4</v>
      </c>
      <c r="BM36" t="s">
        <v>42</v>
      </c>
      <c r="BN36">
        <f>COUNTIF(BN27:BN34, "&gt;1.5")</f>
        <v>2</v>
      </c>
      <c r="BQ36" t="s">
        <v>42</v>
      </c>
      <c r="BR36">
        <f>COUNTIF(BR27:BR34, "&gt;1.5")</f>
        <v>2</v>
      </c>
    </row>
    <row r="37" spans="1:71" x14ac:dyDescent="0.3">
      <c r="A37" s="31" t="s">
        <v>56</v>
      </c>
      <c r="B37" t="s">
        <v>29</v>
      </c>
      <c r="C37">
        <v>550</v>
      </c>
      <c r="D37">
        <v>142</v>
      </c>
      <c r="E37">
        <v>4</v>
      </c>
      <c r="F37">
        <v>0</v>
      </c>
      <c r="G37">
        <v>0</v>
      </c>
      <c r="I37">
        <v>52</v>
      </c>
      <c r="J37">
        <v>21</v>
      </c>
      <c r="K37">
        <v>3</v>
      </c>
      <c r="L37">
        <v>0</v>
      </c>
      <c r="M37">
        <v>0</v>
      </c>
      <c r="O37" s="27">
        <f t="shared" si="20"/>
        <v>9.4545454545454544E-2</v>
      </c>
      <c r="P37" s="27">
        <f t="shared" si="21"/>
        <v>0.14788732394366197</v>
      </c>
      <c r="Q37" s="27">
        <f t="shared" si="22"/>
        <v>0.75</v>
      </c>
      <c r="R37" s="27">
        <f t="shared" si="23"/>
        <v>0</v>
      </c>
      <c r="S37" s="27">
        <f t="shared" si="24"/>
        <v>0</v>
      </c>
      <c r="T37" s="27"/>
      <c r="U37" s="27">
        <f>53/569</f>
        <v>9.3145869947275917E-2</v>
      </c>
      <c r="V37" s="27"/>
      <c r="W37" s="28">
        <f t="shared" si="17"/>
        <v>1.0150257289879931</v>
      </c>
      <c r="X37" s="28">
        <f t="shared" si="18"/>
        <v>1.58769598724422</v>
      </c>
      <c r="Y37" s="28">
        <f t="shared" si="19"/>
        <v>8.0518867924528301</v>
      </c>
      <c r="Z37" s="28">
        <f t="shared" si="15"/>
        <v>0</v>
      </c>
      <c r="AA37" s="28">
        <f t="shared" si="16"/>
        <v>0</v>
      </c>
      <c r="AB37" s="28">
        <f t="shared" si="25"/>
        <v>8.0518867924528301</v>
      </c>
      <c r="AC37" s="39">
        <f t="shared" si="9"/>
        <v>4</v>
      </c>
      <c r="AD37" s="39" t="str">
        <f t="shared" si="10"/>
        <v>5</v>
      </c>
      <c r="AE37" s="28">
        <f>IF(C37&gt;0,((I37*((3*53)+C37))/(4*C37*53))*(1-(C37-I37)/(569-53)),0)</f>
        <v>1.1029957317802848E-2</v>
      </c>
      <c r="AF37" s="28">
        <f>IF(D37&gt;0,((J37*((3*53)+D37))/(4*D37*53))*(1-(D37-J37)/(569-53)),0)</f>
        <v>0.16073445389317034</v>
      </c>
      <c r="AG37" s="28">
        <f>IF(E37&gt;0,((K37*((3*53)+E37))/(4*E37*53))*(1-(E37-K37)/(569-53)),0)</f>
        <v>0.57553340280824927</v>
      </c>
      <c r="AH37" s="28">
        <f>IF(F37&gt;0,((L37*((3*53)+F37))/(4*F37*53))*(1-(F37-L37)/(569-53)),0)</f>
        <v>0</v>
      </c>
      <c r="AI37" s="28">
        <f>IF(G37&gt;0,((M37*((3*53)+G37))/(4*G37*53))*(1-(G37-M37)/(569-53)),0)</f>
        <v>0</v>
      </c>
      <c r="AR37" s="19"/>
      <c r="AS37" s="1"/>
      <c r="AT37" s="1"/>
      <c r="AU37" s="1"/>
      <c r="AV37" s="1"/>
      <c r="AW37" s="23"/>
      <c r="AY37" t="s">
        <v>43</v>
      </c>
      <c r="AZ37">
        <f>COUNTIF(AZ27:AZ34, "&gt;2")</f>
        <v>5</v>
      </c>
      <c r="BE37" t="s">
        <v>43</v>
      </c>
      <c r="BF37">
        <f>COUNTIF(BF27:BF34, "&gt;2")</f>
        <v>0</v>
      </c>
      <c r="BI37" t="s">
        <v>43</v>
      </c>
      <c r="BJ37">
        <f>COUNTIF(BJ27:BJ34, "&gt;2")</f>
        <v>3</v>
      </c>
      <c r="BM37" t="s">
        <v>43</v>
      </c>
      <c r="BN37">
        <f>COUNTIF(BN27:BN34, "&gt;2")</f>
        <v>2</v>
      </c>
      <c r="BQ37" t="s">
        <v>43</v>
      </c>
      <c r="BR37">
        <f>COUNTIF(BR27:BR34, "&gt;2")</f>
        <v>1</v>
      </c>
    </row>
    <row r="38" spans="1:71" x14ac:dyDescent="0.3">
      <c r="A38" s="31" t="s">
        <v>56</v>
      </c>
      <c r="B38" s="1" t="s">
        <v>30</v>
      </c>
      <c r="C38" s="1">
        <v>541</v>
      </c>
      <c r="D38" s="1">
        <v>308</v>
      </c>
      <c r="E38" s="1">
        <v>18</v>
      </c>
      <c r="F38" s="1">
        <v>0</v>
      </c>
      <c r="G38" s="1">
        <v>0</v>
      </c>
      <c r="H38" s="1"/>
      <c r="I38" s="1">
        <v>52</v>
      </c>
      <c r="J38" s="1">
        <v>31</v>
      </c>
      <c r="K38" s="1">
        <v>1</v>
      </c>
      <c r="L38" s="1">
        <v>0</v>
      </c>
      <c r="M38" s="1">
        <v>0</v>
      </c>
      <c r="N38" s="1"/>
      <c r="O38" s="29">
        <f t="shared" si="20"/>
        <v>9.6118299445471345E-2</v>
      </c>
      <c r="P38" s="29">
        <f t="shared" si="21"/>
        <v>0.10064935064935066</v>
      </c>
      <c r="Q38" s="29">
        <f t="shared" si="22"/>
        <v>5.5555555555555552E-2</v>
      </c>
      <c r="R38" s="29">
        <f t="shared" si="23"/>
        <v>0</v>
      </c>
      <c r="S38" s="29">
        <f t="shared" si="24"/>
        <v>0</v>
      </c>
      <c r="T38" s="29"/>
      <c r="U38" s="29">
        <f>53/569</f>
        <v>9.3145869947275917E-2</v>
      </c>
      <c r="V38" s="29"/>
      <c r="W38" s="30">
        <f t="shared" si="17"/>
        <v>1.0319115544240227</v>
      </c>
      <c r="X38" s="30">
        <f t="shared" si="18"/>
        <v>1.0805562362166137</v>
      </c>
      <c r="Y38" s="30">
        <f t="shared" si="19"/>
        <v>0.59643605870020966</v>
      </c>
      <c r="Z38" s="30">
        <f t="shared" si="15"/>
        <v>0</v>
      </c>
      <c r="AA38" s="30">
        <f t="shared" si="16"/>
        <v>0</v>
      </c>
      <c r="AB38" s="30">
        <f t="shared" si="25"/>
        <v>1.0805562362166137</v>
      </c>
      <c r="AC38" s="40">
        <f t="shared" si="9"/>
        <v>308</v>
      </c>
      <c r="AD38" s="40" t="str">
        <f t="shared" si="10"/>
        <v>4</v>
      </c>
      <c r="AE38" s="30">
        <f>IF(C38&gt;0,((I38*((3*53)+C38))/(4*C38*53))*(1-(C38-I38)/(569-53)),0)</f>
        <v>1.6606660994582859E-2</v>
      </c>
      <c r="AF38" s="30">
        <f>IF(D38&gt;0,((J38*((3*53)+D38))/(4*D38*53))*(1-(D38-J38)/(569-53)),0)</f>
        <v>0.10269284750279706</v>
      </c>
      <c r="AG38" s="30">
        <f>IF(E38&gt;0,((K38*((3*53)+E38))/(4*E38*53))*(1-(E38-K38)/(569-53)),0)</f>
        <v>4.4855504363512252E-2</v>
      </c>
      <c r="AH38" s="30">
        <f>IF(F38&gt;0,((L38*((3*53)+F38))/(4*F38*53))*(1-(F38-L38)/(569-53)),0)</f>
        <v>0</v>
      </c>
      <c r="AI38" s="30">
        <f>IF(G38&gt;0,((M38*((3*53)+G38))/(4*G38*53))*(1-(G38-M38)/(569-53)),0)</f>
        <v>0</v>
      </c>
    </row>
    <row r="39" spans="1:71" x14ac:dyDescent="0.3">
      <c r="A39" s="31" t="s">
        <v>57</v>
      </c>
      <c r="B39" t="s">
        <v>27</v>
      </c>
      <c r="C39">
        <v>566</v>
      </c>
      <c r="D39">
        <v>442</v>
      </c>
      <c r="E39">
        <v>93</v>
      </c>
      <c r="F39">
        <v>1</v>
      </c>
      <c r="G39">
        <v>0</v>
      </c>
      <c r="I39">
        <v>56</v>
      </c>
      <c r="J39">
        <v>32</v>
      </c>
      <c r="K39">
        <v>4</v>
      </c>
      <c r="L39">
        <v>0</v>
      </c>
      <c r="M39">
        <v>0</v>
      </c>
      <c r="O39" s="27">
        <f t="shared" si="20"/>
        <v>9.8939929328621903E-2</v>
      </c>
      <c r="P39" s="27">
        <f t="shared" si="21"/>
        <v>7.2398190045248875E-2</v>
      </c>
      <c r="Q39" s="27">
        <f t="shared" si="22"/>
        <v>4.3010752688172046E-2</v>
      </c>
      <c r="R39" s="27">
        <f t="shared" si="23"/>
        <v>0</v>
      </c>
      <c r="S39" s="27">
        <f t="shared" si="24"/>
        <v>0</v>
      </c>
      <c r="T39" s="27"/>
      <c r="U39" s="27">
        <f>57/569</f>
        <v>0.10017574692442882</v>
      </c>
      <c r="V39" s="27"/>
      <c r="W39" s="28">
        <f t="shared" si="17"/>
        <v>0.98766350505238354</v>
      </c>
      <c r="X39" s="28">
        <f t="shared" si="18"/>
        <v>0.72271175676748445</v>
      </c>
      <c r="Y39" s="28">
        <f t="shared" si="19"/>
        <v>0.42935295227315606</v>
      </c>
      <c r="Z39" s="28">
        <f t="shared" si="15"/>
        <v>0</v>
      </c>
      <c r="AA39" s="28">
        <f t="shared" si="16"/>
        <v>0</v>
      </c>
      <c r="AB39" s="28">
        <f t="shared" si="25"/>
        <v>0.98766350505238354</v>
      </c>
      <c r="AC39" s="39">
        <f t="shared" si="9"/>
        <v>566</v>
      </c>
      <c r="AD39" s="39" t="str">
        <f t="shared" si="10"/>
        <v>3</v>
      </c>
      <c r="AE39" s="28">
        <f>IF(C39&gt;0,((I39*((3*57)+C39))/(4*C39*57))*(1-(C39-I39)/(569-57)),0)</f>
        <v>1.2492928987663506E-3</v>
      </c>
      <c r="AF39" s="28">
        <f>IF(D39&gt;0,((J39*((3*57)+D39))/(4*D39*57))*(1-(D39-J39)/(569-57)),0)</f>
        <v>3.8777834008097166E-2</v>
      </c>
      <c r="AG39" s="28">
        <f>IF(E39&gt;0,((K39*((3*57)+E39))/(4*E39*57))*(1-(E39-K39)/(569-57)),0)</f>
        <v>4.1144949066213923E-2</v>
      </c>
      <c r="AH39" s="28">
        <f>IF(F39&gt;0,((L39*((3*57)+F39))/(4*F39*57))*(1-(F39-L39)/(569-57)),0)</f>
        <v>0</v>
      </c>
      <c r="AI39" s="28">
        <f>IF(G39&gt;0,((M39*((3*57)+G39))/(4*G39*57))*(1-(G39-M39)/(569-57)),0)</f>
        <v>0</v>
      </c>
      <c r="AY39" s="1" t="s">
        <v>45</v>
      </c>
      <c r="AZ39" s="1"/>
    </row>
    <row r="40" spans="1:71" x14ac:dyDescent="0.3">
      <c r="A40" s="31" t="s">
        <v>57</v>
      </c>
      <c r="B40" t="s">
        <v>28</v>
      </c>
      <c r="C40">
        <v>567</v>
      </c>
      <c r="D40">
        <v>532</v>
      </c>
      <c r="E40">
        <v>196</v>
      </c>
      <c r="F40">
        <v>5</v>
      </c>
      <c r="G40">
        <v>0</v>
      </c>
      <c r="I40">
        <v>57</v>
      </c>
      <c r="J40">
        <v>48</v>
      </c>
      <c r="K40">
        <v>11</v>
      </c>
      <c r="L40">
        <v>1</v>
      </c>
      <c r="M40">
        <v>0</v>
      </c>
      <c r="O40" s="27">
        <f t="shared" si="20"/>
        <v>0.10052910052910052</v>
      </c>
      <c r="P40" s="27">
        <f t="shared" si="21"/>
        <v>9.0225563909774431E-2</v>
      </c>
      <c r="Q40" s="27">
        <f t="shared" si="22"/>
        <v>5.6122448979591837E-2</v>
      </c>
      <c r="R40" s="27">
        <f t="shared" si="23"/>
        <v>0.2</v>
      </c>
      <c r="S40" s="27">
        <f t="shared" si="24"/>
        <v>0</v>
      </c>
      <c r="T40" s="27"/>
      <c r="U40" s="27">
        <f>57/569</f>
        <v>0.10017574692442882</v>
      </c>
      <c r="V40" s="27"/>
      <c r="W40" s="28">
        <f t="shared" si="17"/>
        <v>1.0035273368606701</v>
      </c>
      <c r="X40" s="28">
        <f t="shared" si="18"/>
        <v>0.90067273446774831</v>
      </c>
      <c r="Y40" s="28">
        <f t="shared" si="19"/>
        <v>0.56023988542785541</v>
      </c>
      <c r="Z40" s="28">
        <f t="shared" si="15"/>
        <v>1.9964912280701756</v>
      </c>
      <c r="AA40" s="28">
        <f t="shared" si="16"/>
        <v>0</v>
      </c>
      <c r="AB40" s="28">
        <f t="shared" si="25"/>
        <v>1.9964912280701756</v>
      </c>
      <c r="AC40" s="39">
        <f t="shared" si="9"/>
        <v>5</v>
      </c>
      <c r="AD40" s="39" t="str">
        <f t="shared" si="10"/>
        <v>6</v>
      </c>
      <c r="AE40" s="28">
        <f>IF(C40&gt;0,((I40*((3*57)+C40))/(4*C40*57))*(1-(C40-I40)/(569-57)),0)</f>
        <v>1.2710813492063492E-3</v>
      </c>
      <c r="AF40" s="28">
        <f>IF(D40&gt;0,((J40*((3*57)+D40))/(4*D40*57))*(1-(D40-J40)/(569-57)),0)</f>
        <v>1.5213815789473683E-2</v>
      </c>
      <c r="AG40" s="28">
        <f>IF(E40&gt;0,((K40*((3*57)+E40))/(4*E40*57))*(1-(E40-K40)/(569-57)),0)</f>
        <v>5.7695989065856608E-2</v>
      </c>
      <c r="AH40" s="28">
        <f>IF(F40&gt;0,((L40*((3*57)+F40))/(4*F40*57))*(1-(F40-L40)/(569-57)),0)</f>
        <v>0.15317982456140353</v>
      </c>
      <c r="AI40" s="28">
        <f>IF(G40&gt;0,((M40*((3*57)+G40))/(4*G40*57))*(1-(G40-M40)/(569-57)),0)</f>
        <v>0</v>
      </c>
      <c r="AY40" t="s">
        <v>26</v>
      </c>
      <c r="AZ40" t="str">
        <f>IF(COUNTIF(W3:AA3,AZ27), B3, IF(COUNTIF(W4:AA4,AZ27), B4, IF(COUNTIF(W5:AA5,AZ27), B5, B6)))</f>
        <v>dU</v>
      </c>
    </row>
    <row r="41" spans="1:71" x14ac:dyDescent="0.3">
      <c r="A41" s="31" t="s">
        <v>57</v>
      </c>
      <c r="B41" t="s">
        <v>29</v>
      </c>
      <c r="C41">
        <v>566</v>
      </c>
      <c r="D41">
        <v>444</v>
      </c>
      <c r="E41">
        <v>88</v>
      </c>
      <c r="F41">
        <v>1</v>
      </c>
      <c r="G41">
        <v>0</v>
      </c>
      <c r="I41">
        <v>56</v>
      </c>
      <c r="J41">
        <v>33</v>
      </c>
      <c r="K41">
        <v>4</v>
      </c>
      <c r="L41">
        <v>0</v>
      </c>
      <c r="M41">
        <v>0</v>
      </c>
      <c r="O41" s="27">
        <f t="shared" si="20"/>
        <v>9.8939929328621903E-2</v>
      </c>
      <c r="P41" s="27">
        <f t="shared" si="21"/>
        <v>7.4324324324324328E-2</v>
      </c>
      <c r="Q41" s="27">
        <f t="shared" si="22"/>
        <v>4.5454545454545456E-2</v>
      </c>
      <c r="R41" s="27">
        <f t="shared" si="23"/>
        <v>0</v>
      </c>
      <c r="S41" s="27">
        <f t="shared" si="24"/>
        <v>0</v>
      </c>
      <c r="T41" s="27"/>
      <c r="U41" s="27">
        <f>57/569</f>
        <v>0.10017574692442882</v>
      </c>
      <c r="V41" s="27"/>
      <c r="W41" s="28">
        <f t="shared" si="17"/>
        <v>0.98766350505238354</v>
      </c>
      <c r="X41" s="28">
        <f t="shared" si="18"/>
        <v>0.74193930772878147</v>
      </c>
      <c r="Y41" s="28">
        <f t="shared" si="19"/>
        <v>0.45374800637958534</v>
      </c>
      <c r="Z41" s="28">
        <f t="shared" si="15"/>
        <v>0</v>
      </c>
      <c r="AA41" s="28">
        <f t="shared" si="16"/>
        <v>0</v>
      </c>
      <c r="AB41" s="28">
        <f t="shared" si="25"/>
        <v>0.98766350505238354</v>
      </c>
      <c r="AC41" s="39">
        <f t="shared" si="9"/>
        <v>566</v>
      </c>
      <c r="AD41" s="39" t="str">
        <f t="shared" si="10"/>
        <v>3</v>
      </c>
      <c r="AE41" s="28">
        <f>IF(C41&gt;0,((I41*((3*57)+C41))/(4*C41*57))*(1-(C41-I41)/(569-57)),0)</f>
        <v>1.2492928987663506E-3</v>
      </c>
      <c r="AF41" s="28">
        <f>IF(D41&gt;0,((J41*((3*57)+D41))/(4*D41*57))*(1-(D41-J41)/(569-57)),0)</f>
        <v>3.9547829336326459E-2</v>
      </c>
      <c r="AG41" s="28">
        <f>IF(E41&gt;0,((K41*((3*57)+E41))/(4*E41*57))*(1-(E41-K41)/(569-57)),0)</f>
        <v>4.316343949362042E-2</v>
      </c>
      <c r="AH41" s="28">
        <f>IF(F41&gt;0,((L41*((3*57)+F41))/(4*F41*57))*(1-(F41-L41)/(569-57)),0)</f>
        <v>0</v>
      </c>
      <c r="AI41" s="28">
        <f>IF(G41&gt;0,((M41*((3*57)+G41))/(4*G41*57))*(1-(G41-M41)/(569-57)),0)</f>
        <v>0</v>
      </c>
      <c r="AY41" t="s">
        <v>31</v>
      </c>
      <c r="AZ41" t="str">
        <f>IF(COUNTIF(W7:AA7,AZ28), B7, IF(COUNTIF(W8:AA8,AZ28), B8, IF(COUNTIF(W9:AA9,AZ28), B9, B10)))</f>
        <v>dE</v>
      </c>
    </row>
    <row r="42" spans="1:71" x14ac:dyDescent="0.3">
      <c r="A42" s="33" t="s">
        <v>57</v>
      </c>
      <c r="B42" s="1" t="s">
        <v>30</v>
      </c>
      <c r="C42" s="1">
        <v>40</v>
      </c>
      <c r="D42" s="1">
        <v>5</v>
      </c>
      <c r="E42" s="1">
        <v>0</v>
      </c>
      <c r="F42" s="1">
        <v>0</v>
      </c>
      <c r="G42" s="1">
        <v>0</v>
      </c>
      <c r="H42" s="1"/>
      <c r="I42" s="1">
        <v>2</v>
      </c>
      <c r="J42" s="1">
        <v>0</v>
      </c>
      <c r="K42" s="1">
        <v>0</v>
      </c>
      <c r="L42" s="1">
        <v>0</v>
      </c>
      <c r="M42" s="1">
        <v>0</v>
      </c>
      <c r="N42" s="1"/>
      <c r="O42" s="29">
        <f t="shared" si="20"/>
        <v>0.05</v>
      </c>
      <c r="P42" s="29">
        <f t="shared" si="21"/>
        <v>0</v>
      </c>
      <c r="Q42" s="29">
        <f t="shared" si="22"/>
        <v>0</v>
      </c>
      <c r="R42" s="29">
        <f t="shared" si="23"/>
        <v>0</v>
      </c>
      <c r="S42" s="29">
        <f t="shared" si="24"/>
        <v>0</v>
      </c>
      <c r="T42" s="29"/>
      <c r="U42" s="29">
        <f>57/569</f>
        <v>0.10017574692442882</v>
      </c>
      <c r="V42" s="29"/>
      <c r="W42" s="30">
        <f t="shared" si="17"/>
        <v>0.49912280701754391</v>
      </c>
      <c r="X42" s="30">
        <f t="shared" si="18"/>
        <v>0</v>
      </c>
      <c r="Y42" s="30">
        <f t="shared" si="19"/>
        <v>0</v>
      </c>
      <c r="Z42" s="30">
        <f t="shared" si="15"/>
        <v>0</v>
      </c>
      <c r="AA42" s="30">
        <f t="shared" si="16"/>
        <v>0</v>
      </c>
      <c r="AB42" s="30">
        <f t="shared" si="25"/>
        <v>0.49912280701754391</v>
      </c>
      <c r="AC42" s="40">
        <f t="shared" si="9"/>
        <v>40</v>
      </c>
      <c r="AD42" s="40" t="str">
        <f t="shared" si="10"/>
        <v>3</v>
      </c>
      <c r="AE42" s="30">
        <f>IF(C42&gt;0,((I42*((3*57)+C42))/(4*C42*57))*(1-(C42-I42)/(569-57)),0)</f>
        <v>4.2837685032894736E-2</v>
      </c>
      <c r="AF42" s="30">
        <f>IF(D42&gt;0,((J42*((3*57)+D42))/(4*D42*57))*(1-(D42-J42)/(569-57)),0)</f>
        <v>0</v>
      </c>
      <c r="AG42" s="30">
        <f>IF(E42&gt;0,((K42*((3*57)+E42))/(4*E42*57))*(1-(E42-K42)/(569-57)),0)</f>
        <v>0</v>
      </c>
      <c r="AH42" s="30">
        <f>IF(F42&gt;0,((L42*((3*57)+F42))/(4*F42*57))*(1-(F42-L42)/(569-57)),0)</f>
        <v>0</v>
      </c>
      <c r="AI42" s="30">
        <f>IF(G42&gt;0,((M42*((3*57)+G42))/(4*G42*57))*(1-(G42-M42)/(569-57)),0)</f>
        <v>0</v>
      </c>
      <c r="AY42" t="s">
        <v>32</v>
      </c>
      <c r="AZ42" t="str">
        <f>IF(COUNTIF(W11:AA11,AZ29), B11, IF(COUNTIF(W12:AA12,AZ29), B12, IF(COUNTIF(W13:AA13,AZ29), B13, B14)))</f>
        <v>dE</v>
      </c>
    </row>
    <row r="43" spans="1:71" x14ac:dyDescent="0.3">
      <c r="A43" s="31" t="s">
        <v>35</v>
      </c>
      <c r="B43" t="s">
        <v>27</v>
      </c>
      <c r="C43">
        <v>518</v>
      </c>
      <c r="D43">
        <v>131</v>
      </c>
      <c r="E43">
        <v>6</v>
      </c>
      <c r="F43">
        <v>0</v>
      </c>
      <c r="G43">
        <v>0</v>
      </c>
      <c r="I43">
        <v>38</v>
      </c>
      <c r="J43">
        <v>12</v>
      </c>
      <c r="K43">
        <v>0</v>
      </c>
      <c r="L43">
        <v>0</v>
      </c>
      <c r="M43">
        <v>0</v>
      </c>
      <c r="O43" s="2">
        <f t="shared" si="20"/>
        <v>7.3359073359073365E-2</v>
      </c>
      <c r="P43" s="2">
        <f t="shared" si="21"/>
        <v>9.1603053435114504E-2</v>
      </c>
      <c r="Q43" s="2">
        <f t="shared" si="22"/>
        <v>0</v>
      </c>
      <c r="R43" s="2">
        <f t="shared" si="23"/>
        <v>0</v>
      </c>
      <c r="S43" s="2">
        <f t="shared" si="24"/>
        <v>0</v>
      </c>
      <c r="T43" s="2"/>
      <c r="U43" s="2">
        <f>39/569</f>
        <v>6.8541300527240778E-2</v>
      </c>
      <c r="V43" s="2"/>
      <c r="W43" s="3">
        <f t="shared" si="17"/>
        <v>1.0702900702900704</v>
      </c>
      <c r="X43" s="3">
        <f t="shared" si="18"/>
        <v>1.3364650616559013</v>
      </c>
      <c r="Y43" s="3">
        <f t="shared" si="19"/>
        <v>0</v>
      </c>
      <c r="Z43" s="3">
        <f t="shared" si="15"/>
        <v>0</v>
      </c>
      <c r="AA43" s="3">
        <f t="shared" si="16"/>
        <v>0</v>
      </c>
      <c r="AB43" s="3">
        <f t="shared" si="25"/>
        <v>1.3364650616559013</v>
      </c>
      <c r="AC43" s="41">
        <f t="shared" si="9"/>
        <v>131</v>
      </c>
      <c r="AD43" s="41" t="str">
        <f t="shared" si="10"/>
        <v>4</v>
      </c>
      <c r="AE43" s="3">
        <f>IF(C43&gt;0,((I43*((3*39)+C43))/(4*C43*39))*(1-(C43-I43)/(569-39)),0)</f>
        <v>2.8170664963117788E-2</v>
      </c>
      <c r="AF43" s="3">
        <f>IF(D43&gt;0,((J43*((3*39)+D43))/(4*D43*39))*(1-(D43-J43)/(569-39)),0)</f>
        <v>0.11292835063539369</v>
      </c>
      <c r="AG43" s="3">
        <f>IF(E43&gt;0,((K43*((3*39)+E43))/(4*E43*39))*(1-(E43-K43)/(569-39)),0)</f>
        <v>0</v>
      </c>
      <c r="AH43" s="3">
        <f>IF(F43&gt;0,((L43*((3*39)+F43))/(4*F43*39))*(1-(F43-L43)/(569-39)),0)</f>
        <v>0</v>
      </c>
      <c r="AI43" s="3">
        <f>IF(G43&gt;0,((M43*((3*39)+G43))/(4*G43*39))*(1-(G43-M43)/(569-39)),0)</f>
        <v>0</v>
      </c>
      <c r="AY43" t="s">
        <v>33</v>
      </c>
      <c r="AZ43" t="str">
        <f>IF(COUNTIF(W15:AA15,AZ30), B15, IF(COUNTIF(W16:AA16,AZ30), B16, IF(COUNTIF(W17:AA17,AZ30), B17, B18)))</f>
        <v>dU(class)</v>
      </c>
    </row>
    <row r="44" spans="1:71" x14ac:dyDescent="0.3">
      <c r="A44" s="31" t="s">
        <v>35</v>
      </c>
      <c r="B44" t="s">
        <v>28</v>
      </c>
      <c r="C44">
        <v>118</v>
      </c>
      <c r="D44">
        <v>10</v>
      </c>
      <c r="E44">
        <v>0</v>
      </c>
      <c r="F44">
        <v>0</v>
      </c>
      <c r="G44">
        <v>0</v>
      </c>
      <c r="I44">
        <v>20</v>
      </c>
      <c r="J44">
        <v>0</v>
      </c>
      <c r="K44">
        <v>0</v>
      </c>
      <c r="L44">
        <v>0</v>
      </c>
      <c r="M44">
        <v>0</v>
      </c>
      <c r="O44" s="2">
        <f t="shared" si="20"/>
        <v>0.16949152542372881</v>
      </c>
      <c r="P44" s="2">
        <f t="shared" si="21"/>
        <v>0</v>
      </c>
      <c r="Q44" s="2">
        <f t="shared" si="22"/>
        <v>0</v>
      </c>
      <c r="R44" s="2">
        <f t="shared" si="23"/>
        <v>0</v>
      </c>
      <c r="S44" s="2">
        <f t="shared" si="24"/>
        <v>0</v>
      </c>
      <c r="T44" s="2"/>
      <c r="U44" s="2">
        <f>39/569</f>
        <v>6.8541300527240778E-2</v>
      </c>
      <c r="V44" s="2"/>
      <c r="W44" s="3">
        <f t="shared" si="17"/>
        <v>2.4728378965667099</v>
      </c>
      <c r="X44" s="3">
        <f t="shared" si="18"/>
        <v>0</v>
      </c>
      <c r="Y44" s="3">
        <f t="shared" si="19"/>
        <v>0</v>
      </c>
      <c r="Z44" s="3">
        <f t="shared" si="15"/>
        <v>0</v>
      </c>
      <c r="AA44" s="3">
        <f t="shared" si="16"/>
        <v>0</v>
      </c>
      <c r="AB44" s="3">
        <f t="shared" si="25"/>
        <v>2.4728378965667099</v>
      </c>
      <c r="AC44" s="41">
        <f t="shared" si="9"/>
        <v>118</v>
      </c>
      <c r="AD44" s="41" t="str">
        <f t="shared" si="10"/>
        <v>3</v>
      </c>
      <c r="AE44" s="3">
        <f>IF(C44&gt;0,((I44*((3*39)+C44))/(4*C44*39))*(1-(C44-I44)/(569-39)),0)</f>
        <v>0.20811296155076137</v>
      </c>
      <c r="AF44" s="3">
        <f>IF(D44&gt;0,((J44*((3*39)+D44))/(4*D44*39))*(1-(D44-J44)/(569-39)),0)</f>
        <v>0</v>
      </c>
      <c r="AG44" s="3">
        <f>IF(E44&gt;0,((K44*((3*39)+E44))/(4*E44*39))*(1-(E44-K44)/(569-39)),0)</f>
        <v>0</v>
      </c>
      <c r="AH44" s="3">
        <f>IF(F44&gt;0,((L44*((3*39)+F44))/(4*F44*39))*(1-(F44-L44)/(569-39)),0)</f>
        <v>0</v>
      </c>
      <c r="AI44" s="3">
        <f>IF(G44&gt;0,((M44*((3*39)+G44))/(4*G44*39))*(1-(G44-M44)/(569-39)),0)</f>
        <v>0</v>
      </c>
      <c r="AY44" t="s">
        <v>34</v>
      </c>
      <c r="AZ44" t="str">
        <f>IF(COUNTIF(W19:AA19,AZ31), B19, IF(COUNTIF(W20:AA20,AZ31), B20, IF(COUNTIF(W21:AA21,AZ31), B21, B22)))</f>
        <v>dE</v>
      </c>
    </row>
    <row r="45" spans="1:71" x14ac:dyDescent="0.3">
      <c r="A45" s="31" t="s">
        <v>35</v>
      </c>
      <c r="B45" t="s">
        <v>29</v>
      </c>
      <c r="C45">
        <v>568</v>
      </c>
      <c r="D45">
        <v>528</v>
      </c>
      <c r="E45">
        <v>223</v>
      </c>
      <c r="F45">
        <v>17</v>
      </c>
      <c r="G45">
        <v>0</v>
      </c>
      <c r="I45">
        <v>39</v>
      </c>
      <c r="J45">
        <v>37</v>
      </c>
      <c r="K45">
        <v>16</v>
      </c>
      <c r="L45">
        <v>1</v>
      </c>
      <c r="M45">
        <v>0</v>
      </c>
      <c r="O45" s="2">
        <f t="shared" si="20"/>
        <v>6.8661971830985921E-2</v>
      </c>
      <c r="P45" s="2">
        <f t="shared" si="21"/>
        <v>7.0075757575757569E-2</v>
      </c>
      <c r="Q45" s="2">
        <f t="shared" si="22"/>
        <v>7.1748878923766815E-2</v>
      </c>
      <c r="R45" s="2">
        <f t="shared" si="23"/>
        <v>5.8823529411764705E-2</v>
      </c>
      <c r="S45" s="2">
        <f t="shared" si="24"/>
        <v>0</v>
      </c>
      <c r="T45" s="2"/>
      <c r="U45" s="2">
        <f>39/569</f>
        <v>6.8541300527240778E-2</v>
      </c>
      <c r="V45" s="2"/>
      <c r="W45" s="3">
        <f t="shared" si="17"/>
        <v>1.0017605633802817</v>
      </c>
      <c r="X45" s="3">
        <f t="shared" si="18"/>
        <v>1.0223873348873347</v>
      </c>
      <c r="Y45" s="3">
        <f t="shared" si="19"/>
        <v>1.0467977463493157</v>
      </c>
      <c r="Z45" s="3">
        <f t="shared" si="15"/>
        <v>0.85822021116138758</v>
      </c>
      <c r="AA45" s="3">
        <f t="shared" si="16"/>
        <v>0</v>
      </c>
      <c r="AB45" s="3">
        <f t="shared" si="25"/>
        <v>1.0467977463493157</v>
      </c>
      <c r="AC45" s="41">
        <f t="shared" si="9"/>
        <v>223</v>
      </c>
      <c r="AD45" s="41" t="str">
        <f t="shared" si="10"/>
        <v>5</v>
      </c>
      <c r="AE45" s="3">
        <f>IF(C45&gt;0,((I45*((3*39)+C45))/(4*C45*39))*(1-(C45-I45)/(569-39)),0)</f>
        <v>5.6886128089290446E-4</v>
      </c>
      <c r="AF45" s="3">
        <f>IF(D45&gt;0,((J45*((3*39)+D45))/(4*D45*39))*(1-(D45-J45)/(569-39)),0)</f>
        <v>2.1320218696397934E-2</v>
      </c>
      <c r="AG45" s="3">
        <f>IF(E45&gt;0,((K45*((3*39)+E45))/(4*E45*39))*(1-(E45-K45)/(569-39)),0)</f>
        <v>9.530070008959933E-2</v>
      </c>
      <c r="AH45" s="3">
        <f>IF(F45&gt;0,((L45*((3*39)+F45))/(4*F45*39))*(1-(F45-L45)/(569-39)),0)</f>
        <v>4.9002532798315263E-2</v>
      </c>
      <c r="AI45" s="3">
        <f>IF(G45&gt;0,((M45*((3*39)+G45))/(4*G45*39))*(1-(G45-M45)/(569-39)),0)</f>
        <v>0</v>
      </c>
      <c r="AY45" t="s">
        <v>35</v>
      </c>
      <c r="AZ45" t="str">
        <f>IF(COUNTIF(W23:AA23,AZ32), B23, IF(COUNTIF(W24:AA24,AZ32), B24, IF(COUNTIF(W25:AA25,AZ32), B25, B26)))</f>
        <v>dU</v>
      </c>
    </row>
    <row r="46" spans="1:71" x14ac:dyDescent="0.3">
      <c r="A46" s="31" t="s">
        <v>35</v>
      </c>
      <c r="B46" s="1" t="s">
        <v>30</v>
      </c>
      <c r="C46" s="1">
        <v>499</v>
      </c>
      <c r="D46" s="1">
        <v>21</v>
      </c>
      <c r="E46" s="1">
        <v>0</v>
      </c>
      <c r="F46" s="1">
        <v>0</v>
      </c>
      <c r="G46" s="1">
        <v>0</v>
      </c>
      <c r="H46" s="1"/>
      <c r="I46" s="1">
        <v>37</v>
      </c>
      <c r="J46" s="1">
        <v>0</v>
      </c>
      <c r="K46" s="1">
        <v>0</v>
      </c>
      <c r="L46" s="1">
        <v>0</v>
      </c>
      <c r="M46" s="1">
        <v>0</v>
      </c>
      <c r="N46" s="1"/>
      <c r="O46" s="9">
        <f t="shared" si="20"/>
        <v>7.4148296593186377E-2</v>
      </c>
      <c r="P46" s="9">
        <f t="shared" si="21"/>
        <v>0</v>
      </c>
      <c r="Q46" s="9">
        <f t="shared" si="22"/>
        <v>0</v>
      </c>
      <c r="R46" s="9">
        <f t="shared" si="23"/>
        <v>0</v>
      </c>
      <c r="S46" s="9">
        <f t="shared" si="24"/>
        <v>0</v>
      </c>
      <c r="T46" s="9"/>
      <c r="U46" s="9">
        <f>39/569</f>
        <v>6.8541300527240778E-2</v>
      </c>
      <c r="V46" s="9"/>
      <c r="W46" s="10">
        <f t="shared" si="17"/>
        <v>1.0818046349108472</v>
      </c>
      <c r="X46" s="10">
        <f t="shared" si="18"/>
        <v>0</v>
      </c>
      <c r="Y46" s="10">
        <f t="shared" si="19"/>
        <v>0</v>
      </c>
      <c r="Z46" s="10">
        <f t="shared" si="15"/>
        <v>0</v>
      </c>
      <c r="AA46" s="10">
        <f t="shared" si="16"/>
        <v>0</v>
      </c>
      <c r="AB46" s="10">
        <f t="shared" si="25"/>
        <v>1.0818046349108472</v>
      </c>
      <c r="AC46" s="42">
        <f t="shared" si="9"/>
        <v>499</v>
      </c>
      <c r="AD46" s="42" t="str">
        <f t="shared" si="10"/>
        <v>3</v>
      </c>
      <c r="AE46" s="10">
        <f>IF(C46&gt;0,((I46*((3*39)+C46))/(4*C46*39))*(1-(C46-I46)/(569-39)),0)</f>
        <v>3.7565600480108735E-2</v>
      </c>
      <c r="AF46" s="10">
        <f>IF(D46&gt;0,((J46*((3*39)+D46))/(4*D46*39))*(1-(D46-J46)/(569-39)),0)</f>
        <v>0</v>
      </c>
      <c r="AG46" s="10">
        <f>IF(E46&gt;0,((K46*((3*39)+E46))/(4*E46*39))*(1-(E46-K46)/(569-39)),0)</f>
        <v>0</v>
      </c>
      <c r="AH46" s="10">
        <f>IF(F46&gt;0,((L46*((3*39)+F46))/(4*F46*39))*(1-(F46-L46)/(569-39)),0)</f>
        <v>0</v>
      </c>
      <c r="AI46" s="10">
        <f>IF(G46&gt;0,((M46*((3*39)+G46))/(4*G46*39))*(1-(G46-M46)/(569-39)),0)</f>
        <v>0</v>
      </c>
      <c r="AY46" t="s">
        <v>37</v>
      </c>
      <c r="AZ46" t="str">
        <f>IF(COUNTIF(W27:AA27,AZ33), B27, IF(COUNTIF(W28:AA28,AZ33), B28, IF(COUNTIF(W29:AA29,AZ33), B29, B30)))</f>
        <v>dE(class)</v>
      </c>
    </row>
    <row r="47" spans="1:71" x14ac:dyDescent="0.3">
      <c r="A47" s="31" t="s">
        <v>37</v>
      </c>
      <c r="B47" t="s">
        <v>27</v>
      </c>
      <c r="C47">
        <v>532</v>
      </c>
      <c r="D47">
        <v>152</v>
      </c>
      <c r="E47">
        <v>13</v>
      </c>
      <c r="F47">
        <v>0</v>
      </c>
      <c r="G47">
        <v>0</v>
      </c>
      <c r="I47">
        <v>56</v>
      </c>
      <c r="J47">
        <v>14</v>
      </c>
      <c r="K47">
        <v>0</v>
      </c>
      <c r="L47">
        <v>0</v>
      </c>
      <c r="M47">
        <v>0</v>
      </c>
      <c r="O47" s="2">
        <f t="shared" si="20"/>
        <v>0.10526315789473684</v>
      </c>
      <c r="P47" s="2">
        <f t="shared" si="21"/>
        <v>9.2105263157894732E-2</v>
      </c>
      <c r="Q47" s="2">
        <f t="shared" si="22"/>
        <v>0</v>
      </c>
      <c r="R47" s="2">
        <f t="shared" si="23"/>
        <v>0</v>
      </c>
      <c r="S47" s="2">
        <f t="shared" si="24"/>
        <v>0</v>
      </c>
      <c r="T47" s="2"/>
      <c r="U47" s="2">
        <f>56/569</f>
        <v>9.8418277680140595E-2</v>
      </c>
      <c r="V47" s="2"/>
      <c r="W47" s="3">
        <f t="shared" si="17"/>
        <v>1.0695488721804511</v>
      </c>
      <c r="X47" s="3">
        <f t="shared" si="18"/>
        <v>0.93585526315789469</v>
      </c>
      <c r="Y47" s="3">
        <f t="shared" si="19"/>
        <v>0</v>
      </c>
      <c r="Z47" s="3">
        <f t="shared" si="15"/>
        <v>0</v>
      </c>
      <c r="AA47" s="3">
        <f t="shared" si="16"/>
        <v>0</v>
      </c>
      <c r="AB47" s="3">
        <f t="shared" si="25"/>
        <v>1.0695488721804511</v>
      </c>
      <c r="AC47" s="41">
        <f t="shared" si="9"/>
        <v>532</v>
      </c>
      <c r="AD47" s="41" t="str">
        <f t="shared" si="10"/>
        <v>3</v>
      </c>
      <c r="AE47" s="3">
        <f>IF(C47&gt;0,((I47*((3*56)+C47))/(4*C47*56))*(1-(C47-I47)/(569-56)),0)</f>
        <v>2.372524879450089E-2</v>
      </c>
      <c r="AF47" s="3">
        <f>IF(D47&gt;0,((J47*((3*56)+D47))/(4*D47*56))*(1-(D47-J47)/(569-56)),0)</f>
        <v>9.6183441058787317E-2</v>
      </c>
      <c r="AG47" s="3">
        <f>IF(E47&gt;0,((K47*((3*56)+E47))/(4*E47*56))*(1-(E47-K47)/(569-56)),0)</f>
        <v>0</v>
      </c>
      <c r="AH47" s="3">
        <f>IF(F47&gt;0,((L47*((3*56)+F47))/(4*F47*56))*(1-(F47-L47)/(569-56)),0)</f>
        <v>0</v>
      </c>
      <c r="AI47" s="3">
        <f>IF(G47&gt;0,((M47*((3*56)+G47))/(4*G47*56))*(1-(G47-M47)/(569-56)),0)</f>
        <v>0</v>
      </c>
      <c r="AY47" t="s">
        <v>38</v>
      </c>
      <c r="AZ47" t="str">
        <f>IF(COUNTIF(W31:AA31,AZ34), B31, IF(COUNTIF(W32:AA32,AZ34), B32, IF(COUNTIF(W33:AA33,AZ34), B33, B34)))</f>
        <v>dU(class)</v>
      </c>
    </row>
    <row r="48" spans="1:71" x14ac:dyDescent="0.3">
      <c r="A48" s="31" t="s">
        <v>37</v>
      </c>
      <c r="B48" t="s">
        <v>28</v>
      </c>
      <c r="C48">
        <v>513</v>
      </c>
      <c r="D48">
        <v>151</v>
      </c>
      <c r="E48">
        <v>8</v>
      </c>
      <c r="F48">
        <v>1</v>
      </c>
      <c r="G48">
        <v>0</v>
      </c>
      <c r="I48">
        <v>56</v>
      </c>
      <c r="J48">
        <v>22</v>
      </c>
      <c r="K48">
        <v>0</v>
      </c>
      <c r="L48">
        <v>0</v>
      </c>
      <c r="M48">
        <v>0</v>
      </c>
      <c r="O48" s="2">
        <f t="shared" si="20"/>
        <v>0.10916179337231968</v>
      </c>
      <c r="P48" s="2">
        <f t="shared" si="21"/>
        <v>0.14569536423841059</v>
      </c>
      <c r="Q48" s="2">
        <f t="shared" si="22"/>
        <v>0</v>
      </c>
      <c r="R48" s="2">
        <f t="shared" si="23"/>
        <v>0</v>
      </c>
      <c r="S48" s="2">
        <f t="shared" si="24"/>
        <v>0</v>
      </c>
      <c r="T48" s="2"/>
      <c r="U48" s="2">
        <f>56/569</f>
        <v>9.8418277680140595E-2</v>
      </c>
      <c r="V48" s="2"/>
      <c r="W48" s="3">
        <f t="shared" si="17"/>
        <v>1.1091617933723197</v>
      </c>
      <c r="X48" s="3">
        <f t="shared" si="18"/>
        <v>1.4803689687795647</v>
      </c>
      <c r="Y48" s="3">
        <f t="shared" si="19"/>
        <v>0</v>
      </c>
      <c r="Z48" s="3">
        <f t="shared" si="15"/>
        <v>0</v>
      </c>
      <c r="AA48" s="3">
        <f t="shared" si="16"/>
        <v>0</v>
      </c>
      <c r="AB48" s="3">
        <f t="shared" si="25"/>
        <v>1.4803689687795647</v>
      </c>
      <c r="AC48" s="41">
        <f t="shared" si="9"/>
        <v>151</v>
      </c>
      <c r="AD48" s="41" t="str">
        <f t="shared" si="10"/>
        <v>4</v>
      </c>
      <c r="AE48" s="3">
        <f>IF(C48&gt;0,((I48*((3*56)+C48))/(4*C48*56))*(1-(C48-I48)/(569-56)),0)</f>
        <v>3.6227671192275684E-2</v>
      </c>
      <c r="AF48" s="3">
        <f>IF(D48&gt;0,((J48*((3*56)+D48))/(4*D48*56))*(1-(D48-J48)/(569-56)),0)</f>
        <v>0.15531101484395313</v>
      </c>
      <c r="AG48" s="3">
        <f>IF(E48&gt;0,((K48*((3*56)+E48))/(4*E48*56))*(1-(E48-K48)/(569-56)),0)</f>
        <v>0</v>
      </c>
      <c r="AH48" s="3">
        <f>IF(F48&gt;0,((L48*((3*56)+F48))/(4*F48*56))*(1-(F48-L48)/(569-56)),0)</f>
        <v>0</v>
      </c>
      <c r="AI48" s="3">
        <f>IF(G48&gt;0,((M48*((3*56)+G48))/(4*G48*56))*(1-(G48-M48)/(569-56)),0)</f>
        <v>0</v>
      </c>
    </row>
    <row r="49" spans="1:53" x14ac:dyDescent="0.3">
      <c r="A49" s="31" t="s">
        <v>37</v>
      </c>
      <c r="B49" t="s">
        <v>29</v>
      </c>
      <c r="C49">
        <v>544</v>
      </c>
      <c r="D49">
        <v>261</v>
      </c>
      <c r="E49">
        <v>24</v>
      </c>
      <c r="F49">
        <v>1</v>
      </c>
      <c r="G49">
        <v>0</v>
      </c>
      <c r="I49">
        <v>56</v>
      </c>
      <c r="J49">
        <v>32</v>
      </c>
      <c r="K49">
        <v>1</v>
      </c>
      <c r="L49">
        <v>0</v>
      </c>
      <c r="M49">
        <v>0</v>
      </c>
      <c r="O49" s="2">
        <f t="shared" si="20"/>
        <v>0.10294117647058823</v>
      </c>
      <c r="P49" s="2">
        <f t="shared" si="21"/>
        <v>0.12260536398467432</v>
      </c>
      <c r="Q49" s="2">
        <f t="shared" si="22"/>
        <v>4.1666666666666664E-2</v>
      </c>
      <c r="R49" s="2">
        <f t="shared" si="23"/>
        <v>0</v>
      </c>
      <c r="S49" s="2">
        <f t="shared" si="24"/>
        <v>0</v>
      </c>
      <c r="T49" s="2"/>
      <c r="U49" s="2">
        <f>56/569</f>
        <v>9.8418277680140595E-2</v>
      </c>
      <c r="V49" s="2"/>
      <c r="W49" s="3">
        <f t="shared" si="17"/>
        <v>1.0459558823529411</v>
      </c>
      <c r="X49" s="3">
        <f t="shared" si="18"/>
        <v>1.2457580733442801</v>
      </c>
      <c r="Y49" s="3">
        <f t="shared" si="19"/>
        <v>0.42336309523809523</v>
      </c>
      <c r="Z49" s="3">
        <f t="shared" si="15"/>
        <v>0</v>
      </c>
      <c r="AA49" s="3">
        <f t="shared" si="16"/>
        <v>0</v>
      </c>
      <c r="AB49" s="26">
        <f t="shared" si="25"/>
        <v>1.2457580733442801</v>
      </c>
      <c r="AC49" s="43">
        <f t="shared" si="9"/>
        <v>261</v>
      </c>
      <c r="AD49" s="43" t="str">
        <f t="shared" si="10"/>
        <v>4</v>
      </c>
      <c r="AE49" s="3">
        <f>IF(C49&gt;0,((I49*((3*56)+C49))/(4*C49*56))*(1-(C49-I49)/(569-56)),0)</f>
        <v>1.594570576768721E-2</v>
      </c>
      <c r="AF49" s="3">
        <f>IF(D49&gt;0,((J49*((3*56)+D49))/(4*D49*56))*(1-(D49-J49)/(569-56)),0)</f>
        <v>0.12999292612117777</v>
      </c>
      <c r="AG49" s="3">
        <f>IF(E49&gt;0,((K49*((3*56)+E49))/(4*E49*56))*(1-(E49-K49)/(569-56)),0)</f>
        <v>3.4113060428849901E-2</v>
      </c>
      <c r="AH49" s="3">
        <f>IF(F49&gt;0,((L49*((3*56)+F49))/(4*F49*56))*(1-(F49-L49)/(569-56)),0)</f>
        <v>0</v>
      </c>
      <c r="AI49" s="3">
        <f>IF(G49&gt;0,((M49*((3*56)+G49))/(4*G49*56))*(1-(G49-M49)/(569-56)),0)</f>
        <v>0</v>
      </c>
      <c r="AY49" t="s">
        <v>46</v>
      </c>
      <c r="AZ49" t="s">
        <v>47</v>
      </c>
    </row>
    <row r="50" spans="1:53" x14ac:dyDescent="0.3">
      <c r="A50" s="31" t="s">
        <v>37</v>
      </c>
      <c r="B50" s="1" t="s">
        <v>30</v>
      </c>
      <c r="C50" s="1">
        <v>32</v>
      </c>
      <c r="D50" s="1">
        <v>4</v>
      </c>
      <c r="E50" s="1">
        <v>1</v>
      </c>
      <c r="F50" s="1">
        <v>0</v>
      </c>
      <c r="G50" s="1">
        <v>0</v>
      </c>
      <c r="H50" s="1"/>
      <c r="I50" s="1">
        <v>3</v>
      </c>
      <c r="J50" s="1">
        <v>1</v>
      </c>
      <c r="K50" s="1">
        <v>1</v>
      </c>
      <c r="L50" s="1">
        <v>0</v>
      </c>
      <c r="M50" s="1">
        <v>0</v>
      </c>
      <c r="N50" s="1"/>
      <c r="O50" s="9">
        <f t="shared" si="20"/>
        <v>9.375E-2</v>
      </c>
      <c r="P50" s="9">
        <f t="shared" si="21"/>
        <v>0.25</v>
      </c>
      <c r="Q50" s="9">
        <f t="shared" si="22"/>
        <v>1</v>
      </c>
      <c r="R50" s="9">
        <f t="shared" si="23"/>
        <v>0</v>
      </c>
      <c r="S50" s="9">
        <f t="shared" si="24"/>
        <v>0</v>
      </c>
      <c r="T50" s="9"/>
      <c r="U50" s="9">
        <f>56/569</f>
        <v>9.8418277680140595E-2</v>
      </c>
      <c r="V50" s="9"/>
      <c r="W50" s="10">
        <f t="shared" si="17"/>
        <v>0.9525669642857143</v>
      </c>
      <c r="X50" s="10">
        <f t="shared" si="18"/>
        <v>2.5401785714285716</v>
      </c>
      <c r="Y50" s="10">
        <f t="shared" si="19"/>
        <v>10.160714285714286</v>
      </c>
      <c r="Z50" s="10">
        <f t="shared" si="15"/>
        <v>0</v>
      </c>
      <c r="AA50" s="10">
        <f t="shared" si="16"/>
        <v>0</v>
      </c>
      <c r="AB50" s="10">
        <f t="shared" si="25"/>
        <v>10.160714285714286</v>
      </c>
      <c r="AC50" s="42">
        <f t="shared" si="9"/>
        <v>1</v>
      </c>
      <c r="AD50" s="42" t="str">
        <f t="shared" si="10"/>
        <v>5</v>
      </c>
      <c r="AE50" s="10">
        <f>IF(C50&gt;0,((I50*((3*56)+C50))/(4*C50*56))*(1-(C50-I50)/(569-56)),0)</f>
        <v>7.8973475355054293E-2</v>
      </c>
      <c r="AF50" s="10">
        <f>IF(D50&gt;0,((J50*((3*56)+D50))/(4*D50*56))*(1-(D50-J50)/(569-56)),0)</f>
        <v>0.1908416875522139</v>
      </c>
      <c r="AG50" s="10">
        <f>IF(E50&gt;0,((K50*((3*56)+E50))/(4*E50*56))*(1-(E50-K50)/(569-56)),0)</f>
        <v>0.7544642857142857</v>
      </c>
      <c r="AH50" s="10">
        <f>IF(F50&gt;0,((L50*((3*56)+F50))/(4*F50*56))*(1-(F50-L50)/(569-56)),0)</f>
        <v>0</v>
      </c>
      <c r="AI50" s="10">
        <f>IF(G50&gt;0,((M50*((3*56)+G50))/(4*G50*56))*(1-(G50-M50)/(569-56)),0)</f>
        <v>0</v>
      </c>
      <c r="AY50" t="s">
        <v>27</v>
      </c>
      <c r="AZ50">
        <f>COUNTIF(AZ$40:AZ$47, AY50)</f>
        <v>1</v>
      </c>
    </row>
    <row r="51" spans="1:53" x14ac:dyDescent="0.3">
      <c r="A51" s="31" t="s">
        <v>38</v>
      </c>
      <c r="B51" t="s">
        <v>27</v>
      </c>
      <c r="C51">
        <v>568</v>
      </c>
      <c r="D51">
        <v>487</v>
      </c>
      <c r="E51">
        <v>63</v>
      </c>
      <c r="F51">
        <v>1</v>
      </c>
      <c r="G51">
        <v>0</v>
      </c>
      <c r="I51">
        <v>53</v>
      </c>
      <c r="J51">
        <v>50</v>
      </c>
      <c r="K51">
        <v>8</v>
      </c>
      <c r="L51">
        <v>0</v>
      </c>
      <c r="M51">
        <v>0</v>
      </c>
      <c r="O51" s="2">
        <f t="shared" si="20"/>
        <v>9.3309859154929578E-2</v>
      </c>
      <c r="P51" s="2">
        <f t="shared" si="21"/>
        <v>0.10266940451745379</v>
      </c>
      <c r="Q51" s="2">
        <f t="shared" si="22"/>
        <v>0.12698412698412698</v>
      </c>
      <c r="R51" s="2">
        <f t="shared" si="23"/>
        <v>0</v>
      </c>
      <c r="S51" s="2">
        <f t="shared" si="24"/>
        <v>0</v>
      </c>
      <c r="T51" s="2"/>
      <c r="U51" s="2">
        <f>53/569</f>
        <v>9.3145869947275917E-2</v>
      </c>
      <c r="V51" s="2"/>
      <c r="W51" s="3">
        <f t="shared" si="17"/>
        <v>1.0017605633802817</v>
      </c>
      <c r="X51" s="3">
        <f t="shared" si="18"/>
        <v>1.1022432296307776</v>
      </c>
      <c r="Y51" s="3">
        <f t="shared" si="19"/>
        <v>1.3632824198861935</v>
      </c>
      <c r="Z51" s="3">
        <f t="shared" si="15"/>
        <v>0</v>
      </c>
      <c r="AA51" s="3">
        <f t="shared" si="16"/>
        <v>0</v>
      </c>
      <c r="AB51" s="3">
        <f t="shared" si="25"/>
        <v>1.3632824198861935</v>
      </c>
      <c r="AC51" s="41">
        <f t="shared" si="9"/>
        <v>63</v>
      </c>
      <c r="AD51" s="41" t="str">
        <f t="shared" si="10"/>
        <v>5</v>
      </c>
      <c r="AE51" s="3">
        <f>IF(C51&gt;0,((I51*((3*53)+C51))/(4*C51*53))*(1-(C51-I51)/(569-53)),0)</f>
        <v>6.2012091931433672E-4</v>
      </c>
      <c r="AF51" s="3">
        <f>IF(D51&gt;0,((J51*((3*53)+D51))/(4*D51*53))*(1-(D51-J51)/(569-53)),0)</f>
        <v>4.7897747459994686E-2</v>
      </c>
      <c r="AG51" s="3">
        <f>IF(E51&gt;0,((K51*((3*53)+E51))/(4*E51*53))*(1-(E51-K51)/(569-53)),0)</f>
        <v>0.1188003649609617</v>
      </c>
      <c r="AH51" s="3">
        <f>IF(F51&gt;0,((L51*((3*53)+F51))/(4*F51*53))*(1-(F51-L51)/(569-53)),0)</f>
        <v>0</v>
      </c>
      <c r="AI51" s="3">
        <f>IF(G51&gt;0,((M51*((3*53)+G51))/(4*G51*53))*(1-(G51-M51)/(569-53)),0)</f>
        <v>0</v>
      </c>
      <c r="AY51" t="s">
        <v>28</v>
      </c>
      <c r="AZ51">
        <f t="shared" ref="AZ51:AZ53" si="26">COUNTIF(AZ$40:AZ$47, AY51)</f>
        <v>3</v>
      </c>
    </row>
    <row r="52" spans="1:53" x14ac:dyDescent="0.3">
      <c r="A52" s="31" t="s">
        <v>38</v>
      </c>
      <c r="B52" t="s">
        <v>28</v>
      </c>
      <c r="C52">
        <v>559</v>
      </c>
      <c r="D52">
        <v>173</v>
      </c>
      <c r="E52">
        <v>3</v>
      </c>
      <c r="F52">
        <v>0</v>
      </c>
      <c r="G52">
        <v>0</v>
      </c>
      <c r="I52">
        <v>52</v>
      </c>
      <c r="J52">
        <v>21</v>
      </c>
      <c r="K52">
        <v>0</v>
      </c>
      <c r="L52">
        <v>0</v>
      </c>
      <c r="M52">
        <v>0</v>
      </c>
      <c r="O52" s="2">
        <f t="shared" si="20"/>
        <v>9.3023255813953487E-2</v>
      </c>
      <c r="P52" s="2">
        <f t="shared" si="21"/>
        <v>0.12138728323699421</v>
      </c>
      <c r="Q52" s="2">
        <f t="shared" si="22"/>
        <v>0</v>
      </c>
      <c r="R52" s="2">
        <f t="shared" si="23"/>
        <v>0</v>
      </c>
      <c r="S52" s="2">
        <f t="shared" si="24"/>
        <v>0</v>
      </c>
      <c r="T52" s="2"/>
      <c r="U52" s="2">
        <f>53/569</f>
        <v>9.3145869947275917E-2</v>
      </c>
      <c r="V52" s="2"/>
      <c r="W52" s="3">
        <f t="shared" si="17"/>
        <v>0.99868363317244413</v>
      </c>
      <c r="X52" s="3">
        <f t="shared" si="18"/>
        <v>1.3031955502235795</v>
      </c>
      <c r="Y52" s="3">
        <f t="shared" si="19"/>
        <v>0</v>
      </c>
      <c r="Z52" s="3">
        <f t="shared" si="15"/>
        <v>0</v>
      </c>
      <c r="AA52" s="3">
        <f t="shared" si="16"/>
        <v>0</v>
      </c>
      <c r="AB52" s="3">
        <f t="shared" si="25"/>
        <v>1.3031955502235795</v>
      </c>
      <c r="AC52" s="41">
        <f t="shared" si="9"/>
        <v>173</v>
      </c>
      <c r="AD52" s="41" t="str">
        <f t="shared" si="10"/>
        <v>4</v>
      </c>
      <c r="AE52" s="3">
        <f>IF(C52&gt;0,((I52*((3*53)+C52))/(4*C52*53))*(1-(C52-I52)/(569-53)),0)</f>
        <v>5.4950661754951781E-3</v>
      </c>
      <c r="AF52" s="3">
        <f>IF(D52&gt;0,((J52*((3*53)+D52))/(4*D52*53))*(1-(D52-J52)/(569-53)),0)</f>
        <v>0.13409948080869055</v>
      </c>
      <c r="AG52" s="3">
        <f>IF(E52&gt;0,((K52*((3*53)+E52))/(4*E52*53))*(1-(E52-K52)/(569-53)),0)</f>
        <v>0</v>
      </c>
      <c r="AH52" s="3">
        <f>IF(F52&gt;0,((L52*((3*53)+F52))/(4*F52*53))*(1-(F52-L52)/(569-53)),0)</f>
        <v>0</v>
      </c>
      <c r="AI52" s="3">
        <f>IF(G52&gt;0,((M52*((3*53)+G52))/(4*G52*53))*(1-(G52-M52)/(569-53)),0)</f>
        <v>0</v>
      </c>
      <c r="AY52" t="s">
        <v>29</v>
      </c>
      <c r="AZ52">
        <f t="shared" si="26"/>
        <v>2</v>
      </c>
    </row>
    <row r="53" spans="1:53" x14ac:dyDescent="0.3">
      <c r="A53" s="31" t="s">
        <v>38</v>
      </c>
      <c r="B53" t="s">
        <v>29</v>
      </c>
      <c r="C53">
        <v>566</v>
      </c>
      <c r="D53">
        <v>465</v>
      </c>
      <c r="E53">
        <v>35</v>
      </c>
      <c r="F53">
        <v>3</v>
      </c>
      <c r="G53">
        <v>0</v>
      </c>
      <c r="I53">
        <v>53</v>
      </c>
      <c r="J53">
        <v>49</v>
      </c>
      <c r="K53">
        <v>1</v>
      </c>
      <c r="L53">
        <v>0</v>
      </c>
      <c r="M53">
        <v>0</v>
      </c>
      <c r="O53" s="2">
        <f t="shared" si="20"/>
        <v>9.3639575971731448E-2</v>
      </c>
      <c r="P53" s="2">
        <f t="shared" si="21"/>
        <v>0.10537634408602151</v>
      </c>
      <c r="Q53" s="2">
        <f t="shared" si="22"/>
        <v>2.8571428571428571E-2</v>
      </c>
      <c r="R53" s="2">
        <f t="shared" si="23"/>
        <v>0</v>
      </c>
      <c r="S53" s="2">
        <f t="shared" si="24"/>
        <v>0</v>
      </c>
      <c r="T53" s="2"/>
      <c r="U53" s="2">
        <f>53/569</f>
        <v>9.3145869947275917E-2</v>
      </c>
      <c r="V53" s="2"/>
      <c r="W53" s="3">
        <f t="shared" si="17"/>
        <v>1.0053003533568905</v>
      </c>
      <c r="X53" s="3">
        <f t="shared" si="18"/>
        <v>1.1313045242442687</v>
      </c>
      <c r="Y53" s="3">
        <f t="shared" si="19"/>
        <v>0.30673854447439353</v>
      </c>
      <c r="Z53" s="3">
        <f t="shared" si="15"/>
        <v>0</v>
      </c>
      <c r="AA53" s="3">
        <f t="shared" si="16"/>
        <v>0</v>
      </c>
      <c r="AB53" s="3">
        <f t="shared" si="25"/>
        <v>1.1313045242442687</v>
      </c>
      <c r="AC53" s="41">
        <f t="shared" si="9"/>
        <v>465</v>
      </c>
      <c r="AD53" s="41" t="str">
        <f t="shared" si="10"/>
        <v>4</v>
      </c>
      <c r="AE53" s="3">
        <f>IF(C53&gt;0,((I53*((3*53)+C53))/(4*C53*53))*(1-(C53-I53)/(569-53)),0)</f>
        <v>1.8618004766209253E-3</v>
      </c>
      <c r="AF53" s="3">
        <f>IF(D53&gt;0,((J53*((3*53)+D53))/(4*D53*53))*(1-(D53-J53)/(569-53)),0)</f>
        <v>6.0109366964382613E-2</v>
      </c>
      <c r="AG53" s="3">
        <f>IF(E53&gt;0,((K53*((3*53)+E53))/(4*E53*53))*(1-(E53-K53)/(569-53)),0)</f>
        <v>2.442278359347249E-2</v>
      </c>
      <c r="AH53" s="3">
        <f>IF(F53&gt;0,((L53*((3*53)+F53))/(4*F53*53))*(1-(F53-L53)/(569-53)),0)</f>
        <v>0</v>
      </c>
      <c r="AI53" s="3">
        <f>IF(G53&gt;0,((M53*((3*53)+G53))/(4*G53*53))*(1-(G53-M53)/(569-53)),0)</f>
        <v>0</v>
      </c>
      <c r="AY53" t="s">
        <v>30</v>
      </c>
      <c r="AZ53">
        <f t="shared" si="26"/>
        <v>2</v>
      </c>
    </row>
    <row r="54" spans="1:53" x14ac:dyDescent="0.3">
      <c r="A54" s="32" t="s">
        <v>38</v>
      </c>
      <c r="B54" s="1" t="s">
        <v>30</v>
      </c>
      <c r="C54" s="1">
        <v>466</v>
      </c>
      <c r="D54" s="1">
        <v>7</v>
      </c>
      <c r="E54" s="1">
        <v>0</v>
      </c>
      <c r="F54" s="1">
        <v>0</v>
      </c>
      <c r="G54" s="1">
        <v>0</v>
      </c>
      <c r="H54" s="1"/>
      <c r="I54" s="1">
        <v>49</v>
      </c>
      <c r="J54" s="1">
        <v>0</v>
      </c>
      <c r="K54" s="1">
        <v>0</v>
      </c>
      <c r="L54" s="1">
        <v>0</v>
      </c>
      <c r="M54" s="1">
        <v>0</v>
      </c>
      <c r="N54" s="1"/>
      <c r="O54" s="9">
        <f t="shared" si="20"/>
        <v>0.10515021459227468</v>
      </c>
      <c r="P54" s="9">
        <f t="shared" si="21"/>
        <v>0</v>
      </c>
      <c r="Q54" s="9">
        <f t="shared" si="22"/>
        <v>0</v>
      </c>
      <c r="R54" s="9">
        <f t="shared" si="23"/>
        <v>0</v>
      </c>
      <c r="S54" s="9">
        <f t="shared" si="24"/>
        <v>0</v>
      </c>
      <c r="T54" s="9"/>
      <c r="U54" s="9">
        <f>53/569</f>
        <v>9.3145869947275917E-2</v>
      </c>
      <c r="V54" s="9"/>
      <c r="W54" s="10">
        <f t="shared" si="17"/>
        <v>1.1288768321321565</v>
      </c>
      <c r="X54" s="10">
        <f t="shared" si="18"/>
        <v>0</v>
      </c>
      <c r="Y54" s="10">
        <f t="shared" si="19"/>
        <v>0</v>
      </c>
      <c r="Z54" s="10">
        <f t="shared" si="15"/>
        <v>0</v>
      </c>
      <c r="AA54" s="10">
        <f t="shared" si="16"/>
        <v>0</v>
      </c>
      <c r="AB54" s="10">
        <f t="shared" si="25"/>
        <v>1.1288768321321565</v>
      </c>
      <c r="AC54" s="42">
        <f t="shared" si="9"/>
        <v>466</v>
      </c>
      <c r="AD54" s="42" t="str">
        <f t="shared" si="10"/>
        <v>3</v>
      </c>
      <c r="AE54" s="10">
        <f>IF(C54&gt;0,((I54*((3*53)+C54))/(4*C54*53))*(1-(C54-I54)/(569-53)),0)</f>
        <v>5.9475734312353701E-2</v>
      </c>
      <c r="AF54" s="10">
        <f>IF(D54&gt;0,((J54*((3*53)+D54))/(4*D54*53))*(1-(D54-J54)/(569-53)),0)</f>
        <v>0</v>
      </c>
      <c r="AG54" s="10">
        <f>IF(E54&gt;0,((K54*((3*53)+E54))/(4*E54*53))*(1-(E54-K54)/(569-53)),0)</f>
        <v>0</v>
      </c>
      <c r="AH54" s="10">
        <f>IF(F54&gt;0,((L54*((3*53)+F54))/(4*F54*53))*(1-(F54-L54)/(569-53)),0)</f>
        <v>0</v>
      </c>
      <c r="AI54" s="10">
        <f>IF(G54&gt;0,((M54*((3*53)+G54))/(4*G54*53))*(1-(G54-M54)/(569-53)),0)</f>
        <v>0</v>
      </c>
    </row>
    <row r="55" spans="1:53" x14ac:dyDescent="0.3">
      <c r="AY55" t="s">
        <v>46</v>
      </c>
      <c r="AZ55" t="s">
        <v>49</v>
      </c>
      <c r="BA55" t="s">
        <v>50</v>
      </c>
    </row>
    <row r="56" spans="1:53" x14ac:dyDescent="0.3">
      <c r="AY56" t="s">
        <v>27</v>
      </c>
      <c r="AZ56">
        <f>SUM(COUNTIF(AB3, "&gt;1.5"), COUNTIF(AB7, "&gt;1.5"), COUNTIF(AB11, "&gt;1.5"), COUNTIF(AB15, "&gt;1.5"), COUNTIF(AB19, "&gt;1.5"), COUNTIF(AB23, "&gt;1.5"), COUNTIF(AB27, "&gt;1.5"), COUNTIF(AB31, "&gt;1.5"))</f>
        <v>1</v>
      </c>
      <c r="BA56">
        <f>SUM(COUNTIF(AB3, "&gt;2"), COUNTIF(AB7, "&gt;2"), COUNTIF(AB11, "&gt;2"), COUNTIF(AB15, "&gt;2"), COUNTIF(AB19, "&gt;2"), COUNTIF(AB23, "&gt;2"), COUNTIF(AB27, "&gt;2"), COUNTIF(AB31, "&gt;2"))</f>
        <v>0</v>
      </c>
    </row>
    <row r="57" spans="1:53" x14ac:dyDescent="0.3">
      <c r="AY57" t="s">
        <v>28</v>
      </c>
      <c r="AZ57">
        <f>SUM(COUNTIF(AB4, "&gt;1.5"), COUNTIF(AB8, "&gt;1.5"), COUNTIF(AB12, "&gt;1.5"), COUNTIF(AB16, "&gt;1.5"), COUNTIF(AB20, "&gt;1.5"), COUNTIF(AB24, "&gt;1.5"), COUNTIF(AB28, "&gt;1.5"), COUNTIF(AB32, "&gt;1.5"))</f>
        <v>4</v>
      </c>
      <c r="BA57">
        <f t="shared" ref="BA57:BA59" si="27">SUM(COUNTIF(AB4, "&gt;2"), COUNTIF(AB8, "&gt;2"), COUNTIF(AB12, "&gt;2"), COUNTIF(AB16, "&gt;2"), COUNTIF(AB20, "&gt;2"), COUNTIF(AB24, "&gt;2"), COUNTIF(AB28, "&gt;2"), COUNTIF(AB32, "&gt;2"))</f>
        <v>3</v>
      </c>
    </row>
    <row r="58" spans="1:53" x14ac:dyDescent="0.3">
      <c r="AY58" t="s">
        <v>29</v>
      </c>
      <c r="AZ58">
        <f t="shared" ref="AZ58:AZ59" si="28">SUM(COUNTIF(AB5, "&gt;1.5"), COUNTIF(AB9, "&gt;1.5"), COUNTIF(AB13, "&gt;1.5"), COUNTIF(AB17, "&gt;1.5"), COUNTIF(AB21, "&gt;1.5"), COUNTIF(AB25, "&gt;1.5"), COUNTIF(AB29, "&gt;1.5"), COUNTIF(AB33, "&gt;1.5"))</f>
        <v>2</v>
      </c>
      <c r="BA58">
        <f t="shared" si="27"/>
        <v>2</v>
      </c>
    </row>
    <row r="59" spans="1:53" x14ac:dyDescent="0.3">
      <c r="AY59" t="s">
        <v>30</v>
      </c>
      <c r="AZ59">
        <f t="shared" si="28"/>
        <v>2</v>
      </c>
      <c r="BA59">
        <f t="shared" si="27"/>
        <v>1</v>
      </c>
    </row>
  </sheetData>
  <sortState xmlns:xlrd2="http://schemas.microsoft.com/office/spreadsheetml/2017/richdata2" ref="A3:AI54">
    <sortCondition ref="A3:A54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3ECCE-674F-4399-9493-B9278C1BE4B6}">
  <sheetPr codeName="Sheet4"/>
  <dimension ref="A1:BS59"/>
  <sheetViews>
    <sheetView topLeftCell="P1" zoomScale="70" zoomScaleNormal="70" workbookViewId="0">
      <selection activeCell="AD2" sqref="AD2:AD54"/>
    </sheetView>
  </sheetViews>
  <sheetFormatPr defaultRowHeight="14.4" x14ac:dyDescent="0.3"/>
  <cols>
    <col min="3" max="5" width="9.6640625" bestFit="1" customWidth="1"/>
    <col min="6" max="7" width="9.6640625" customWidth="1"/>
    <col min="38" max="38" width="12.77734375" bestFit="1" customWidth="1"/>
    <col min="45" max="47" width="9.33203125" bestFit="1" customWidth="1"/>
    <col min="48" max="50" width="9.33203125" customWidth="1"/>
  </cols>
  <sheetData>
    <row r="1" spans="1:61" x14ac:dyDescent="0.3">
      <c r="A1" t="s">
        <v>0</v>
      </c>
      <c r="E1" t="s">
        <v>1</v>
      </c>
      <c r="K1" t="s">
        <v>2</v>
      </c>
      <c r="P1" t="s">
        <v>3</v>
      </c>
      <c r="U1" t="s">
        <v>4</v>
      </c>
      <c r="Y1" t="s">
        <v>5</v>
      </c>
      <c r="AG1" t="s">
        <v>6</v>
      </c>
      <c r="AN1" t="s">
        <v>7</v>
      </c>
      <c r="AU1" t="s">
        <v>8</v>
      </c>
      <c r="BA1" t="s">
        <v>9</v>
      </c>
      <c r="BG1" t="s">
        <v>10</v>
      </c>
    </row>
    <row r="2" spans="1:61" s="1" customFormat="1" x14ac:dyDescent="0.3">
      <c r="C2" s="1" t="s">
        <v>11</v>
      </c>
      <c r="D2" s="1" t="s">
        <v>12</v>
      </c>
      <c r="E2" s="1" t="s">
        <v>13</v>
      </c>
      <c r="F2" s="1" t="s">
        <v>14</v>
      </c>
      <c r="G2" s="1" t="s">
        <v>15</v>
      </c>
      <c r="I2" s="1" t="s">
        <v>16</v>
      </c>
      <c r="J2" s="1" t="s">
        <v>17</v>
      </c>
      <c r="K2" s="1" t="s">
        <v>18</v>
      </c>
      <c r="L2" s="1" t="s">
        <v>19</v>
      </c>
      <c r="M2" s="1" t="s">
        <v>20</v>
      </c>
      <c r="O2" s="1" t="s">
        <v>16</v>
      </c>
      <c r="P2" s="1" t="s">
        <v>17</v>
      </c>
      <c r="Q2" s="1" t="s">
        <v>18</v>
      </c>
      <c r="R2" s="1" t="s">
        <v>19</v>
      </c>
      <c r="S2" s="1" t="s">
        <v>20</v>
      </c>
      <c r="W2" s="1" t="s">
        <v>16</v>
      </c>
      <c r="X2" s="1" t="s">
        <v>17</v>
      </c>
      <c r="Y2" s="1" t="s">
        <v>18</v>
      </c>
      <c r="Z2" s="1" t="s">
        <v>19</v>
      </c>
      <c r="AA2" s="1" t="s">
        <v>20</v>
      </c>
      <c r="AB2" s="1" t="s">
        <v>51</v>
      </c>
      <c r="AC2" s="1" t="s">
        <v>58</v>
      </c>
      <c r="AD2" s="1" t="s">
        <v>59</v>
      </c>
      <c r="AE2" s="1" t="s">
        <v>16</v>
      </c>
      <c r="AF2" s="1" t="s">
        <v>17</v>
      </c>
      <c r="AG2" s="1" t="s">
        <v>18</v>
      </c>
      <c r="AH2" s="1" t="s">
        <v>19</v>
      </c>
      <c r="AI2" s="1" t="s">
        <v>20</v>
      </c>
      <c r="AL2" s="1" t="s">
        <v>21</v>
      </c>
      <c r="AM2" s="1" t="s">
        <v>22</v>
      </c>
      <c r="AN2" s="1" t="s">
        <v>23</v>
      </c>
      <c r="AO2" s="1" t="s">
        <v>24</v>
      </c>
      <c r="AP2" s="1" t="s">
        <v>25</v>
      </c>
      <c r="AS2" s="1" t="s">
        <v>21</v>
      </c>
      <c r="AT2" s="1" t="s">
        <v>22</v>
      </c>
      <c r="AU2" s="1" t="s">
        <v>23</v>
      </c>
      <c r="AV2" s="1" t="s">
        <v>24</v>
      </c>
      <c r="AW2" s="1" t="s">
        <v>25</v>
      </c>
      <c r="AY2" s="1" t="s">
        <v>21</v>
      </c>
      <c r="AZ2" s="1" t="s">
        <v>22</v>
      </c>
      <c r="BA2" s="1" t="s">
        <v>23</v>
      </c>
      <c r="BB2" s="1" t="s">
        <v>24</v>
      </c>
      <c r="BC2" s="1" t="s">
        <v>25</v>
      </c>
      <c r="BE2" s="1" t="s">
        <v>21</v>
      </c>
      <c r="BF2" s="1" t="s">
        <v>22</v>
      </c>
      <c r="BG2" s="1" t="s">
        <v>23</v>
      </c>
      <c r="BH2" s="1" t="s">
        <v>24</v>
      </c>
      <c r="BI2" s="1" t="s">
        <v>25</v>
      </c>
    </row>
    <row r="3" spans="1:61" x14ac:dyDescent="0.3">
      <c r="A3" s="31" t="s">
        <v>53</v>
      </c>
      <c r="B3" t="s">
        <v>27</v>
      </c>
      <c r="C3">
        <v>559</v>
      </c>
      <c r="D3">
        <v>245</v>
      </c>
      <c r="E3">
        <v>14</v>
      </c>
      <c r="F3">
        <v>1</v>
      </c>
      <c r="G3">
        <v>0</v>
      </c>
      <c r="I3">
        <v>65</v>
      </c>
      <c r="J3">
        <v>32</v>
      </c>
      <c r="K3">
        <v>0</v>
      </c>
      <c r="L3">
        <v>0</v>
      </c>
      <c r="M3">
        <v>0</v>
      </c>
      <c r="O3" s="27">
        <f t="shared" ref="O3:O34" si="0">IF(I3&gt;0, I3/C3, 0)</f>
        <v>0.11627906976744186</v>
      </c>
      <c r="P3" s="27">
        <f t="shared" ref="P3:P34" si="1">IF(J3&gt;0, J3/D3, 0)</f>
        <v>0.1306122448979592</v>
      </c>
      <c r="Q3" s="27">
        <f t="shared" ref="Q3:Q34" si="2">IF(K3&gt;0, K3/E3, 0)</f>
        <v>0</v>
      </c>
      <c r="R3" s="27">
        <f t="shared" ref="R3:R34" si="3">IF(L3&gt;0, L3/F3, 0)</f>
        <v>0</v>
      </c>
      <c r="S3" s="27">
        <f t="shared" ref="S3:S34" si="4">IF(M3&gt;0, M3/G3, 0)</f>
        <v>0</v>
      </c>
      <c r="T3" s="27"/>
      <c r="U3" s="27">
        <f>65/569</f>
        <v>0.11423550087873462</v>
      </c>
      <c r="V3" s="27"/>
      <c r="W3" s="28">
        <f t="shared" ref="W3:AA10" si="5">O3/$U3</f>
        <v>1.0178890876565296</v>
      </c>
      <c r="X3" s="28">
        <f t="shared" si="5"/>
        <v>1.1433594976452122</v>
      </c>
      <c r="Y3" s="28">
        <f t="shared" si="5"/>
        <v>0</v>
      </c>
      <c r="Z3" s="28">
        <f t="shared" si="5"/>
        <v>0</v>
      </c>
      <c r="AA3" s="28">
        <f t="shared" si="5"/>
        <v>0</v>
      </c>
      <c r="AB3" s="28">
        <f t="shared" ref="AB3:AB34" si="6">MAX(W3:AA3)</f>
        <v>1.1433594976452122</v>
      </c>
      <c r="AC3" s="39">
        <f>INDEX(C3:AA3, 1, MATCH(AB3, W3:AA3, 0))</f>
        <v>245</v>
      </c>
      <c r="AD3" s="39" t="str">
        <f>LEFT(INDEX(C$2:G$2, 1, MATCH(AB3, W3:AA3, 0)),1)</f>
        <v>4</v>
      </c>
      <c r="AE3" s="28">
        <f>IF(C3&gt;0,((I3*((3*65)+C3))/(4*C3*65))*(1-(C3-I3)/(569-65)),0)</f>
        <v>6.6906607604282154E-3</v>
      </c>
      <c r="AF3" s="28">
        <f>IF(D3&gt;0,((J3*((3*65)+D3))/(4*D3*65))*(1-(D3-J3)/(569-65)),0)</f>
        <v>0.12762203782611944</v>
      </c>
      <c r="AG3" s="28">
        <f>IF(E3&gt;0,((K3*((3*65)+E3))/(4*E3*65))*(1-(E3-K3)/(569-65)),0)</f>
        <v>0</v>
      </c>
      <c r="AH3" s="28">
        <f>IF(F3&gt;0,((L3*((3*65)+F3))/(4*F3*65))*(1-(F3-L3)/(569-65)),0)</f>
        <v>0</v>
      </c>
      <c r="AI3" s="28">
        <f>IF(G3&gt;0,((M3*((3*65)+G3))/(4*G3*65))*(1-(G3-M3)/(569-65)),0)</f>
        <v>0</v>
      </c>
      <c r="AJ3" s="2"/>
      <c r="AK3" t="s">
        <v>27</v>
      </c>
      <c r="AL3" s="2">
        <f>AVERAGE(O7,O11,O19,O23,O27,O31)</f>
        <v>0.10682073956410394</v>
      </c>
      <c r="AM3" s="2">
        <f>AVERAGE(P7,P11,P19,P23,P27,P31)</f>
        <v>9.1284950026707376E-2</v>
      </c>
      <c r="AN3" s="2">
        <f>AVERAGE(Q7,Q11,Q19,Q23,Q27,Q31)</f>
        <v>8.6776004728132392E-2</v>
      </c>
      <c r="AO3" s="2">
        <f>AVERAGE(R7,R11,R19,R23,R27,R31)</f>
        <v>0</v>
      </c>
      <c r="AP3" s="2">
        <f>AVERAGE(S7,S11,S19,S23,S27,S31)</f>
        <v>0</v>
      </c>
      <c r="AR3" t="s">
        <v>27</v>
      </c>
      <c r="AS3" s="4">
        <f>AVERAGE(W3,W7,W11,W15,W19,W23,W27,W31)</f>
        <v>1.0087492994117917</v>
      </c>
      <c r="AT3" s="4">
        <f>AVERAGE(X3,X7,X11,X15,X19,X23,X27,X31)</f>
        <v>1.044500404391915</v>
      </c>
      <c r="AU3" s="4">
        <f>AVERAGE(Y3,Y7,Y11,Y15,Y19,Y23,Y27,Y31)</f>
        <v>1.0964665060597074</v>
      </c>
      <c r="AV3" s="4">
        <f>AVERAGE(Z3,Z7,Z11,Z15,Z19,Z23,Z27,Z31)</f>
        <v>0</v>
      </c>
      <c r="AW3" s="4">
        <f>AVERAGE(AA3,AA7,AA11,AA15,AA19,AA23,AA27,AA31)</f>
        <v>0</v>
      </c>
      <c r="AX3" s="4"/>
      <c r="AY3" s="4">
        <f t="shared" ref="AY3:BC6" si="7">AVERAGE(AE3,AE7,AE11,AE15,AE19,AE23,AE27,AE31)</f>
        <v>1.4378070808448913E-2</v>
      </c>
      <c r="AZ3" s="4">
        <f t="shared" si="7"/>
        <v>9.8482147556654229E-2</v>
      </c>
      <c r="BA3" s="4">
        <f t="shared" si="7"/>
        <v>7.4883578766718722E-2</v>
      </c>
      <c r="BB3" s="4">
        <f t="shared" si="7"/>
        <v>0</v>
      </c>
      <c r="BC3" s="4">
        <f t="shared" si="7"/>
        <v>0</v>
      </c>
      <c r="BE3" s="5">
        <f>MAX(AE3,AE7,AE11,AE15,AE19,AE23,AE27,AE31)</f>
        <v>4.6715230495155823E-2</v>
      </c>
      <c r="BF3" s="5">
        <f t="shared" ref="BF3:BI6" si="8">MAX(AF3,AF7,AF11,AF15,AF19,AF23,AF27,AF31)</f>
        <v>0.14586938578148526</v>
      </c>
      <c r="BG3" s="5">
        <f t="shared" si="8"/>
        <v>0.1817870534294847</v>
      </c>
      <c r="BH3" s="5">
        <f t="shared" si="8"/>
        <v>0</v>
      </c>
      <c r="BI3" s="5">
        <f t="shared" si="8"/>
        <v>0</v>
      </c>
    </row>
    <row r="4" spans="1:61" x14ac:dyDescent="0.3">
      <c r="A4" s="31" t="s">
        <v>53</v>
      </c>
      <c r="B4" t="s">
        <v>28</v>
      </c>
      <c r="C4">
        <v>471</v>
      </c>
      <c r="D4">
        <v>77</v>
      </c>
      <c r="E4">
        <v>2</v>
      </c>
      <c r="F4">
        <v>0</v>
      </c>
      <c r="G4">
        <v>0</v>
      </c>
      <c r="I4">
        <v>58</v>
      </c>
      <c r="J4">
        <v>4</v>
      </c>
      <c r="K4">
        <v>0</v>
      </c>
      <c r="L4">
        <v>0</v>
      </c>
      <c r="M4">
        <v>0</v>
      </c>
      <c r="O4" s="27">
        <f t="shared" si="0"/>
        <v>0.12314225053078556</v>
      </c>
      <c r="P4" s="27">
        <f t="shared" si="1"/>
        <v>5.1948051948051951E-2</v>
      </c>
      <c r="Q4" s="27">
        <f t="shared" si="2"/>
        <v>0</v>
      </c>
      <c r="R4" s="27">
        <f t="shared" si="3"/>
        <v>0</v>
      </c>
      <c r="S4" s="27">
        <f t="shared" si="4"/>
        <v>0</v>
      </c>
      <c r="T4" s="27"/>
      <c r="U4" s="27">
        <f>65/569</f>
        <v>0.11423550087873462</v>
      </c>
      <c r="V4" s="27"/>
      <c r="W4" s="28">
        <f t="shared" si="5"/>
        <v>1.0779683161848768</v>
      </c>
      <c r="X4" s="28">
        <f t="shared" si="5"/>
        <v>0.45474525474525479</v>
      </c>
      <c r="Y4" s="28">
        <f t="shared" si="5"/>
        <v>0</v>
      </c>
      <c r="Z4" s="28">
        <f t="shared" si="5"/>
        <v>0</v>
      </c>
      <c r="AA4" s="28">
        <f t="shared" si="5"/>
        <v>0</v>
      </c>
      <c r="AB4" s="28">
        <f t="shared" si="6"/>
        <v>1.0779683161848768</v>
      </c>
      <c r="AC4" s="39">
        <f t="shared" ref="AC4:AC54" si="9">INDEX(C4:AA4, 1, MATCH(AB4, W4:AA4, 0))</f>
        <v>471</v>
      </c>
      <c r="AD4" s="39" t="str">
        <f t="shared" ref="AD4:AD54" si="10">LEFT(INDEX(C$2:G$2, 1, MATCH(AB4, W4:AA4, 0)),1)</f>
        <v>3</v>
      </c>
      <c r="AE4" s="28">
        <f>IF(C4&gt;0,((I4*((3*65)+C4))/(4*C4*65))*(1-(C4-I4)/(569-65)),0)</f>
        <v>5.6953290870488331E-2</v>
      </c>
      <c r="AF4" s="28">
        <f>IF(D4&gt;0,((J4*((3*65)+D4))/(4*D4*65))*(1-(D4-J4)/(569-65)),0)</f>
        <v>4.6474160759875045E-2</v>
      </c>
      <c r="AG4" s="28">
        <f>IF(E4&gt;0,((K4*((3*65)+E4))/(4*E4*65))*(1-(E4-K4)/(569-65)),0)</f>
        <v>0</v>
      </c>
      <c r="AH4" s="28">
        <f>IF(F4&gt;0,((L4*((3*65)+F4))/(4*F4*65))*(1-(F4-L4)/(569-65)),0)</f>
        <v>0</v>
      </c>
      <c r="AI4" s="28">
        <f>IF(G4&gt;0,((M4*((3*65)+G4))/(4*G4*65))*(1-(G4-M4)/(569-65)),0)</f>
        <v>0</v>
      </c>
      <c r="AJ4" s="2"/>
      <c r="AK4" t="s">
        <v>28</v>
      </c>
      <c r="AL4" s="6">
        <f>AVERAGE(O8,O12,O20,O24,O28,O32)</f>
        <v>8.3754278990158318E-2</v>
      </c>
      <c r="AM4" s="6">
        <f>AVERAGE(P8,P12,P20,P24,P28,P32)</f>
        <v>4.2245370370370371E-2</v>
      </c>
      <c r="AN4" s="6">
        <f>AVERAGE(Q8,Q12,Q20,Q24,Q28,Q32)</f>
        <v>8.3333333333333329E-2</v>
      </c>
      <c r="AO4" s="6">
        <f>AVERAGE(R8,R12,R20,R24,R28,R32)</f>
        <v>0</v>
      </c>
      <c r="AP4" s="6">
        <f>AVERAGE(S8,S12,S20,S24,S28,S32)</f>
        <v>0</v>
      </c>
      <c r="AR4" t="s">
        <v>28</v>
      </c>
      <c r="AS4" s="7">
        <f t="shared" ref="AS4:AS6" si="11">AVERAGE(W4,W8,W12,W16,W20,W24,W28,W32)</f>
        <v>1.6438634003659793</v>
      </c>
      <c r="AT4" s="7">
        <f>AVERAGE(X4,X8,X12,X16,X20,X24,X28,X32)</f>
        <v>0.32949067448547947</v>
      </c>
      <c r="AU4" s="7">
        <f>AVERAGE(Y4,Y8,Y12,Y16,Y20,Y24,Y28,Y32)</f>
        <v>0.69730392156862742</v>
      </c>
      <c r="AV4" s="7">
        <f>AVERAGE(Z4,Z8,Z12,Z16,Z20,Z24,Z28,Z32)</f>
        <v>0</v>
      </c>
      <c r="AW4" s="7">
        <f>AVERAGE(AA4,AA8,AA12,AA16,AA20,AA24,AA28,AA32)</f>
        <v>0</v>
      </c>
      <c r="AX4" s="4"/>
      <c r="AY4" s="7">
        <f t="shared" si="7"/>
        <v>0.10366991014986186</v>
      </c>
      <c r="AZ4" s="7">
        <f t="shared" si="7"/>
        <v>3.115595847105455E-2</v>
      </c>
      <c r="BA4" s="7">
        <f t="shared" si="7"/>
        <v>4.7396069914452263E-2</v>
      </c>
      <c r="BB4" s="7">
        <f t="shared" si="7"/>
        <v>0</v>
      </c>
      <c r="BC4" s="7">
        <f t="shared" si="7"/>
        <v>0</v>
      </c>
      <c r="BE4" s="5">
        <f t="shared" ref="BE4:BE6" si="12">MAX(AE4,AE8,AE12,AE16,AE20,AE24,AE28,AE32)</f>
        <v>0.33064098581339962</v>
      </c>
      <c r="BF4" s="5">
        <f t="shared" si="8"/>
        <v>0.17147826086956522</v>
      </c>
      <c r="BG4" s="8">
        <f t="shared" si="8"/>
        <v>0.3791685593156181</v>
      </c>
      <c r="BH4" s="8">
        <f t="shared" si="8"/>
        <v>0</v>
      </c>
      <c r="BI4" s="8">
        <f t="shared" si="8"/>
        <v>0</v>
      </c>
    </row>
    <row r="5" spans="1:61" x14ac:dyDescent="0.3">
      <c r="A5" s="31" t="s">
        <v>53</v>
      </c>
      <c r="B5" t="s">
        <v>29</v>
      </c>
      <c r="C5">
        <v>502</v>
      </c>
      <c r="D5">
        <v>296</v>
      </c>
      <c r="E5">
        <v>32</v>
      </c>
      <c r="F5">
        <v>3</v>
      </c>
      <c r="G5">
        <v>0</v>
      </c>
      <c r="I5">
        <v>57</v>
      </c>
      <c r="J5">
        <v>30</v>
      </c>
      <c r="K5">
        <v>4</v>
      </c>
      <c r="L5">
        <v>0</v>
      </c>
      <c r="M5">
        <v>0</v>
      </c>
      <c r="O5" s="27">
        <f t="shared" si="0"/>
        <v>0.11354581673306773</v>
      </c>
      <c r="P5" s="27">
        <f t="shared" si="1"/>
        <v>0.10135135135135136</v>
      </c>
      <c r="Q5" s="27">
        <f t="shared" si="2"/>
        <v>0.125</v>
      </c>
      <c r="R5" s="27">
        <f t="shared" si="3"/>
        <v>0</v>
      </c>
      <c r="S5" s="27">
        <f t="shared" si="4"/>
        <v>0</v>
      </c>
      <c r="T5" s="27"/>
      <c r="U5" s="27">
        <f>65/569</f>
        <v>0.11423550087873462</v>
      </c>
      <c r="V5" s="27"/>
      <c r="W5" s="28">
        <f t="shared" si="5"/>
        <v>0.99396261109408524</v>
      </c>
      <c r="X5" s="28">
        <f t="shared" si="5"/>
        <v>0.88721413721413733</v>
      </c>
      <c r="Y5" s="28">
        <f t="shared" si="5"/>
        <v>1.0942307692307693</v>
      </c>
      <c r="Z5" s="28">
        <f t="shared" si="5"/>
        <v>0</v>
      </c>
      <c r="AA5" s="28">
        <f t="shared" si="5"/>
        <v>0</v>
      </c>
      <c r="AB5" s="28">
        <f t="shared" si="6"/>
        <v>1.0942307692307693</v>
      </c>
      <c r="AC5" s="39">
        <f t="shared" si="9"/>
        <v>32</v>
      </c>
      <c r="AD5" s="39" t="str">
        <f t="shared" si="10"/>
        <v>5</v>
      </c>
      <c r="AE5" s="28">
        <f>IF(C5&gt;0,((I5*((3*65)+C5))/(4*C5*65))*(1-(C5-I5)/(569-65)),0)</f>
        <v>3.5632971775900066E-2</v>
      </c>
      <c r="AF5" s="28">
        <f>IF(D5&gt;0,((J5*((3*65)+D5))/(4*D5*65))*(1-(D5-J5)/(569-65)),0)</f>
        <v>9.0382449757449759E-2</v>
      </c>
      <c r="AG5" s="28">
        <f>IF(E5&gt;0,((K5*((3*65)+E5))/(4*E5*65))*(1-(E5-K5)/(569-65)),0)</f>
        <v>0.10307158119658119</v>
      </c>
      <c r="AH5" s="28">
        <f>IF(F5&gt;0,((L5*((3*65)+F5))/(4*F5*65))*(1-(F5-L5)/(569-65)),0)</f>
        <v>0</v>
      </c>
      <c r="AI5" s="28">
        <f>IF(G5&gt;0,((M5*((3*65)+G5))/(4*G5*65))*(1-(G5-M5)/(569-65)),0)</f>
        <v>0</v>
      </c>
      <c r="AJ5" s="2"/>
      <c r="AK5" t="s">
        <v>29</v>
      </c>
      <c r="AL5" s="6">
        <f>AVERAGE(O9,O13,O21,O25,O29,O33)</f>
        <v>0.10601991826781314</v>
      </c>
      <c r="AM5" s="6">
        <f>AVERAGE(P9,P13,P21,P25,P29,P33)</f>
        <v>8.6636215189786162E-2</v>
      </c>
      <c r="AN5" s="6">
        <f>AVERAGE(Q9,Q13,Q21,Q25,Q29,Q33)</f>
        <v>9.7783147658867683E-2</v>
      </c>
      <c r="AO5" s="6">
        <f>AVERAGE(R9,R13,R21,R25,R29,R33)</f>
        <v>5.5555555555555552E-2</v>
      </c>
      <c r="AP5" s="6">
        <f>AVERAGE(S9,S13,S21,S25,S29,S33)</f>
        <v>0</v>
      </c>
      <c r="AR5" t="s">
        <v>29</v>
      </c>
      <c r="AS5" s="7">
        <f t="shared" si="11"/>
        <v>0.97924740806316468</v>
      </c>
      <c r="AT5" s="7">
        <f>AVERAGE(X5,X9,X13,X17,X21,X25,X29,X33)</f>
        <v>0.76765384505509116</v>
      </c>
      <c r="AU5" s="7">
        <f>AVERAGE(Y5,Y9,Y13,Y17,Y21,Y25,Y29,Y33)</f>
        <v>0.84531483869672841</v>
      </c>
      <c r="AV5" s="7">
        <f>AVERAGE(Z5,Z9,Z13,Z17,Z21,Z25,Z29,Z33)</f>
        <v>0.2756782945736434</v>
      </c>
      <c r="AW5" s="7">
        <f>AVERAGE(AA5,AA9,AA13,AA17,AA21,AA25,AA29,AA33)</f>
        <v>0</v>
      </c>
      <c r="AX5" s="4"/>
      <c r="AY5" s="7">
        <f t="shared" si="7"/>
        <v>1.5420151197557319E-2</v>
      </c>
      <c r="AZ5" s="7">
        <f t="shared" si="7"/>
        <v>6.2500041497853251E-2</v>
      </c>
      <c r="BA5" s="7">
        <f t="shared" si="7"/>
        <v>7.5035861912927077E-2</v>
      </c>
      <c r="BB5" s="7">
        <f t="shared" si="7"/>
        <v>3.148246786075401E-2</v>
      </c>
      <c r="BC5" s="7">
        <f t="shared" si="7"/>
        <v>0</v>
      </c>
      <c r="BE5" s="5">
        <f t="shared" si="12"/>
        <v>3.5632971775900066E-2</v>
      </c>
      <c r="BF5" s="5">
        <f t="shared" si="8"/>
        <v>9.1548628995606729E-2</v>
      </c>
      <c r="BG5" s="8">
        <f t="shared" si="8"/>
        <v>0.12362069723480018</v>
      </c>
      <c r="BH5" s="8">
        <f t="shared" si="8"/>
        <v>0.25185974288603208</v>
      </c>
      <c r="BI5" s="8">
        <f t="shared" si="8"/>
        <v>0</v>
      </c>
    </row>
    <row r="6" spans="1:61" s="1" customFormat="1" x14ac:dyDescent="0.3">
      <c r="A6" s="31" t="s">
        <v>53</v>
      </c>
      <c r="B6" s="1" t="s">
        <v>30</v>
      </c>
      <c r="C6" s="1">
        <v>45</v>
      </c>
      <c r="D6" s="1">
        <v>17</v>
      </c>
      <c r="E6" s="1">
        <v>3</v>
      </c>
      <c r="F6" s="1">
        <v>0</v>
      </c>
      <c r="G6" s="1">
        <v>0</v>
      </c>
      <c r="I6" s="1">
        <v>4</v>
      </c>
      <c r="J6" s="1">
        <v>1</v>
      </c>
      <c r="K6" s="1">
        <v>1</v>
      </c>
      <c r="L6" s="1">
        <v>0</v>
      </c>
      <c r="M6" s="1">
        <v>0</v>
      </c>
      <c r="O6" s="29">
        <f t="shared" si="0"/>
        <v>8.8888888888888892E-2</v>
      </c>
      <c r="P6" s="29">
        <f t="shared" si="1"/>
        <v>5.8823529411764705E-2</v>
      </c>
      <c r="Q6" s="29">
        <f t="shared" si="2"/>
        <v>0.33333333333333331</v>
      </c>
      <c r="R6" s="29">
        <f t="shared" si="3"/>
        <v>0</v>
      </c>
      <c r="S6" s="29">
        <f t="shared" si="4"/>
        <v>0</v>
      </c>
      <c r="T6" s="29"/>
      <c r="U6" s="29">
        <f>65/569</f>
        <v>0.11423550087873462</v>
      </c>
      <c r="V6" s="29"/>
      <c r="W6" s="30">
        <f t="shared" si="5"/>
        <v>0.77811965811965822</v>
      </c>
      <c r="X6" s="30">
        <f t="shared" si="5"/>
        <v>0.51493212669683264</v>
      </c>
      <c r="Y6" s="30">
        <f t="shared" si="5"/>
        <v>2.9179487179487178</v>
      </c>
      <c r="Z6" s="30">
        <f t="shared" si="5"/>
        <v>0</v>
      </c>
      <c r="AA6" s="30">
        <f t="shared" si="5"/>
        <v>0</v>
      </c>
      <c r="AB6" s="30">
        <f t="shared" si="6"/>
        <v>2.9179487179487178</v>
      </c>
      <c r="AC6" s="40">
        <f t="shared" si="9"/>
        <v>3</v>
      </c>
      <c r="AD6" s="40" t="str">
        <f t="shared" si="10"/>
        <v>5</v>
      </c>
      <c r="AE6" s="30">
        <f>IF(C6&gt;0,((I6*((3*65)+C6))/(4*C6*65))*(1-(C6-I6)/(569-65)),0)</f>
        <v>7.5376475376475377E-2</v>
      </c>
      <c r="AF6" s="30">
        <f>IF(D6&gt;0,((J6*((3*65)+D6))/(4*D6*65))*(1-(D6-J6)/(569-65)),0)</f>
        <v>4.6441140558787619E-2</v>
      </c>
      <c r="AG6" s="30">
        <f>IF(E6&gt;0,((K6*((3*65)+E6))/(4*E6*65))*(1-(E6-K6)/(569-65)),0)</f>
        <v>0.25283882783882783</v>
      </c>
      <c r="AH6" s="30">
        <f>IF(F6&gt;0,((L6*((3*65)+F6))/(4*F6*65))*(1-(F6-L6)/(569-65)),0)</f>
        <v>0</v>
      </c>
      <c r="AI6" s="30">
        <f>IF(G6&gt;0,((M6*((3*65)+G6))/(4*G6*65))*(1-(G6-M6)/(569-65)),0)</f>
        <v>0</v>
      </c>
      <c r="AJ6" s="9"/>
      <c r="AK6" s="1" t="s">
        <v>30</v>
      </c>
      <c r="AL6" s="11">
        <f>AVERAGE(O10,O14,O22,O26,O30,O34)</f>
        <v>5.5958605394824695E-2</v>
      </c>
      <c r="AM6" s="11">
        <f>AVERAGE(P10,P14,P22,P26,P30,P34)</f>
        <v>2.0202020202020204E-2</v>
      </c>
      <c r="AN6" s="11">
        <f>AVERAGE(Q10,Q14,Q22,Q26,Q30,Q34)</f>
        <v>0</v>
      </c>
      <c r="AO6" s="11">
        <f>AVERAGE(R10,R14,R22,R26,R30,R34)</f>
        <v>0</v>
      </c>
      <c r="AP6" s="11">
        <f>AVERAGE(S10,S14,S22,S26,S30,S34)</f>
        <v>0</v>
      </c>
      <c r="AR6" s="1" t="s">
        <v>30</v>
      </c>
      <c r="AS6" s="12">
        <f t="shared" si="11"/>
        <v>1.1253652705607478</v>
      </c>
      <c r="AT6" s="12">
        <f>AVERAGE(X6,X10,X14,X18,X22,X26,X30,X34)</f>
        <v>0.33377939462498285</v>
      </c>
      <c r="AU6" s="12">
        <f>AVERAGE(Y6,Y10,Y14,Y18,Y22,Y26,Y30,Y34)</f>
        <v>0.36474358974358972</v>
      </c>
      <c r="AV6" s="12">
        <f>AVERAGE(Z6,Z10,Z14,Z18,Z22,Z26,Z30,Z34)</f>
        <v>0</v>
      </c>
      <c r="AW6" s="12">
        <f>AVERAGE(AA6,AA10,AA14,AA18,AA22,AA26,AA30,AA34)</f>
        <v>0</v>
      </c>
      <c r="AX6" s="13"/>
      <c r="AY6" s="12">
        <f t="shared" si="7"/>
        <v>6.9397026224343836E-2</v>
      </c>
      <c r="AZ6" s="12">
        <f t="shared" si="7"/>
        <v>2.2910113367207517E-2</v>
      </c>
      <c r="BA6" s="12">
        <f t="shared" si="7"/>
        <v>3.1604853479853479E-2</v>
      </c>
      <c r="BB6" s="12">
        <f t="shared" si="7"/>
        <v>0</v>
      </c>
      <c r="BC6" s="12">
        <f t="shared" si="7"/>
        <v>0</v>
      </c>
      <c r="BE6" s="14">
        <f t="shared" si="12"/>
        <v>0.22419779693486591</v>
      </c>
      <c r="BF6" s="14">
        <f t="shared" si="8"/>
        <v>0.13683976637887252</v>
      </c>
      <c r="BG6" s="15">
        <f t="shared" si="8"/>
        <v>0.25283882783882783</v>
      </c>
      <c r="BH6" s="15">
        <f t="shared" si="8"/>
        <v>0</v>
      </c>
      <c r="BI6" s="15">
        <f t="shared" si="8"/>
        <v>0</v>
      </c>
    </row>
    <row r="7" spans="1:61" x14ac:dyDescent="0.3">
      <c r="A7" s="31" t="s">
        <v>26</v>
      </c>
      <c r="B7" t="s">
        <v>27</v>
      </c>
      <c r="C7">
        <v>527</v>
      </c>
      <c r="D7">
        <v>192</v>
      </c>
      <c r="E7">
        <v>10</v>
      </c>
      <c r="F7">
        <v>0</v>
      </c>
      <c r="G7">
        <v>0</v>
      </c>
      <c r="I7">
        <v>82</v>
      </c>
      <c r="J7">
        <v>20</v>
      </c>
      <c r="K7">
        <v>1</v>
      </c>
      <c r="L7">
        <v>0</v>
      </c>
      <c r="M7">
        <v>0</v>
      </c>
      <c r="O7" s="2">
        <f t="shared" si="0"/>
        <v>0.15559772296015181</v>
      </c>
      <c r="P7" s="2">
        <f t="shared" si="1"/>
        <v>0.10416666666666667</v>
      </c>
      <c r="Q7" s="2">
        <f t="shared" si="2"/>
        <v>0.1</v>
      </c>
      <c r="R7" s="2">
        <f t="shared" si="3"/>
        <v>0</v>
      </c>
      <c r="S7" s="2">
        <f t="shared" si="4"/>
        <v>0</v>
      </c>
      <c r="T7" s="2"/>
      <c r="U7" s="2">
        <f t="shared" ref="U7:U14" si="13">86/569</f>
        <v>0.15114235500878734</v>
      </c>
      <c r="V7" s="2"/>
      <c r="W7" s="3">
        <f t="shared" si="5"/>
        <v>1.0294779577247255</v>
      </c>
      <c r="X7" s="3">
        <f t="shared" si="5"/>
        <v>0.68919573643410859</v>
      </c>
      <c r="Y7" s="3">
        <f t="shared" si="5"/>
        <v>0.66162790697674423</v>
      </c>
      <c r="Z7" s="3">
        <f t="shared" si="5"/>
        <v>0</v>
      </c>
      <c r="AA7" s="3">
        <f t="shared" si="5"/>
        <v>0</v>
      </c>
      <c r="AB7" s="3">
        <f t="shared" si="6"/>
        <v>1.0294779577247255</v>
      </c>
      <c r="AC7" s="41">
        <f t="shared" si="9"/>
        <v>527</v>
      </c>
      <c r="AD7" s="41" t="str">
        <f t="shared" si="10"/>
        <v>3</v>
      </c>
      <c r="AE7" s="3">
        <f>IF(C7&gt;0,((I7*((3*86)+C7))/(4*C7*86))*(1-(C7-I7)/(569-86)),0)</f>
        <v>2.7935144180637778E-2</v>
      </c>
      <c r="AF7" s="3">
        <f>IF(D7&gt;0,((J7*((3*86)+D7))/(4*D7*86))*(1-(D7-J7)/(569-86)),0)</f>
        <v>8.7739690163224041E-2</v>
      </c>
      <c r="AG7" s="3">
        <f>IF(E7&gt;0,((K7*((3*86)+E7))/(4*E7*86))*(1-(E7-K7)/(569-86)),0)</f>
        <v>7.6455293947710529E-2</v>
      </c>
      <c r="AH7" s="3">
        <f>IF(F7&gt;0,((L7*((3*86)+F7))/(4*F7*86))*(1-(F7-L7)/(569-86)),0)</f>
        <v>0</v>
      </c>
      <c r="AI7" s="3">
        <f>IF(G7&gt;0,((M7*((3*86)+G7))/(4*G7*86))*(1-(G7-M7)/(569-86)),0)</f>
        <v>0</v>
      </c>
      <c r="AJ7" s="2"/>
    </row>
    <row r="8" spans="1:61" x14ac:dyDescent="0.3">
      <c r="A8" s="31" t="s">
        <v>26</v>
      </c>
      <c r="B8" t="s">
        <v>28</v>
      </c>
      <c r="C8">
        <v>16</v>
      </c>
      <c r="D8">
        <v>1</v>
      </c>
      <c r="E8">
        <v>0</v>
      </c>
      <c r="F8">
        <v>0</v>
      </c>
      <c r="G8">
        <v>0</v>
      </c>
      <c r="I8">
        <v>1</v>
      </c>
      <c r="J8">
        <v>0</v>
      </c>
      <c r="K8">
        <v>0</v>
      </c>
      <c r="L8">
        <v>0</v>
      </c>
      <c r="M8">
        <v>0</v>
      </c>
      <c r="O8" s="2">
        <f t="shared" si="0"/>
        <v>6.25E-2</v>
      </c>
      <c r="P8" s="2">
        <f t="shared" si="1"/>
        <v>0</v>
      </c>
      <c r="Q8" s="2">
        <f t="shared" si="2"/>
        <v>0</v>
      </c>
      <c r="R8" s="2">
        <f t="shared" si="3"/>
        <v>0</v>
      </c>
      <c r="S8" s="2">
        <f t="shared" si="4"/>
        <v>0</v>
      </c>
      <c r="T8" s="2"/>
      <c r="U8" s="2">
        <f t="shared" si="13"/>
        <v>0.15114235500878734</v>
      </c>
      <c r="V8" s="2"/>
      <c r="W8" s="3">
        <f t="shared" si="5"/>
        <v>0.41351744186046513</v>
      </c>
      <c r="X8" s="3">
        <f t="shared" si="5"/>
        <v>0</v>
      </c>
      <c r="Y8" s="3">
        <f t="shared" si="5"/>
        <v>0</v>
      </c>
      <c r="Z8" s="3">
        <f t="shared" si="5"/>
        <v>0</v>
      </c>
      <c r="AA8" s="3">
        <f t="shared" si="5"/>
        <v>0</v>
      </c>
      <c r="AB8" s="3">
        <f t="shared" si="6"/>
        <v>0.41351744186046513</v>
      </c>
      <c r="AC8" s="41">
        <f t="shared" si="9"/>
        <v>16</v>
      </c>
      <c r="AD8" s="41" t="str">
        <f t="shared" si="10"/>
        <v>3</v>
      </c>
      <c r="AE8" s="3">
        <f>IF(C8&gt;0,((I8*((3*86)+C8))/(4*C8*86))*(1-(C8-I8)/(569-86)),0)</f>
        <v>4.8235952621695798E-2</v>
      </c>
      <c r="AF8" s="3">
        <f>IF(D8&gt;0,((J8*((3*86)+D8))/(4*D8*86))*(1-(D8-J8)/(569-86)),0)</f>
        <v>0</v>
      </c>
      <c r="AG8" s="3">
        <f>IF(E8&gt;0,((K8*((3*86)+E8))/(4*E8*86))*(1-(E8-K8)/(569-86)),0)</f>
        <v>0</v>
      </c>
      <c r="AH8" s="3">
        <f>IF(F8&gt;0,((L8*((3*86)+F8))/(4*F8*86))*(1-(F8-L8)/(569-86)),0)</f>
        <v>0</v>
      </c>
      <c r="AI8" s="3">
        <f>IF(G8&gt;0,((M8*((3*86)+G8))/(4*G8*86))*(1-(G8-M8)/(569-86)),0)</f>
        <v>0</v>
      </c>
      <c r="AJ8" s="2"/>
    </row>
    <row r="9" spans="1:61" x14ac:dyDescent="0.3">
      <c r="A9" s="31" t="s">
        <v>26</v>
      </c>
      <c r="B9" t="s">
        <v>29</v>
      </c>
      <c r="C9">
        <v>559</v>
      </c>
      <c r="D9">
        <v>387</v>
      </c>
      <c r="E9">
        <v>65</v>
      </c>
      <c r="F9">
        <v>3</v>
      </c>
      <c r="G9">
        <v>0</v>
      </c>
      <c r="I9">
        <v>86</v>
      </c>
      <c r="J9">
        <v>49</v>
      </c>
      <c r="K9">
        <v>9</v>
      </c>
      <c r="L9">
        <v>1</v>
      </c>
      <c r="M9">
        <v>0</v>
      </c>
      <c r="O9" s="2">
        <f t="shared" si="0"/>
        <v>0.15384615384615385</v>
      </c>
      <c r="P9" s="2">
        <f t="shared" si="1"/>
        <v>0.12661498708010335</v>
      </c>
      <c r="Q9" s="2">
        <f t="shared" si="2"/>
        <v>0.13846153846153847</v>
      </c>
      <c r="R9" s="2">
        <f t="shared" si="3"/>
        <v>0.33333333333333331</v>
      </c>
      <c r="S9" s="2">
        <f t="shared" si="4"/>
        <v>0</v>
      </c>
      <c r="T9" s="2"/>
      <c r="U9" s="2">
        <f t="shared" si="13"/>
        <v>0.15114235500878734</v>
      </c>
      <c r="V9" s="2"/>
      <c r="W9" s="3">
        <f t="shared" si="5"/>
        <v>1.0178890876565296</v>
      </c>
      <c r="X9" s="3">
        <f t="shared" si="5"/>
        <v>0.83772008893696293</v>
      </c>
      <c r="Y9" s="3">
        <f t="shared" si="5"/>
        <v>0.91610017889087669</v>
      </c>
      <c r="Z9" s="3">
        <f t="shared" si="5"/>
        <v>2.2054263565891472</v>
      </c>
      <c r="AA9" s="3">
        <f t="shared" si="5"/>
        <v>0</v>
      </c>
      <c r="AB9" s="3">
        <f t="shared" si="6"/>
        <v>2.2054263565891472</v>
      </c>
      <c r="AC9" s="41">
        <f t="shared" si="9"/>
        <v>3</v>
      </c>
      <c r="AD9" s="41" t="str">
        <f t="shared" si="10"/>
        <v>6</v>
      </c>
      <c r="AE9" s="3">
        <f>IF(C9&gt;0,((I9*((3*86)+C9))/(4*C9*86))*(1-(C9-I9)/(569-86)),0)</f>
        <v>7.564898869246682E-3</v>
      </c>
      <c r="AF9" s="3">
        <f>IF(D9&gt;0,((J9*((3*86)+D9))/(4*D9*86))*(1-(D9-J9)/(569-86)),0)</f>
        <v>7.127008201325695E-2</v>
      </c>
      <c r="AG9" s="3">
        <f>IF(E9&gt;0,((K9*((3*86)+E9))/(4*E9*86))*(1-(E9-K9)/(569-86)),0)</f>
        <v>0.11493544372715254</v>
      </c>
      <c r="AH9" s="3">
        <f>IF(F9&gt;0,((L9*((3*86)+F9))/(4*F9*86))*(1-(F9-L9)/(569-86)),0)</f>
        <v>0.25185974288603208</v>
      </c>
      <c r="AI9" s="3">
        <f>IF(G9&gt;0,((M9*((3*86)+G9))/(4*G9*86))*(1-(G9-M9)/(569-86)),0)</f>
        <v>0</v>
      </c>
      <c r="AJ9" s="2"/>
    </row>
    <row r="10" spans="1:61" s="1" customFormat="1" x14ac:dyDescent="0.3">
      <c r="A10" s="31" t="s">
        <v>26</v>
      </c>
      <c r="B10" s="1" t="s">
        <v>30</v>
      </c>
      <c r="C10" s="1">
        <v>19</v>
      </c>
      <c r="D10" s="1">
        <v>2</v>
      </c>
      <c r="E10" s="1">
        <v>0</v>
      </c>
      <c r="F10" s="1">
        <v>0</v>
      </c>
      <c r="G10" s="1">
        <v>0</v>
      </c>
      <c r="I10" s="1">
        <v>1</v>
      </c>
      <c r="J10" s="1">
        <v>0</v>
      </c>
      <c r="K10" s="1">
        <v>0</v>
      </c>
      <c r="L10" s="1">
        <v>0</v>
      </c>
      <c r="M10" s="1">
        <v>0</v>
      </c>
      <c r="O10" s="9">
        <f t="shared" si="0"/>
        <v>5.2631578947368418E-2</v>
      </c>
      <c r="P10" s="9">
        <f t="shared" si="1"/>
        <v>0</v>
      </c>
      <c r="Q10" s="9">
        <f t="shared" si="2"/>
        <v>0</v>
      </c>
      <c r="R10" s="9">
        <f t="shared" si="3"/>
        <v>0</v>
      </c>
      <c r="S10" s="9">
        <f t="shared" si="4"/>
        <v>0</v>
      </c>
      <c r="T10" s="9"/>
      <c r="U10" s="9">
        <f t="shared" si="13"/>
        <v>0.15114235500878734</v>
      </c>
      <c r="V10" s="9"/>
      <c r="W10" s="10">
        <f t="shared" si="5"/>
        <v>0.34822521419828639</v>
      </c>
      <c r="X10" s="10">
        <f t="shared" si="5"/>
        <v>0</v>
      </c>
      <c r="Y10" s="10">
        <f t="shared" si="5"/>
        <v>0</v>
      </c>
      <c r="Z10" s="10">
        <f t="shared" si="5"/>
        <v>0</v>
      </c>
      <c r="AA10" s="10">
        <f t="shared" si="5"/>
        <v>0</v>
      </c>
      <c r="AB10" s="10">
        <f t="shared" si="6"/>
        <v>0.34822521419828639</v>
      </c>
      <c r="AC10" s="42">
        <f t="shared" si="9"/>
        <v>19</v>
      </c>
      <c r="AD10" s="42" t="str">
        <f t="shared" si="10"/>
        <v>3</v>
      </c>
      <c r="AE10" s="10">
        <f>IF(C10&gt;0,((I10*((3*86)+C10))/(4*C10*86))*(1-(C10-I10)/(569-86)),0)</f>
        <v>4.0801257440872152E-2</v>
      </c>
      <c r="AF10" s="10">
        <f>IF(D10&gt;0,((J10*((3*86)+D10))/(4*D10*86))*(1-(D10-J10)/(569-86)),0)</f>
        <v>0</v>
      </c>
      <c r="AG10" s="10">
        <f>IF(E10&gt;0,((K10*((3*86)+E10))/(4*E10*86))*(1-(E10-K10)/(569-86)),0)</f>
        <v>0</v>
      </c>
      <c r="AH10" s="10">
        <f>IF(F10&gt;0,((L10*((3*86)+F10))/(4*F10*86))*(1-(F10-L10)/(569-86)),0)</f>
        <v>0</v>
      </c>
      <c r="AI10" s="10">
        <f>IF(G10&gt;0,((M10*((3*86)+G10))/(4*G10*86))*(1-(G10-M10)/(569-86)),0)</f>
        <v>0</v>
      </c>
      <c r="AJ10" s="9"/>
      <c r="AR10" s="1" t="s">
        <v>40</v>
      </c>
    </row>
    <row r="11" spans="1:61" x14ac:dyDescent="0.3">
      <c r="A11" s="31" t="s">
        <v>54</v>
      </c>
      <c r="B11" t="s">
        <v>27</v>
      </c>
      <c r="C11">
        <v>543</v>
      </c>
      <c r="D11">
        <v>341</v>
      </c>
      <c r="E11">
        <v>48</v>
      </c>
      <c r="F11">
        <v>1</v>
      </c>
      <c r="G11">
        <v>0</v>
      </c>
      <c r="I11">
        <v>81</v>
      </c>
      <c r="J11">
        <v>40</v>
      </c>
      <c r="K11">
        <v>7</v>
      </c>
      <c r="L11">
        <v>0</v>
      </c>
      <c r="M11">
        <v>0</v>
      </c>
      <c r="O11" s="27">
        <f t="shared" si="0"/>
        <v>0.14917127071823205</v>
      </c>
      <c r="P11" s="27">
        <f t="shared" si="1"/>
        <v>0.11730205278592376</v>
      </c>
      <c r="Q11" s="27">
        <f t="shared" si="2"/>
        <v>0.14583333333333334</v>
      </c>
      <c r="R11" s="27">
        <f t="shared" si="3"/>
        <v>0</v>
      </c>
      <c r="S11" s="27">
        <f t="shared" si="4"/>
        <v>0</v>
      </c>
      <c r="T11" s="27"/>
      <c r="U11" s="27">
        <f t="shared" si="13"/>
        <v>0.15114235500878734</v>
      </c>
      <c r="V11" s="27"/>
      <c r="W11" s="28">
        <f t="shared" ref="W11:Y18" si="14">IF(O11&gt;0, O11/$U11, 0)</f>
        <v>0.9869587562636517</v>
      </c>
      <c r="X11" s="28">
        <f t="shared" si="14"/>
        <v>0.77610311668826304</v>
      </c>
      <c r="Y11" s="28">
        <f t="shared" si="14"/>
        <v>0.96487403100775204</v>
      </c>
      <c r="Z11" s="28">
        <f t="shared" ref="Z11:Z54" si="15">R11/$U11</f>
        <v>0</v>
      </c>
      <c r="AA11" s="28">
        <f t="shared" ref="AA11:AA54" si="16">S11/$U11</f>
        <v>0</v>
      </c>
      <c r="AB11" s="28">
        <f t="shared" si="6"/>
        <v>0.9869587562636517</v>
      </c>
      <c r="AC11" s="39">
        <f t="shared" si="9"/>
        <v>543</v>
      </c>
      <c r="AD11" s="39" t="str">
        <f t="shared" si="10"/>
        <v>3</v>
      </c>
      <c r="AE11" s="28">
        <f>IF(C11&gt;0,((I11*((3*86)+C11))/(4*C11*86))*(1-(C11-I11)/(569-86)),0)</f>
        <v>1.5101894318162763E-2</v>
      </c>
      <c r="AF11" s="28">
        <f>IF(D11&gt;0,((J11*((3*86)+D11))/(4*D11*86))*(1-(D11-J11)/(569-86)),0)</f>
        <v>7.6965881786652188E-2</v>
      </c>
      <c r="AG11" s="28">
        <f>IF(E11&gt;0,((K11*((3*86)+E11))/(4*E11*86))*(1-(E11-K11)/(569-86)),0)</f>
        <v>0.11871208291203236</v>
      </c>
      <c r="AH11" s="28">
        <f>IF(F11&gt;0,((L11*((3*86)+F11))/(4*F11*86))*(1-(F11-L11)/(569-86)),0)</f>
        <v>0</v>
      </c>
      <c r="AI11" s="28">
        <f>IF(G11&gt;0,((M11*((3*86)+G11))/(4*G11*86))*(1-(G11-M11)/(569-86)),0)</f>
        <v>0</v>
      </c>
      <c r="AJ11" s="2"/>
      <c r="AR11" t="s">
        <v>27</v>
      </c>
      <c r="AS11" s="5">
        <f>MAX(W3,W7,W11,W15,W19,W23,W27,W31)</f>
        <v>1.0830953949776705</v>
      </c>
      <c r="AT11" s="5">
        <f>MAX(X3,X7,X11,X15,X19,X23,X27,X31)</f>
        <v>1.7690785754663652</v>
      </c>
      <c r="AU11" s="5">
        <f>MAX(Y3,Y7,Y11,Y15,Y19,Y23,Y27,Y31)</f>
        <v>3.9241379310344828</v>
      </c>
      <c r="AV11" s="5">
        <f>MAX(Z3,Z7,Z11,Z15,Z19,Z23,Z27,Z31)</f>
        <v>0</v>
      </c>
      <c r="AW11" s="5">
        <f>MAX(AA3,AA7,AA11,AA15,AA19,AA23,AA27,AA31)</f>
        <v>0</v>
      </c>
      <c r="AX11" s="5"/>
    </row>
    <row r="12" spans="1:61" x14ac:dyDescent="0.3">
      <c r="A12" s="31" t="s">
        <v>54</v>
      </c>
      <c r="B12" t="s">
        <v>28</v>
      </c>
      <c r="C12">
        <v>15</v>
      </c>
      <c r="D12">
        <v>2</v>
      </c>
      <c r="E12">
        <v>0</v>
      </c>
      <c r="F12">
        <v>0</v>
      </c>
      <c r="G12">
        <v>0</v>
      </c>
      <c r="I12">
        <v>1</v>
      </c>
      <c r="J12">
        <v>0</v>
      </c>
      <c r="K12">
        <v>0</v>
      </c>
      <c r="L12">
        <v>0</v>
      </c>
      <c r="M12">
        <v>0</v>
      </c>
      <c r="O12" s="27">
        <f t="shared" si="0"/>
        <v>6.6666666666666666E-2</v>
      </c>
      <c r="P12" s="27">
        <f t="shared" si="1"/>
        <v>0</v>
      </c>
      <c r="Q12" s="27">
        <f t="shared" si="2"/>
        <v>0</v>
      </c>
      <c r="R12" s="27">
        <f t="shared" si="3"/>
        <v>0</v>
      </c>
      <c r="S12" s="27">
        <f t="shared" si="4"/>
        <v>0</v>
      </c>
      <c r="T12" s="27"/>
      <c r="U12" s="27">
        <f t="shared" si="13"/>
        <v>0.15114235500878734</v>
      </c>
      <c r="V12" s="27"/>
      <c r="W12" s="28">
        <f t="shared" si="14"/>
        <v>0.44108527131782949</v>
      </c>
      <c r="X12" s="28">
        <f t="shared" si="14"/>
        <v>0</v>
      </c>
      <c r="Y12" s="28">
        <f t="shared" si="14"/>
        <v>0</v>
      </c>
      <c r="Z12" s="28">
        <f t="shared" si="15"/>
        <v>0</v>
      </c>
      <c r="AA12" s="28">
        <f t="shared" si="16"/>
        <v>0</v>
      </c>
      <c r="AB12" s="28">
        <f t="shared" si="6"/>
        <v>0.44108527131782949</v>
      </c>
      <c r="AC12" s="39">
        <f t="shared" si="9"/>
        <v>15</v>
      </c>
      <c r="AD12" s="39" t="str">
        <f t="shared" si="10"/>
        <v>3</v>
      </c>
      <c r="AE12" s="28">
        <f>IF(C12&gt;0,((I12*((3*86)+C12))/(4*C12*86))*(1-(C12-I12)/(569-86)),0)</f>
        <v>5.1373441186383553E-2</v>
      </c>
      <c r="AF12" s="28">
        <f>IF(D12&gt;0,((J12*((3*86)+D12))/(4*D12*86))*(1-(D12-J12)/(569-86)),0)</f>
        <v>0</v>
      </c>
      <c r="AG12" s="28">
        <f>IF(E12&gt;0,((K12*((3*86)+E12))/(4*E12*86))*(1-(E12-K12)/(569-86)),0)</f>
        <v>0</v>
      </c>
      <c r="AH12" s="28">
        <f>IF(F12&gt;0,((L12*((3*86)+F12))/(4*F12*86))*(1-(F12-L12)/(569-86)),0)</f>
        <v>0</v>
      </c>
      <c r="AI12" s="28">
        <f>IF(G12&gt;0,((M12*((3*86)+G12))/(4*G12*86))*(1-(G12-M12)/(569-86)),0)</f>
        <v>0</v>
      </c>
      <c r="AJ12" s="2"/>
      <c r="AR12" t="s">
        <v>28</v>
      </c>
      <c r="AS12" s="8">
        <f>MAX(W4,W8,W12,W16,W20,W24,W28,W32)</f>
        <v>6.3634669151910535</v>
      </c>
      <c r="AT12" s="8">
        <f>MAX(X4,X8,X12,X16,X20,X24,X28,X32)</f>
        <v>1.8325281803542672</v>
      </c>
      <c r="AU12" s="8">
        <f>MAX(Y4,Y8,Y12,Y16,Y20,Y24,Y28,Y32)</f>
        <v>5.5784313725490193</v>
      </c>
      <c r="AV12" s="5">
        <f>MAX(Z4,Z8,Z12,Z16,Z20,Z24,Z28,Z32)</f>
        <v>0</v>
      </c>
      <c r="AW12" s="5">
        <f>MAX(AA4,AA8,AA12,AA16,AA20,AA24,AA28,AA32)</f>
        <v>0</v>
      </c>
      <c r="AX12" s="5"/>
    </row>
    <row r="13" spans="1:61" x14ac:dyDescent="0.3">
      <c r="A13" s="31" t="s">
        <v>54</v>
      </c>
      <c r="B13" t="s">
        <v>29</v>
      </c>
      <c r="C13">
        <v>552</v>
      </c>
      <c r="D13">
        <v>328</v>
      </c>
      <c r="E13">
        <v>46</v>
      </c>
      <c r="F13">
        <v>5</v>
      </c>
      <c r="G13">
        <v>0</v>
      </c>
      <c r="I13">
        <v>80</v>
      </c>
      <c r="J13">
        <v>43</v>
      </c>
      <c r="K13">
        <v>7</v>
      </c>
      <c r="L13">
        <v>0</v>
      </c>
      <c r="M13">
        <v>0</v>
      </c>
      <c r="O13" s="27">
        <f t="shared" si="0"/>
        <v>0.14492753623188406</v>
      </c>
      <c r="P13" s="27">
        <f t="shared" si="1"/>
        <v>0.13109756097560976</v>
      </c>
      <c r="Q13" s="27">
        <f t="shared" si="2"/>
        <v>0.15217391304347827</v>
      </c>
      <c r="R13" s="27">
        <f t="shared" si="3"/>
        <v>0</v>
      </c>
      <c r="S13" s="27">
        <f t="shared" si="4"/>
        <v>0</v>
      </c>
      <c r="T13" s="27"/>
      <c r="U13" s="27">
        <f t="shared" si="13"/>
        <v>0.15114235500878734</v>
      </c>
      <c r="V13" s="27"/>
      <c r="W13" s="28">
        <f t="shared" si="14"/>
        <v>0.95888102460397717</v>
      </c>
      <c r="X13" s="28">
        <f t="shared" si="14"/>
        <v>0.86737804878048785</v>
      </c>
      <c r="Y13" s="28">
        <f t="shared" si="14"/>
        <v>1.0068250758341761</v>
      </c>
      <c r="Z13" s="28">
        <f t="shared" si="15"/>
        <v>0</v>
      </c>
      <c r="AA13" s="28">
        <f t="shared" si="16"/>
        <v>0</v>
      </c>
      <c r="AB13" s="28">
        <f t="shared" si="6"/>
        <v>1.0068250758341761</v>
      </c>
      <c r="AC13" s="39">
        <f t="shared" si="9"/>
        <v>46</v>
      </c>
      <c r="AD13" s="39" t="str">
        <f t="shared" si="10"/>
        <v>5</v>
      </c>
      <c r="AE13" s="28">
        <f>IF(C13&gt;0,((I13*((3*86)+C13))/(4*C13*86))*(1-(C13-I13)/(569-86)),0)</f>
        <v>7.7718254840512743E-3</v>
      </c>
      <c r="AF13" s="28">
        <f>IF(D13&gt;0,((J13*((3*86)+D13))/(4*D13*86))*(1-(D13-J13)/(569-86)),0)</f>
        <v>9.1548628995606729E-2</v>
      </c>
      <c r="AG13" s="28">
        <f>IF(E13&gt;0,((K13*((3*86)+E13))/(4*E13*86))*(1-(E13-K13)/(569-86)),0)</f>
        <v>0.12362069723480018</v>
      </c>
      <c r="AH13" s="28">
        <f>IF(F13&gt;0,((L13*((3*86)+F13))/(4*F13*86))*(1-(F13-L13)/(569-86)),0)</f>
        <v>0</v>
      </c>
      <c r="AI13" s="28">
        <f>IF(G13&gt;0,((M13*((3*86)+G13))/(4*G13*86))*(1-(G13-M13)/(569-86)),0)</f>
        <v>0</v>
      </c>
      <c r="AJ13" s="2"/>
      <c r="AR13" t="s">
        <v>29</v>
      </c>
      <c r="AS13" s="8">
        <f>MAX(W5,W9,W13,W17,W21,W25,W29,W33)</f>
        <v>1.0178890876565296</v>
      </c>
      <c r="AT13" s="8">
        <f>MAX(X5,X9,X13,X17,X21,X25,X29,X33)</f>
        <v>0.98394268774703564</v>
      </c>
      <c r="AU13" s="8">
        <f>MAX(Y5,Y9,Y13,Y17,Y21,Y25,Y29,Y33)</f>
        <v>1.4817708333333333</v>
      </c>
      <c r="AV13" s="5">
        <f>MAX(Z5,Z9,Z13,Z17,Z21,Z25,Z29,Z33)</f>
        <v>2.2054263565891472</v>
      </c>
      <c r="AW13" s="5">
        <f>MAX(AA5,AA9,AA13,AA17,AA21,AA25,AA29,AA33)</f>
        <v>0</v>
      </c>
      <c r="AX13" s="5"/>
    </row>
    <row r="14" spans="1:61" s="1" customFormat="1" x14ac:dyDescent="0.3">
      <c r="A14" s="31" t="s">
        <v>54</v>
      </c>
      <c r="B14" s="1" t="s">
        <v>30</v>
      </c>
      <c r="C14" s="1">
        <v>19</v>
      </c>
      <c r="D14" s="1">
        <v>3</v>
      </c>
      <c r="E14" s="1">
        <v>0</v>
      </c>
      <c r="F14" s="1">
        <v>0</v>
      </c>
      <c r="G14" s="1">
        <v>0</v>
      </c>
      <c r="I14" s="1">
        <v>2</v>
      </c>
      <c r="J14" s="1">
        <v>0</v>
      </c>
      <c r="K14" s="1">
        <v>0</v>
      </c>
      <c r="L14" s="1">
        <v>0</v>
      </c>
      <c r="M14" s="1">
        <v>0</v>
      </c>
      <c r="O14" s="29">
        <f t="shared" si="0"/>
        <v>0.10526315789473684</v>
      </c>
      <c r="P14" s="29">
        <f t="shared" si="1"/>
        <v>0</v>
      </c>
      <c r="Q14" s="29">
        <f t="shared" si="2"/>
        <v>0</v>
      </c>
      <c r="R14" s="29">
        <f t="shared" si="3"/>
        <v>0</v>
      </c>
      <c r="S14" s="29">
        <f t="shared" si="4"/>
        <v>0</v>
      </c>
      <c r="T14" s="29"/>
      <c r="U14" s="29">
        <f t="shared" si="13"/>
        <v>0.15114235500878734</v>
      </c>
      <c r="V14" s="29"/>
      <c r="W14" s="30">
        <f t="shared" si="14"/>
        <v>0.69645042839657278</v>
      </c>
      <c r="X14" s="30">
        <f t="shared" si="14"/>
        <v>0</v>
      </c>
      <c r="Y14" s="30">
        <f t="shared" si="14"/>
        <v>0</v>
      </c>
      <c r="Z14" s="30">
        <f t="shared" si="15"/>
        <v>0</v>
      </c>
      <c r="AA14" s="30">
        <f t="shared" si="16"/>
        <v>0</v>
      </c>
      <c r="AB14" s="30">
        <f t="shared" si="6"/>
        <v>0.69645042839657278</v>
      </c>
      <c r="AC14" s="40">
        <f t="shared" si="9"/>
        <v>19</v>
      </c>
      <c r="AD14" s="40" t="str">
        <f t="shared" si="10"/>
        <v>3</v>
      </c>
      <c r="AE14" s="30">
        <f>IF(C14&gt;0,((I14*((3*86)+C14))/(4*C14*86))*(1-(C14-I14)/(569-86)),0)</f>
        <v>8.1778004161059889E-2</v>
      </c>
      <c r="AF14" s="30">
        <f>IF(D14&gt;0,((J14*((3*86)+D14))/(4*D14*86))*(1-(D14-J14)/(569-86)),0)</f>
        <v>0</v>
      </c>
      <c r="AG14" s="30">
        <f>IF(E14&gt;0,((K14*((3*86)+E14))/(4*E14*86))*(1-(E14-K14)/(569-86)),0)</f>
        <v>0</v>
      </c>
      <c r="AH14" s="30">
        <f>IF(F14&gt;0,((L14*((3*86)+F14))/(4*F14*86))*(1-(F14-L14)/(569-86)),0)</f>
        <v>0</v>
      </c>
      <c r="AI14" s="30">
        <f>IF(G14&gt;0,((M14*((3*86)+G14))/(4*G14*86))*(1-(G14-M14)/(569-86)),0)</f>
        <v>0</v>
      </c>
      <c r="AJ14" s="9"/>
      <c r="AR14" s="1" t="s">
        <v>30</v>
      </c>
      <c r="AS14" s="15">
        <f>MAX(W6,W10,W14,W18,W22,W26,W30,W34)</f>
        <v>4.9051724137931032</v>
      </c>
      <c r="AT14" s="15">
        <f>MAX(X6,X10,X14,X18,X22,X26,X30,X34)</f>
        <v>2.1553030303030303</v>
      </c>
      <c r="AU14" s="15">
        <f>MAX(Y6,Y10,Y14,Y18,Y22,Y26,Y30,Y34)</f>
        <v>2.9179487179487178</v>
      </c>
      <c r="AV14" s="14">
        <f>MAX(Z6,Z10,Z14,Z18,Z22,Z26,Z30,Z34)</f>
        <v>0</v>
      </c>
      <c r="AW14" s="14">
        <f>MAX(AA6,AA10,AA14,AA18,AA22,AA26,AA30,AA34)</f>
        <v>0</v>
      </c>
      <c r="AX14" s="14"/>
    </row>
    <row r="15" spans="1:61" x14ac:dyDescent="0.3">
      <c r="A15" s="31" t="s">
        <v>31</v>
      </c>
      <c r="B15" t="s">
        <v>27</v>
      </c>
      <c r="C15">
        <v>471</v>
      </c>
      <c r="D15">
        <v>122</v>
      </c>
      <c r="E15">
        <v>5</v>
      </c>
      <c r="F15">
        <v>0</v>
      </c>
      <c r="G15">
        <v>0</v>
      </c>
      <c r="I15">
        <v>26</v>
      </c>
      <c r="J15">
        <v>11</v>
      </c>
      <c r="K15">
        <v>1</v>
      </c>
      <c r="L15">
        <v>0</v>
      </c>
      <c r="M15">
        <v>0</v>
      </c>
      <c r="O15" s="2">
        <f t="shared" si="0"/>
        <v>5.5201698513800426E-2</v>
      </c>
      <c r="P15" s="2">
        <f t="shared" si="1"/>
        <v>9.0163934426229511E-2</v>
      </c>
      <c r="Q15" s="2">
        <f t="shared" si="2"/>
        <v>0.2</v>
      </c>
      <c r="R15" s="2">
        <f t="shared" si="3"/>
        <v>0</v>
      </c>
      <c r="S15" s="2">
        <f t="shared" si="4"/>
        <v>0</v>
      </c>
      <c r="T15" s="2"/>
      <c r="U15" s="2">
        <f>29/569</f>
        <v>5.0966608084358524E-2</v>
      </c>
      <c r="V15" s="2"/>
      <c r="W15" s="3">
        <f t="shared" si="14"/>
        <v>1.0830953949776705</v>
      </c>
      <c r="X15" s="3">
        <f t="shared" si="14"/>
        <v>1.7690785754663652</v>
      </c>
      <c r="Y15" s="3">
        <f t="shared" si="14"/>
        <v>3.9241379310344828</v>
      </c>
      <c r="Z15" s="3">
        <f t="shared" si="15"/>
        <v>0</v>
      </c>
      <c r="AA15" s="3">
        <f t="shared" si="16"/>
        <v>0</v>
      </c>
      <c r="AB15" s="3">
        <f t="shared" si="6"/>
        <v>3.9241379310344828</v>
      </c>
      <c r="AC15" s="41">
        <f t="shared" si="9"/>
        <v>5</v>
      </c>
      <c r="AD15" s="41" t="str">
        <f t="shared" si="10"/>
        <v>5</v>
      </c>
      <c r="AE15" s="3">
        <f>IF(C15&gt;0,((I15*((3*29)+C15))/(4*C15*29))*(1-(C15-I15)/(569-29)),0)</f>
        <v>4.6715230495155823E-2</v>
      </c>
      <c r="AF15" s="3">
        <f>IF(D15&gt;0,((J15*((3*29)+D15))/(4*D15*29))*(1-(D15-J15)/(569-29)),0)</f>
        <v>0.12905792663777402</v>
      </c>
      <c r="AG15" s="3">
        <f>IF(E15&gt;0,((K15*((3*29)+E15))/(4*E15*29))*(1-(E15-K15)/(569-29)),0)</f>
        <v>0.15744572158365264</v>
      </c>
      <c r="AH15" s="3">
        <f>IF(F15&gt;0,((L15*((3*29)+F15))/(4*F15*29))*(1-(F15-L15)/(569-29)),0)</f>
        <v>0</v>
      </c>
      <c r="AI15" s="3">
        <f>IF(G15&gt;0,((M15*((3*29)+G15))/(4*G15*29))*(1-(G15-M15)/(569-29)),0)</f>
        <v>0</v>
      </c>
      <c r="AJ15" s="2"/>
    </row>
    <row r="16" spans="1:61" x14ac:dyDescent="0.3">
      <c r="A16" s="31" t="s">
        <v>31</v>
      </c>
      <c r="B16" t="s">
        <v>28</v>
      </c>
      <c r="C16">
        <v>37</v>
      </c>
      <c r="D16">
        <v>3</v>
      </c>
      <c r="E16">
        <v>0</v>
      </c>
      <c r="F16">
        <v>0</v>
      </c>
      <c r="G16">
        <v>0</v>
      </c>
      <c r="I16">
        <v>12</v>
      </c>
      <c r="J16">
        <v>0</v>
      </c>
      <c r="K16">
        <v>0</v>
      </c>
      <c r="L16">
        <v>0</v>
      </c>
      <c r="M16">
        <v>0</v>
      </c>
      <c r="O16" s="2">
        <f t="shared" si="0"/>
        <v>0.32432432432432434</v>
      </c>
      <c r="P16" s="2">
        <f t="shared" si="1"/>
        <v>0</v>
      </c>
      <c r="Q16" s="2">
        <f t="shared" si="2"/>
        <v>0</v>
      </c>
      <c r="R16" s="2">
        <f t="shared" si="3"/>
        <v>0</v>
      </c>
      <c r="S16" s="2">
        <f t="shared" si="4"/>
        <v>0</v>
      </c>
      <c r="T16" s="2"/>
      <c r="U16" s="2">
        <f>29/569</f>
        <v>5.0966608084358524E-2</v>
      </c>
      <c r="V16" s="2"/>
      <c r="W16" s="3">
        <f t="shared" si="14"/>
        <v>6.3634669151910535</v>
      </c>
      <c r="X16" s="3">
        <f t="shared" si="14"/>
        <v>0</v>
      </c>
      <c r="Y16" s="3">
        <f t="shared" si="14"/>
        <v>0</v>
      </c>
      <c r="Z16" s="3">
        <f t="shared" si="15"/>
        <v>0</v>
      </c>
      <c r="AA16" s="3">
        <f t="shared" si="16"/>
        <v>0</v>
      </c>
      <c r="AB16" s="3">
        <f t="shared" si="6"/>
        <v>6.3634669151910535</v>
      </c>
      <c r="AC16" s="41">
        <f t="shared" si="9"/>
        <v>37</v>
      </c>
      <c r="AD16" s="41" t="str">
        <f t="shared" si="10"/>
        <v>3</v>
      </c>
      <c r="AE16" s="3">
        <f>IF(C16&gt;0,((I16*((3*29)+C16))/(4*C16*29))*(1-(C16-I16)/(569-29)),0)</f>
        <v>0.33064098581339962</v>
      </c>
      <c r="AF16" s="3">
        <f>IF(D16&gt;0,((J16*((3*29)+D16))/(4*D16*29))*(1-(D16-J16)/(569-29)),0)</f>
        <v>0</v>
      </c>
      <c r="AG16" s="3">
        <f>IF(E16&gt;0,((K16*((3*29)+E16))/(4*E16*29))*(1-(E16-K16)/(569-29)),0)</f>
        <v>0</v>
      </c>
      <c r="AH16" s="3">
        <f>IF(F16&gt;0,((L16*((3*29)+F16))/(4*F16*29))*(1-(F16-L16)/(569-29)),0)</f>
        <v>0</v>
      </c>
      <c r="AI16" s="3">
        <f>IF(G16&gt;0,((M16*((3*29)+G16))/(4*G16*29))*(1-(G16-M16)/(569-29)),0)</f>
        <v>0</v>
      </c>
      <c r="AJ16" s="2"/>
    </row>
    <row r="17" spans="1:71" x14ac:dyDescent="0.3">
      <c r="A17" s="31" t="s">
        <v>31</v>
      </c>
      <c r="B17" t="s">
        <v>29</v>
      </c>
      <c r="C17">
        <v>517</v>
      </c>
      <c r="D17">
        <v>160</v>
      </c>
      <c r="E17">
        <v>12</v>
      </c>
      <c r="F17">
        <v>1</v>
      </c>
      <c r="G17">
        <v>0</v>
      </c>
      <c r="I17">
        <v>25</v>
      </c>
      <c r="J17">
        <v>5</v>
      </c>
      <c r="K17">
        <v>0</v>
      </c>
      <c r="L17">
        <v>0</v>
      </c>
      <c r="M17">
        <v>0</v>
      </c>
      <c r="O17" s="2">
        <f t="shared" si="0"/>
        <v>4.8355899419729204E-2</v>
      </c>
      <c r="P17" s="2">
        <f t="shared" si="1"/>
        <v>3.125E-2</v>
      </c>
      <c r="Q17" s="2">
        <f t="shared" si="2"/>
        <v>0</v>
      </c>
      <c r="R17" s="2">
        <f t="shared" si="3"/>
        <v>0</v>
      </c>
      <c r="S17" s="2">
        <f t="shared" si="4"/>
        <v>0</v>
      </c>
      <c r="T17" s="2"/>
      <c r="U17" s="2">
        <f>29/569</f>
        <v>5.0966608084358524E-2</v>
      </c>
      <c r="V17" s="2"/>
      <c r="W17" s="3">
        <f t="shared" si="14"/>
        <v>0.94877609551123854</v>
      </c>
      <c r="X17" s="3">
        <f t="shared" si="14"/>
        <v>0.6131465517241379</v>
      </c>
      <c r="Y17" s="3">
        <f t="shared" si="14"/>
        <v>0</v>
      </c>
      <c r="Z17" s="3">
        <f t="shared" si="15"/>
        <v>0</v>
      </c>
      <c r="AA17" s="3">
        <f t="shared" si="16"/>
        <v>0</v>
      </c>
      <c r="AB17" s="3">
        <f t="shared" si="6"/>
        <v>0.94877609551123854</v>
      </c>
      <c r="AC17" s="41">
        <f t="shared" si="9"/>
        <v>517</v>
      </c>
      <c r="AD17" s="41" t="str">
        <f t="shared" si="10"/>
        <v>3</v>
      </c>
      <c r="AE17" s="3">
        <f>IF(C17&gt;0,((I17*((3*29)+C17))/(4*C17*29))*(1-(C17-I17)/(569-29)),0)</f>
        <v>2.2380814750587313E-2</v>
      </c>
      <c r="AF17" s="3">
        <f>IF(D17&gt;0,((J17*((3*29)+D17))/(4*D17*29))*(1-(D17-J17)/(569-29)),0)</f>
        <v>4.744123164112389E-2</v>
      </c>
      <c r="AG17" s="3">
        <f>IF(E17&gt;0,((K17*((3*29)+E17))/(4*E17*29))*(1-(E17-K17)/(569-29)),0)</f>
        <v>0</v>
      </c>
      <c r="AH17" s="3">
        <f>IF(F17&gt;0,((L17*((3*29)+F17))/(4*F17*29))*(1-(F17-L17)/(569-29)),0)</f>
        <v>0</v>
      </c>
      <c r="AI17" s="3">
        <f>IF(G17&gt;0,((M17*((3*29)+G17))/(4*G17*29))*(1-(G17-M17)/(569-29)),0)</f>
        <v>0</v>
      </c>
      <c r="AJ17" s="2"/>
    </row>
    <row r="18" spans="1:71" s="1" customFormat="1" x14ac:dyDescent="0.3">
      <c r="A18" s="31" t="s">
        <v>31</v>
      </c>
      <c r="B18" s="1" t="s">
        <v>30</v>
      </c>
      <c r="C18" s="1">
        <v>20</v>
      </c>
      <c r="D18" s="1">
        <v>3</v>
      </c>
      <c r="E18" s="1">
        <v>0</v>
      </c>
      <c r="F18" s="1">
        <v>0</v>
      </c>
      <c r="G18" s="1">
        <v>0</v>
      </c>
      <c r="I18" s="1">
        <v>5</v>
      </c>
      <c r="J18" s="1">
        <v>0</v>
      </c>
      <c r="K18" s="1">
        <v>0</v>
      </c>
      <c r="L18" s="1">
        <v>0</v>
      </c>
      <c r="M18" s="1">
        <v>0</v>
      </c>
      <c r="O18" s="9">
        <f t="shared" si="0"/>
        <v>0.25</v>
      </c>
      <c r="P18" s="9">
        <f t="shared" si="1"/>
        <v>0</v>
      </c>
      <c r="Q18" s="9">
        <f t="shared" si="2"/>
        <v>0</v>
      </c>
      <c r="R18" s="9">
        <f t="shared" si="3"/>
        <v>0</v>
      </c>
      <c r="S18" s="9">
        <f t="shared" si="4"/>
        <v>0</v>
      </c>
      <c r="T18" s="9"/>
      <c r="U18" s="9">
        <f>29/569</f>
        <v>5.0966608084358524E-2</v>
      </c>
      <c r="V18" s="9"/>
      <c r="W18" s="10">
        <f t="shared" si="14"/>
        <v>4.9051724137931032</v>
      </c>
      <c r="X18" s="10">
        <f t="shared" si="14"/>
        <v>0</v>
      </c>
      <c r="Y18" s="10">
        <f t="shared" si="14"/>
        <v>0</v>
      </c>
      <c r="Z18" s="10">
        <f t="shared" si="15"/>
        <v>0</v>
      </c>
      <c r="AA18" s="10">
        <f t="shared" si="16"/>
        <v>0</v>
      </c>
      <c r="AB18" s="10">
        <f t="shared" si="6"/>
        <v>4.9051724137931032</v>
      </c>
      <c r="AC18" s="42">
        <f t="shared" si="9"/>
        <v>20</v>
      </c>
      <c r="AD18" s="42" t="str">
        <f t="shared" si="10"/>
        <v>3</v>
      </c>
      <c r="AE18" s="10">
        <f>IF(C18&gt;0,((I18*((3*29)+C18))/(4*C18*29))*(1-(C18-I18)/(569-29)),0)</f>
        <v>0.22419779693486591</v>
      </c>
      <c r="AF18" s="10">
        <f>IF(D18&gt;0,((J18*((3*29)+D18))/(4*D18*29))*(1-(D18-J18)/(569-29)),0)</f>
        <v>0</v>
      </c>
      <c r="AG18" s="10">
        <f>IF(E18&gt;0,((K18*((3*29)+E18))/(4*E18*29))*(1-(E18-K18)/(569-29)),0)</f>
        <v>0</v>
      </c>
      <c r="AH18" s="10">
        <f>IF(F18&gt;0,((L18*((3*29)+F18))/(4*F18*29))*(1-(F18-L18)/(569-29)),0)</f>
        <v>0</v>
      </c>
      <c r="AI18" s="10">
        <f>IF(G18&gt;0,((M18*((3*29)+G18))/(4*G18*29))*(1-(G18-M18)/(569-29)),0)</f>
        <v>0</v>
      </c>
      <c r="AJ18" s="9"/>
    </row>
    <row r="19" spans="1:71" x14ac:dyDescent="0.3">
      <c r="A19" s="31" t="s">
        <v>55</v>
      </c>
      <c r="B19" t="s">
        <v>27</v>
      </c>
      <c r="C19">
        <v>563</v>
      </c>
      <c r="D19">
        <v>370</v>
      </c>
      <c r="E19">
        <v>20</v>
      </c>
      <c r="F19">
        <v>2</v>
      </c>
      <c r="G19">
        <v>0</v>
      </c>
      <c r="I19">
        <v>32</v>
      </c>
      <c r="J19">
        <v>17</v>
      </c>
      <c r="K19">
        <v>0</v>
      </c>
      <c r="L19">
        <v>0</v>
      </c>
      <c r="M19">
        <v>0</v>
      </c>
      <c r="O19" s="27">
        <f t="shared" si="0"/>
        <v>5.6838365896980464E-2</v>
      </c>
      <c r="P19" s="27">
        <f t="shared" si="1"/>
        <v>4.5945945945945948E-2</v>
      </c>
      <c r="Q19" s="27">
        <f t="shared" si="2"/>
        <v>0</v>
      </c>
      <c r="R19" s="27">
        <f t="shared" si="3"/>
        <v>0</v>
      </c>
      <c r="S19" s="27">
        <f t="shared" si="4"/>
        <v>0</v>
      </c>
      <c r="T19" s="27"/>
      <c r="U19" s="27">
        <f>32/569</f>
        <v>5.6239015817223195E-2</v>
      </c>
      <c r="V19" s="27"/>
      <c r="W19" s="28">
        <f t="shared" ref="W19:W54" si="17">O19/$U19</f>
        <v>1.0106571936056838</v>
      </c>
      <c r="X19" s="28">
        <f t="shared" ref="X19:X54" si="18">P19/$U19</f>
        <v>0.81697635135135149</v>
      </c>
      <c r="Y19" s="28">
        <f t="shared" ref="Y19:Y54" si="19">Q19/$U19</f>
        <v>0</v>
      </c>
      <c r="Z19" s="28">
        <f t="shared" si="15"/>
        <v>0</v>
      </c>
      <c r="AA19" s="28">
        <f t="shared" si="16"/>
        <v>0</v>
      </c>
      <c r="AB19" s="28">
        <f t="shared" si="6"/>
        <v>1.0106571936056838</v>
      </c>
      <c r="AC19" s="39">
        <f t="shared" si="9"/>
        <v>563</v>
      </c>
      <c r="AD19" s="39" t="str">
        <f t="shared" si="10"/>
        <v>3</v>
      </c>
      <c r="AE19" s="28">
        <f>IF(C19&gt;0,((I19*((3*32)+C19))/(4*C19*32))*(1-(C19-I19)/(569-32)),0)</f>
        <v>3.2695952449467601E-3</v>
      </c>
      <c r="AF19" s="28">
        <f>IF(D19&gt;0,((J19*((3*32)+D19))/(4*D19*32))*(1-(D19-J19)/(569-32)),0)</f>
        <v>5.7314786853892997E-2</v>
      </c>
      <c r="AG19" s="28">
        <f>IF(E19&gt;0,((K19*((3*32)+E19))/(4*E19*32))*(1-(E19-K19)/(569-32)),0)</f>
        <v>0</v>
      </c>
      <c r="AH19" s="28">
        <f>IF(F19&gt;0,((L19*((3*32)+F19))/(4*F19*32))*(1-(F19-L19)/(569-32)),0)</f>
        <v>0</v>
      </c>
      <c r="AI19" s="28">
        <f>IF(G19&gt;0,((M19*((3*32)+G19))/(4*G19*32))*(1-(G19-M19)/(569-32)),0)</f>
        <v>0</v>
      </c>
      <c r="AJ19" s="2"/>
      <c r="AR19" t="s">
        <v>27</v>
      </c>
      <c r="AT19" s="5"/>
    </row>
    <row r="20" spans="1:71" x14ac:dyDescent="0.3">
      <c r="A20" s="31" t="s">
        <v>55</v>
      </c>
      <c r="B20" t="s">
        <v>28</v>
      </c>
      <c r="C20">
        <v>82</v>
      </c>
      <c r="D20">
        <v>6</v>
      </c>
      <c r="E20">
        <v>0</v>
      </c>
      <c r="F20">
        <v>0</v>
      </c>
      <c r="G20">
        <v>0</v>
      </c>
      <c r="I20">
        <v>12</v>
      </c>
      <c r="J20">
        <v>0</v>
      </c>
      <c r="K20">
        <v>0</v>
      </c>
      <c r="L20">
        <v>0</v>
      </c>
      <c r="M20">
        <v>0</v>
      </c>
      <c r="O20" s="27">
        <f t="shared" si="0"/>
        <v>0.14634146341463414</v>
      </c>
      <c r="P20" s="27">
        <f t="shared" si="1"/>
        <v>0</v>
      </c>
      <c r="Q20" s="27">
        <f t="shared" si="2"/>
        <v>0</v>
      </c>
      <c r="R20" s="27">
        <f t="shared" si="3"/>
        <v>0</v>
      </c>
      <c r="S20" s="27">
        <f t="shared" si="4"/>
        <v>0</v>
      </c>
      <c r="T20" s="27"/>
      <c r="U20" s="27">
        <f>32/569</f>
        <v>5.6239015817223195E-2</v>
      </c>
      <c r="V20" s="27"/>
      <c r="W20" s="28">
        <f t="shared" si="17"/>
        <v>2.6021341463414633</v>
      </c>
      <c r="X20" s="28">
        <f t="shared" si="18"/>
        <v>0</v>
      </c>
      <c r="Y20" s="28">
        <f t="shared" si="19"/>
        <v>0</v>
      </c>
      <c r="Z20" s="28">
        <f t="shared" si="15"/>
        <v>0</v>
      </c>
      <c r="AA20" s="28">
        <f t="shared" si="16"/>
        <v>0</v>
      </c>
      <c r="AB20" s="28">
        <f t="shared" si="6"/>
        <v>2.6021341463414633</v>
      </c>
      <c r="AC20" s="39">
        <f t="shared" si="9"/>
        <v>82</v>
      </c>
      <c r="AD20" s="39" t="str">
        <f t="shared" si="10"/>
        <v>3</v>
      </c>
      <c r="AE20" s="28">
        <f>IF(C20&gt;0,((I20*((3*32)+C20))/(4*C20*32))*(1-(C20-I20)/(569-32)),0)</f>
        <v>0.17697830085842758</v>
      </c>
      <c r="AF20" s="28">
        <f>IF(D20&gt;0,((J20*((3*32)+D20))/(4*D20*32))*(1-(D20-J20)/(569-32)),0)</f>
        <v>0</v>
      </c>
      <c r="AG20" s="28">
        <f>IF(E20&gt;0,((K20*((3*32)+E20))/(4*E20*32))*(1-(E20-K20)/(569-32)),0)</f>
        <v>0</v>
      </c>
      <c r="AH20" s="28">
        <f>IF(F20&gt;0,((L20*((3*32)+F20))/(4*F20*32))*(1-(F20-L20)/(569-32)),0)</f>
        <v>0</v>
      </c>
      <c r="AI20" s="28">
        <f>IF(G20&gt;0,((M20*((3*32)+G20))/(4*G20*32))*(1-(G20-M20)/(569-32)),0)</f>
        <v>0</v>
      </c>
      <c r="AJ20" s="2"/>
      <c r="AR20" t="s">
        <v>28</v>
      </c>
    </row>
    <row r="21" spans="1:71" x14ac:dyDescent="0.3">
      <c r="A21" s="31" t="s">
        <v>55</v>
      </c>
      <c r="B21" t="s">
        <v>29</v>
      </c>
      <c r="C21">
        <v>554</v>
      </c>
      <c r="D21">
        <v>276</v>
      </c>
      <c r="E21">
        <v>24</v>
      </c>
      <c r="F21">
        <v>0</v>
      </c>
      <c r="G21">
        <v>0</v>
      </c>
      <c r="I21">
        <v>29</v>
      </c>
      <c r="J21">
        <v>12</v>
      </c>
      <c r="K21">
        <v>2</v>
      </c>
      <c r="L21">
        <v>0</v>
      </c>
      <c r="M21">
        <v>0</v>
      </c>
      <c r="O21" s="27">
        <f t="shared" si="0"/>
        <v>5.2346570397111915E-2</v>
      </c>
      <c r="P21" s="27">
        <f t="shared" si="1"/>
        <v>4.3478260869565216E-2</v>
      </c>
      <c r="Q21" s="27">
        <f t="shared" si="2"/>
        <v>8.3333333333333329E-2</v>
      </c>
      <c r="R21" s="27">
        <f t="shared" si="3"/>
        <v>0</v>
      </c>
      <c r="S21" s="27">
        <f t="shared" si="4"/>
        <v>0</v>
      </c>
      <c r="T21" s="27"/>
      <c r="U21" s="27">
        <f>32/569</f>
        <v>5.6239015817223195E-2</v>
      </c>
      <c r="V21" s="27"/>
      <c r="W21" s="28">
        <f t="shared" si="17"/>
        <v>0.93078745487364634</v>
      </c>
      <c r="X21" s="28">
        <f t="shared" si="18"/>
        <v>0.77309782608695654</v>
      </c>
      <c r="Y21" s="28">
        <f t="shared" si="19"/>
        <v>1.4817708333333333</v>
      </c>
      <c r="Z21" s="28">
        <f t="shared" si="15"/>
        <v>0</v>
      </c>
      <c r="AA21" s="28">
        <f t="shared" si="16"/>
        <v>0</v>
      </c>
      <c r="AB21" s="28">
        <f t="shared" si="6"/>
        <v>1.4817708333333333</v>
      </c>
      <c r="AC21" s="39">
        <f t="shared" si="9"/>
        <v>24</v>
      </c>
      <c r="AD21" s="39" t="str">
        <f t="shared" si="10"/>
        <v>5</v>
      </c>
      <c r="AE21" s="28">
        <f>IF(C21&gt;0,((I21*((3*32)+C21))/(4*C21*32))*(1-(C21-I21)/(569-32)),0)</f>
        <v>5.9401659843091323E-3</v>
      </c>
      <c r="AF21" s="28">
        <f>IF(D21&gt;0,((J21*((3*32)+D21))/(4*D21*32))*(1-(D21-J21)/(569-32)),0)</f>
        <v>6.4238219577362171E-2</v>
      </c>
      <c r="AG21" s="28">
        <f>IF(E21&gt;0,((K21*((3*32)+E21))/(4*E21*32))*(1-(E21-K21)/(569-32)),0)</f>
        <v>7.4924348230912485E-2</v>
      </c>
      <c r="AH21" s="28">
        <f>IF(F21&gt;0,((L21*((3*32)+F21))/(4*F21*32))*(1-(F21-L21)/(569-32)),0)</f>
        <v>0</v>
      </c>
      <c r="AI21" s="28">
        <f>IF(G21&gt;0,((M21*((3*32)+G21))/(4*G21*32))*(1-(G21-M21)/(569-32)),0)</f>
        <v>0</v>
      </c>
      <c r="AJ21" s="2"/>
      <c r="AR21" t="s">
        <v>29</v>
      </c>
    </row>
    <row r="22" spans="1:71" s="1" customFormat="1" x14ac:dyDescent="0.3">
      <c r="A22" s="31" t="s">
        <v>55</v>
      </c>
      <c r="B22" s="1" t="s">
        <v>30</v>
      </c>
      <c r="C22" s="1">
        <v>514</v>
      </c>
      <c r="D22" s="1">
        <v>66</v>
      </c>
      <c r="E22" s="1">
        <v>1</v>
      </c>
      <c r="F22" s="1">
        <v>0</v>
      </c>
      <c r="G22" s="1">
        <v>0</v>
      </c>
      <c r="I22" s="1">
        <v>32</v>
      </c>
      <c r="J22" s="1">
        <v>8</v>
      </c>
      <c r="K22" s="1">
        <v>0</v>
      </c>
      <c r="L22" s="1">
        <v>0</v>
      </c>
      <c r="M22" s="1">
        <v>0</v>
      </c>
      <c r="O22" s="29">
        <f t="shared" si="0"/>
        <v>6.2256809338521402E-2</v>
      </c>
      <c r="P22" s="29">
        <f t="shared" si="1"/>
        <v>0.12121212121212122</v>
      </c>
      <c r="Q22" s="29">
        <f t="shared" si="2"/>
        <v>0</v>
      </c>
      <c r="R22" s="29">
        <f t="shared" si="3"/>
        <v>0</v>
      </c>
      <c r="S22" s="29">
        <f t="shared" si="4"/>
        <v>0</v>
      </c>
      <c r="T22" s="29"/>
      <c r="U22" s="29">
        <f>32/569</f>
        <v>5.6239015817223195E-2</v>
      </c>
      <c r="V22" s="29"/>
      <c r="W22" s="30">
        <f t="shared" si="17"/>
        <v>1.1070038910505837</v>
      </c>
      <c r="X22" s="30">
        <f t="shared" si="18"/>
        <v>2.1553030303030303</v>
      </c>
      <c r="Y22" s="30">
        <f t="shared" si="19"/>
        <v>0</v>
      </c>
      <c r="Z22" s="30">
        <f t="shared" si="15"/>
        <v>0</v>
      </c>
      <c r="AA22" s="30">
        <f t="shared" si="16"/>
        <v>0</v>
      </c>
      <c r="AB22" s="30">
        <f t="shared" si="6"/>
        <v>2.1553030303030303</v>
      </c>
      <c r="AC22" s="40">
        <f t="shared" si="9"/>
        <v>66</v>
      </c>
      <c r="AD22" s="40" t="str">
        <f t="shared" si="10"/>
        <v>4</v>
      </c>
      <c r="AE22" s="30">
        <f>IF(C22&gt;0,((I22*((3*32)+C22))/(4*C22*32))*(1-(C22-I22)/(569-32)),0)</f>
        <v>3.0387510959430167E-2</v>
      </c>
      <c r="AF22" s="30">
        <f>IF(D22&gt;0,((J22*((3*32)+D22))/(4*D22*32))*(1-(D22-J22)/(569-32)),0)</f>
        <v>0.13683976637887252</v>
      </c>
      <c r="AG22" s="30">
        <f>IF(E22&gt;0,((K22*((3*32)+E22))/(4*E22*32))*(1-(E22-K22)/(569-32)),0)</f>
        <v>0</v>
      </c>
      <c r="AH22" s="30">
        <f>IF(F22&gt;0,((L22*((3*32)+F22))/(4*F22*32))*(1-(F22-L22)/(569-32)),0)</f>
        <v>0</v>
      </c>
      <c r="AI22" s="30">
        <f>IF(G22&gt;0,((M22*((3*32)+G22))/(4*G22*32))*(1-(G22-M22)/(569-32)),0)</f>
        <v>0</v>
      </c>
      <c r="AJ22" s="9"/>
      <c r="AR22" s="1" t="s">
        <v>30</v>
      </c>
    </row>
    <row r="23" spans="1:71" x14ac:dyDescent="0.3">
      <c r="A23" s="31" t="s">
        <v>32</v>
      </c>
      <c r="B23" t="s">
        <v>27</v>
      </c>
      <c r="C23">
        <v>553</v>
      </c>
      <c r="D23">
        <v>284</v>
      </c>
      <c r="E23">
        <v>47</v>
      </c>
      <c r="F23">
        <v>1</v>
      </c>
      <c r="G23">
        <v>0</v>
      </c>
      <c r="I23">
        <v>42</v>
      </c>
      <c r="J23">
        <v>33</v>
      </c>
      <c r="K23">
        <v>9</v>
      </c>
      <c r="L23">
        <v>0</v>
      </c>
      <c r="M23">
        <v>0</v>
      </c>
      <c r="O23" s="2">
        <f t="shared" si="0"/>
        <v>7.5949367088607597E-2</v>
      </c>
      <c r="P23" s="2">
        <f t="shared" si="1"/>
        <v>0.11619718309859155</v>
      </c>
      <c r="Q23" s="2">
        <f t="shared" si="2"/>
        <v>0.19148936170212766</v>
      </c>
      <c r="R23" s="2">
        <f t="shared" si="3"/>
        <v>0</v>
      </c>
      <c r="S23" s="2">
        <f t="shared" si="4"/>
        <v>0</v>
      </c>
      <c r="T23" s="2"/>
      <c r="U23" s="2">
        <f>43/569</f>
        <v>7.5571177504393669E-2</v>
      </c>
      <c r="V23" s="2"/>
      <c r="W23" s="3">
        <f t="shared" si="17"/>
        <v>1.0050044156608773</v>
      </c>
      <c r="X23" s="3">
        <f t="shared" si="18"/>
        <v>1.5375859810022929</v>
      </c>
      <c r="Y23" s="3">
        <f t="shared" si="19"/>
        <v>2.5338941118258291</v>
      </c>
      <c r="Z23" s="3">
        <f t="shared" si="15"/>
        <v>0</v>
      </c>
      <c r="AA23" s="3">
        <f t="shared" si="16"/>
        <v>0</v>
      </c>
      <c r="AB23" s="3">
        <f t="shared" si="6"/>
        <v>2.5338941118258291</v>
      </c>
      <c r="AC23" s="41">
        <f t="shared" si="9"/>
        <v>47</v>
      </c>
      <c r="AD23" s="41" t="str">
        <f t="shared" si="10"/>
        <v>5</v>
      </c>
      <c r="AE23" s="3">
        <f>IF(C23&gt;0,((I23*((3*43)+C23))/(4*C23*43))*(1-(C23-I23)/(569-43)),0)</f>
        <v>8.5878727707628302E-3</v>
      </c>
      <c r="AF23" s="3">
        <f>IF(D23&gt;0,((J23*((3*43)+D23))/(4*D23*43))*(1-(D23-J23)/(569-43)),0)</f>
        <v>0.14586938578148526</v>
      </c>
      <c r="AG23" s="3">
        <f>IF(E23&gt;0,((K23*((3*43)+E23))/(4*E23*43))*(1-(E23-K23)/(569-43)),0)</f>
        <v>0.1817870534294847</v>
      </c>
      <c r="AH23" s="3">
        <f>IF(F23&gt;0,((L23*((3*43)+F23))/(4*F23*43))*(1-(F23-L23)/(569-43)),0)</f>
        <v>0</v>
      </c>
      <c r="AI23" s="3">
        <f>IF(G23&gt;0,((M23*((3*43)+G23))/(4*G23*43))*(1-(G23-M23)/(569-43)),0)</f>
        <v>0</v>
      </c>
    </row>
    <row r="24" spans="1:71" x14ac:dyDescent="0.3">
      <c r="A24" s="31" t="s">
        <v>32</v>
      </c>
      <c r="B24" t="s">
        <v>28</v>
      </c>
      <c r="C24">
        <v>30</v>
      </c>
      <c r="D24">
        <v>6</v>
      </c>
      <c r="E24">
        <v>0</v>
      </c>
      <c r="F24">
        <v>0</v>
      </c>
      <c r="G24">
        <v>0</v>
      </c>
      <c r="I24">
        <v>1</v>
      </c>
      <c r="J24">
        <v>0</v>
      </c>
      <c r="K24">
        <v>0</v>
      </c>
      <c r="L24">
        <v>0</v>
      </c>
      <c r="M24">
        <v>0</v>
      </c>
      <c r="O24" s="2">
        <f t="shared" si="0"/>
        <v>3.3333333333333333E-2</v>
      </c>
      <c r="P24" s="2">
        <f t="shared" si="1"/>
        <v>0</v>
      </c>
      <c r="Q24" s="2">
        <f t="shared" si="2"/>
        <v>0</v>
      </c>
      <c r="R24" s="2">
        <f t="shared" si="3"/>
        <v>0</v>
      </c>
      <c r="S24" s="2">
        <f t="shared" si="4"/>
        <v>0</v>
      </c>
      <c r="T24" s="2"/>
      <c r="U24" s="2">
        <f>43/569</f>
        <v>7.5571177504393669E-2</v>
      </c>
      <c r="V24" s="2"/>
      <c r="W24" s="3">
        <f t="shared" si="17"/>
        <v>0.44108527131782949</v>
      </c>
      <c r="X24" s="3">
        <f t="shared" si="18"/>
        <v>0</v>
      </c>
      <c r="Y24" s="3">
        <f t="shared" si="19"/>
        <v>0</v>
      </c>
      <c r="Z24" s="3">
        <f t="shared" si="15"/>
        <v>0</v>
      </c>
      <c r="AA24" s="3">
        <f t="shared" si="16"/>
        <v>0</v>
      </c>
      <c r="AB24" s="3">
        <f t="shared" si="6"/>
        <v>0.44108527131782949</v>
      </c>
      <c r="AC24" s="41">
        <f t="shared" si="9"/>
        <v>30</v>
      </c>
      <c r="AD24" s="41" t="str">
        <f t="shared" si="10"/>
        <v>3</v>
      </c>
      <c r="AE24" s="3">
        <f>IF(C24&gt;0,((I24*((3*43)+C24))/(4*C24*43))*(1-(C24-I24)/(569-43)),0)</f>
        <v>2.911508533026793E-2</v>
      </c>
      <c r="AF24" s="3">
        <f>IF(D24&gt;0,((J24*((3*43)+D24))/(4*D24*43))*(1-(D24-J24)/(569-43)),0)</f>
        <v>0</v>
      </c>
      <c r="AG24" s="3">
        <f>IF(E24&gt;0,((K24*((3*43)+E24))/(4*E24*43))*(1-(E24-K24)/(569-43)),0)</f>
        <v>0</v>
      </c>
      <c r="AH24" s="3">
        <f>IF(F24&gt;0,((L24*((3*43)+F24))/(4*F24*43))*(1-(F24-L24)/(569-43)),0)</f>
        <v>0</v>
      </c>
      <c r="AI24" s="3">
        <f>IF(G24&gt;0,((M24*((3*43)+G24))/(4*G24*43))*(1-(G24-M24)/(569-43)),0)</f>
        <v>0</v>
      </c>
    </row>
    <row r="25" spans="1:71" x14ac:dyDescent="0.3">
      <c r="A25" s="31" t="s">
        <v>32</v>
      </c>
      <c r="B25" t="s">
        <v>29</v>
      </c>
      <c r="C25">
        <v>527</v>
      </c>
      <c r="D25">
        <v>176</v>
      </c>
      <c r="E25">
        <v>14</v>
      </c>
      <c r="F25">
        <v>0</v>
      </c>
      <c r="G25">
        <v>0</v>
      </c>
      <c r="I25">
        <v>40</v>
      </c>
      <c r="J25">
        <v>6</v>
      </c>
      <c r="K25">
        <v>1</v>
      </c>
      <c r="L25">
        <v>0</v>
      </c>
      <c r="M25">
        <v>0</v>
      </c>
      <c r="O25" s="2">
        <f t="shared" si="0"/>
        <v>7.5901328273244778E-2</v>
      </c>
      <c r="P25" s="2">
        <f t="shared" si="1"/>
        <v>3.4090909090909088E-2</v>
      </c>
      <c r="Q25" s="2">
        <f t="shared" si="2"/>
        <v>7.1428571428571425E-2</v>
      </c>
      <c r="R25" s="2">
        <f t="shared" si="3"/>
        <v>0</v>
      </c>
      <c r="S25" s="2">
        <f t="shared" si="4"/>
        <v>0</v>
      </c>
      <c r="T25" s="2"/>
      <c r="U25" s="2">
        <f>43/569</f>
        <v>7.5571177504393669E-2</v>
      </c>
      <c r="V25" s="2"/>
      <c r="W25" s="3">
        <f t="shared" si="17"/>
        <v>1.0043687392436345</v>
      </c>
      <c r="X25" s="3">
        <f t="shared" si="18"/>
        <v>0.45110993657505283</v>
      </c>
      <c r="Y25" s="3">
        <f t="shared" si="19"/>
        <v>0.94518272425249172</v>
      </c>
      <c r="Z25" s="3">
        <f t="shared" si="15"/>
        <v>0</v>
      </c>
      <c r="AA25" s="3">
        <f t="shared" si="16"/>
        <v>0</v>
      </c>
      <c r="AB25" s="3">
        <f t="shared" si="6"/>
        <v>1.0043687392436345</v>
      </c>
      <c r="AC25" s="41">
        <f t="shared" si="9"/>
        <v>527</v>
      </c>
      <c r="AD25" s="41" t="str">
        <f t="shared" si="10"/>
        <v>3</v>
      </c>
      <c r="AE25" s="3">
        <f>IF(C25&gt;0,((I25*((3*43)+C25))/(4*C25*43))*(1-(C25-I25)/(569-43)),0)</f>
        <v>2.1463652649910413E-2</v>
      </c>
      <c r="AF25" s="3">
        <f>IF(D25&gt;0,((J25*((3*43)+D25))/(4*D25*43))*(1-(D25-J25)/(569-43)),0)</f>
        <v>4.0914215548356496E-2</v>
      </c>
      <c r="AG25" s="3">
        <f>IF(E25&gt;0,((K25*((3*43)+E25))/(4*E25*43))*(1-(E25-K25)/(569-43)),0)</f>
        <v>5.791768250318962E-2</v>
      </c>
      <c r="AH25" s="3">
        <f>IF(F25&gt;0,((L25*((3*43)+F25))/(4*F25*43))*(1-(F25-L25)/(569-43)),0)</f>
        <v>0</v>
      </c>
      <c r="AI25" s="3">
        <f>IF(G25&gt;0,((M25*((3*43)+G25))/(4*G25*43))*(1-(G25-M25)/(569-43)),0)</f>
        <v>0</v>
      </c>
      <c r="BE25" t="s">
        <v>27</v>
      </c>
      <c r="BI25" t="s">
        <v>28</v>
      </c>
      <c r="BM25" t="s">
        <v>29</v>
      </c>
      <c r="BQ25" t="s">
        <v>30</v>
      </c>
    </row>
    <row r="26" spans="1:71" s="1" customFormat="1" x14ac:dyDescent="0.3">
      <c r="A26" s="31" t="s">
        <v>32</v>
      </c>
      <c r="B26" s="1" t="s">
        <v>30</v>
      </c>
      <c r="C26" s="1">
        <v>42</v>
      </c>
      <c r="D26" s="1">
        <v>11</v>
      </c>
      <c r="E26" s="1">
        <v>0</v>
      </c>
      <c r="F26" s="1">
        <v>0</v>
      </c>
      <c r="G26" s="1">
        <v>0</v>
      </c>
      <c r="I26" s="1">
        <v>1</v>
      </c>
      <c r="J26" s="1">
        <v>0</v>
      </c>
      <c r="K26" s="1">
        <v>0</v>
      </c>
      <c r="L26" s="1">
        <v>0</v>
      </c>
      <c r="M26" s="1">
        <v>0</v>
      </c>
      <c r="O26" s="9">
        <f t="shared" si="0"/>
        <v>2.3809523809523808E-2</v>
      </c>
      <c r="P26" s="9">
        <f t="shared" si="1"/>
        <v>0</v>
      </c>
      <c r="Q26" s="9">
        <f t="shared" si="2"/>
        <v>0</v>
      </c>
      <c r="R26" s="9">
        <f t="shared" si="3"/>
        <v>0</v>
      </c>
      <c r="S26" s="9">
        <f t="shared" si="4"/>
        <v>0</v>
      </c>
      <c r="T26" s="9"/>
      <c r="U26" s="9">
        <f>43/569</f>
        <v>7.5571177504393669E-2</v>
      </c>
      <c r="V26" s="9"/>
      <c r="W26" s="10">
        <f t="shared" si="17"/>
        <v>0.31506090808416387</v>
      </c>
      <c r="X26" s="10">
        <f t="shared" si="18"/>
        <v>0</v>
      </c>
      <c r="Y26" s="10">
        <f t="shared" si="19"/>
        <v>0</v>
      </c>
      <c r="Z26" s="10">
        <f t="shared" si="15"/>
        <v>0</v>
      </c>
      <c r="AA26" s="10">
        <f t="shared" si="16"/>
        <v>0</v>
      </c>
      <c r="AB26" s="10">
        <f t="shared" si="6"/>
        <v>0.31506090808416387</v>
      </c>
      <c r="AC26" s="42">
        <f t="shared" si="9"/>
        <v>42</v>
      </c>
      <c r="AD26" s="42" t="str">
        <f t="shared" si="10"/>
        <v>3</v>
      </c>
      <c r="AE26" s="10">
        <f>IF(C26&gt;0,((I26*((3*43)+C26))/(4*C26*43))*(1-(C26-I26)/(569-43)),0)</f>
        <v>2.1826010888925381E-2</v>
      </c>
      <c r="AF26" s="10">
        <f>IF(D26&gt;0,((J26*((3*43)+D26))/(4*D26*43))*(1-(D26-J26)/(569-43)),0)</f>
        <v>0</v>
      </c>
      <c r="AG26" s="10">
        <f>IF(E26&gt;0,((K26*((3*43)+E26))/(4*E26*43))*(1-(E26-K26)/(569-43)),0)</f>
        <v>0</v>
      </c>
      <c r="AH26" s="10">
        <f>IF(F26&gt;0,((L26*((3*43)+F26))/(4*F26*43))*(1-(F26-L26)/(569-43)),0)</f>
        <v>0</v>
      </c>
      <c r="AI26" s="10">
        <f>IF(G26&gt;0,((M26*((3*43)+G26))/(4*G26*43))*(1-(G26-M26)/(569-43)),0)</f>
        <v>0</v>
      </c>
      <c r="AR26" s="1" t="s">
        <v>36</v>
      </c>
      <c r="AY26" s="1" t="s">
        <v>41</v>
      </c>
      <c r="BA26" s="1" t="s">
        <v>48</v>
      </c>
      <c r="BB26" s="1" t="s">
        <v>44</v>
      </c>
      <c r="BE26" s="1" t="s">
        <v>41</v>
      </c>
      <c r="BG26" s="1" t="s">
        <v>48</v>
      </c>
      <c r="BI26" s="1" t="s">
        <v>41</v>
      </c>
      <c r="BK26" s="1" t="s">
        <v>48</v>
      </c>
      <c r="BM26" s="1" t="s">
        <v>41</v>
      </c>
      <c r="BO26" s="1" t="s">
        <v>48</v>
      </c>
      <c r="BQ26" s="1" t="s">
        <v>41</v>
      </c>
      <c r="BS26" s="1" t="s">
        <v>48</v>
      </c>
    </row>
    <row r="27" spans="1:71" x14ac:dyDescent="0.3">
      <c r="A27" s="31" t="s">
        <v>33</v>
      </c>
      <c r="B27" t="s">
        <v>27</v>
      </c>
      <c r="C27">
        <v>560</v>
      </c>
      <c r="D27">
        <v>269</v>
      </c>
      <c r="E27">
        <v>11</v>
      </c>
      <c r="F27">
        <v>0</v>
      </c>
      <c r="G27">
        <v>0</v>
      </c>
      <c r="I27">
        <v>50</v>
      </c>
      <c r="J27">
        <v>25</v>
      </c>
      <c r="K27">
        <v>0</v>
      </c>
      <c r="L27">
        <v>0</v>
      </c>
      <c r="M27">
        <v>0</v>
      </c>
      <c r="O27" s="2">
        <f t="shared" si="0"/>
        <v>8.9285714285714288E-2</v>
      </c>
      <c r="P27" s="2">
        <f t="shared" si="1"/>
        <v>9.2936802973977689E-2</v>
      </c>
      <c r="Q27" s="2">
        <f t="shared" si="2"/>
        <v>0</v>
      </c>
      <c r="R27" s="2">
        <f t="shared" si="3"/>
        <v>0</v>
      </c>
      <c r="S27" s="2">
        <f t="shared" si="4"/>
        <v>0</v>
      </c>
      <c r="T27" s="2"/>
      <c r="U27" s="2">
        <f>51/569</f>
        <v>8.9630931458699478E-2</v>
      </c>
      <c r="V27" s="2"/>
      <c r="W27" s="3">
        <f t="shared" si="17"/>
        <v>0.99614845938375352</v>
      </c>
      <c r="X27" s="3">
        <f t="shared" si="18"/>
        <v>1.0368831547488884</v>
      </c>
      <c r="Y27" s="3">
        <f t="shared" si="19"/>
        <v>0</v>
      </c>
      <c r="Z27" s="3">
        <f t="shared" si="15"/>
        <v>0</v>
      </c>
      <c r="AA27" s="3">
        <f t="shared" si="16"/>
        <v>0</v>
      </c>
      <c r="AB27" s="3">
        <f t="shared" si="6"/>
        <v>1.0368831547488884</v>
      </c>
      <c r="AC27" s="41">
        <f t="shared" si="9"/>
        <v>269</v>
      </c>
      <c r="AD27" s="41" t="str">
        <f t="shared" si="10"/>
        <v>4</v>
      </c>
      <c r="AE27" s="3">
        <f>IF(C27&gt;0,((I27*((3*51)+C27))/(4*C27*51))*(1-(C27-I27)/(569-51)),0)</f>
        <v>4.8194953657138438E-3</v>
      </c>
      <c r="AF27" s="3">
        <f>IF(D27&gt;0,((J27*((3*51)+D27))/(4*D27*51))*(1-(D27-J27)/(569-51)),0)</f>
        <v>0.10169294282567846</v>
      </c>
      <c r="AG27" s="3">
        <f>IF(E27&gt;0,((K27*((3*51)+E27))/(4*E27*51))*(1-(E27-K27)/(569-51)),0)</f>
        <v>0</v>
      </c>
      <c r="AH27" s="3">
        <f>IF(F27&gt;0,((L27*((3*51)+F27))/(4*F27*51))*(1-(F27-L27)/(569-51)),0)</f>
        <v>0</v>
      </c>
      <c r="AI27" s="3">
        <f>IF(G27&gt;0,((M27*((3*51)+G27))/(4*G27*51))*(1-(G27-M27)/(569-51)),0)</f>
        <v>0</v>
      </c>
      <c r="AR27" s="17" t="s">
        <v>27</v>
      </c>
      <c r="AS27" s="24">
        <f>COUNTIF(W3, "&gt;1") + COUNTIF(W7, "&gt;1") + COUNTIF(W11, "&gt;1") + COUNTIF(W15, "&gt;1") + COUNTIF(W19, "&gt;1") + COUNTIF(W23, "&gt;1") + COUNTIF(W27, "&gt;1") + COUNTIF(W31, "&gt;1")</f>
        <v>5</v>
      </c>
      <c r="AT27" s="24">
        <f>COUNTIF(X3, "&gt;1") + COUNTIF(X7, "&gt;1") + COUNTIF(X11, "&gt;1") + COUNTIF(X15, "&gt;1") + COUNTIF(X19, "&gt;1") + COUNTIF(X23, "&gt;1") + COUNTIF(X27, "&gt;1") + COUNTIF(X31, "&gt;1")</f>
        <v>4</v>
      </c>
      <c r="AU27" s="7">
        <f>COUNTIF(Y3, "&gt;1") + COUNTIF(Y7, "&gt;1") + COUNTIF(Y11, "&gt;1") + COUNTIF(Y15, "&gt;1") + COUNTIF(Y19, "&gt;1") + COUNTIF(Y23, "&gt;1") + COUNTIF(Y27, "&gt;1") + COUNTIF(Y31, "&gt;1")</f>
        <v>2</v>
      </c>
      <c r="AV27" s="7">
        <f>COUNTIF(Z3, "&gt;1") + COUNTIF(Z7, "&gt;1") + COUNTIF(Z11, "&gt;1") + COUNTIF(Z15, "&gt;1") + COUNTIF(Z19, "&gt;1") + COUNTIF(Z23, "&gt;1") + COUNTIF(Z27, "&gt;1") + COUNTIF(Z31, "&gt;1")</f>
        <v>0</v>
      </c>
      <c r="AW27" s="18">
        <f>COUNTIF(AA3, "&gt;1") + COUNTIF(AA7, "&gt;1") + COUNTIF(AA11, "&gt;1") + COUNTIF(AA15, "&gt;1") + COUNTIF(AA19, "&gt;1") + COUNTIF(AA23, "&gt;1") + COUNTIF(AA27, "&gt;1") + COUNTIF(AA31, "&gt;1")</f>
        <v>0</v>
      </c>
      <c r="AX27" s="4"/>
      <c r="AY27" t="s">
        <v>26</v>
      </c>
      <c r="AZ27" s="5">
        <f>MAX(W3:AA6)</f>
        <v>2.9179487179487178</v>
      </c>
      <c r="BA27" s="5">
        <f>_xlfn.IFNA(VLOOKUP(AZ27, W3:AI6,8,0), _xlfn.IFNA(VLOOKUP(AZ27, X3:AI6,8,0), _xlfn.IFNA(VLOOKUP(AZ27, Y3:AI6,8,0), _xlfn.IFNA(VLOOKUP(AZ27, Z3:AI6,8,0), VLOOKUP(AZ27, AA3:AI6,8,0)))))</f>
        <v>4.6441140558787619E-2</v>
      </c>
      <c r="BB27" t="s">
        <v>26</v>
      </c>
      <c r="BC27" s="5">
        <f>MAX(AE3:AI6)</f>
        <v>0.25283882783882783</v>
      </c>
      <c r="BE27" t="s">
        <v>26</v>
      </c>
      <c r="BF27" s="4">
        <f>MAX($W3:$AA3)</f>
        <v>1.1433594976452122</v>
      </c>
      <c r="BG27" s="5">
        <f>_xlfn.IFNA(VLOOKUP($BF27, $W3:$AI3,8,0), _xlfn.IFNA(VLOOKUP($BF27, $X3:$AI3,8,0), _xlfn.IFNA(VLOOKUP($BF27, $Y3:$AI3,8,0), _xlfn.IFNA(VLOOKUP($BF27, $Z3:$AI3,8,0), VLOOKUP($BF27, $AA3:$AI3,8,0)))))</f>
        <v>6.6906607604282154E-3</v>
      </c>
      <c r="BI27" t="s">
        <v>26</v>
      </c>
      <c r="BJ27" s="4">
        <f>MAX($W4:$AA4)</f>
        <v>1.0779683161848768</v>
      </c>
      <c r="BK27" s="5" t="str">
        <f>_xlfn.IFNA(VLOOKUP($BJ27, $W4:$AI4,8,0), _xlfn.IFNA(VLOOKUP($BJ27, $X4:$AI4,8,0), _xlfn.IFNA(VLOOKUP($BJ27, $Y4:$AI4,8,0), _xlfn.IFNA(VLOOKUP($BJ27, $Z4:$AI4,8,0), VLOOKUP($BJ27, $AA4:$AI4,8,0)))))</f>
        <v>3</v>
      </c>
      <c r="BM27" t="s">
        <v>26</v>
      </c>
      <c r="BN27" s="4">
        <f>MAX($W5:$AA5)</f>
        <v>1.0942307692307693</v>
      </c>
      <c r="BO27" s="5">
        <f>_xlfn.IFNA(VLOOKUP($BN27, $W5:$AI5,8,0), _xlfn.IFNA(VLOOKUP($BN27, $X5:$AI5,8,0), _xlfn.IFNA(VLOOKUP($BN27, $Y5:$AI5,8,0), _xlfn.IFNA(VLOOKUP($BN27, $Z5:$AI5,8,0), VLOOKUP($BN27, $AA5:$AI5,8,0)))))</f>
        <v>9.0382449757449759E-2</v>
      </c>
      <c r="BQ27" t="s">
        <v>26</v>
      </c>
      <c r="BR27" s="4">
        <f>MAX($W6:$AA6)</f>
        <v>2.9179487179487178</v>
      </c>
      <c r="BS27" s="5">
        <f>_xlfn.IFNA(VLOOKUP($BR27, $W6:$AI6,8,0), _xlfn.IFNA(VLOOKUP($BR27, $X6:$AI6,8,0), _xlfn.IFNA(VLOOKUP($BR27, $Y6:$AI6,8,0), _xlfn.IFNA(VLOOKUP($BR27, $Z6:$AI6,8,0), VLOOKUP($BR27, $AA6:$AI6,8,0)))))</f>
        <v>4.6441140558787619E-2</v>
      </c>
    </row>
    <row r="28" spans="1:71" x14ac:dyDescent="0.3">
      <c r="A28" s="31" t="s">
        <v>33</v>
      </c>
      <c r="B28" t="s">
        <v>28</v>
      </c>
      <c r="C28">
        <v>475</v>
      </c>
      <c r="D28">
        <v>96</v>
      </c>
      <c r="E28">
        <v>2</v>
      </c>
      <c r="F28">
        <v>0</v>
      </c>
      <c r="G28">
        <v>0</v>
      </c>
      <c r="I28">
        <v>35</v>
      </c>
      <c r="J28">
        <v>3</v>
      </c>
      <c r="K28">
        <v>1</v>
      </c>
      <c r="L28">
        <v>0</v>
      </c>
      <c r="M28">
        <v>0</v>
      </c>
      <c r="O28" s="2">
        <f t="shared" si="0"/>
        <v>7.3684210526315783E-2</v>
      </c>
      <c r="P28" s="2">
        <f t="shared" si="1"/>
        <v>3.125E-2</v>
      </c>
      <c r="Q28" s="2">
        <f t="shared" si="2"/>
        <v>0.5</v>
      </c>
      <c r="R28" s="2">
        <f t="shared" si="3"/>
        <v>0</v>
      </c>
      <c r="S28" s="2">
        <f t="shared" si="4"/>
        <v>0</v>
      </c>
      <c r="T28" s="2"/>
      <c r="U28" s="2">
        <f>51/569</f>
        <v>8.9630931458699478E-2</v>
      </c>
      <c r="V28" s="2"/>
      <c r="W28" s="3">
        <f t="shared" si="17"/>
        <v>0.82208462332301324</v>
      </c>
      <c r="X28" s="3">
        <f t="shared" si="18"/>
        <v>0.34865196078431371</v>
      </c>
      <c r="Y28" s="3">
        <f t="shared" si="19"/>
        <v>5.5784313725490193</v>
      </c>
      <c r="Z28" s="3">
        <f t="shared" si="15"/>
        <v>0</v>
      </c>
      <c r="AA28" s="3">
        <f t="shared" si="16"/>
        <v>0</v>
      </c>
      <c r="AB28" s="3">
        <f t="shared" si="6"/>
        <v>5.5784313725490193</v>
      </c>
      <c r="AC28" s="41">
        <f t="shared" si="9"/>
        <v>2</v>
      </c>
      <c r="AD28" s="41" t="str">
        <f t="shared" si="10"/>
        <v>5</v>
      </c>
      <c r="AE28" s="3">
        <f>IF(C28&gt;0,((I28*((3*51)+C28))/(4*C28*51))*(1-(C28-I28)/(569-51)),0)</f>
        <v>3.4156137561710327E-2</v>
      </c>
      <c r="AF28" s="3">
        <f>IF(D28&gt;0,((J28*((3*51)+D28))/(4*D28*51))*(1-(D28-J28)/(569-51)),0)</f>
        <v>3.129524613899614E-2</v>
      </c>
      <c r="AG28" s="3">
        <f>IF(E28&gt;0,((K28*((3*51)+E28))/(4*E28*51))*(1-(E28-K28)/(569-51)),0)</f>
        <v>0.3791685593156181</v>
      </c>
      <c r="AH28" s="3">
        <f>IF(F28&gt;0,((L28*((3*51)+F28))/(4*F28*51))*(1-(F28-L28)/(569-51)),0)</f>
        <v>0</v>
      </c>
      <c r="AI28" s="3">
        <f>IF(G28&gt;0,((M28*((3*51)+G28))/(4*G28*51))*(1-(G28-M28)/(569-51)),0)</f>
        <v>0</v>
      </c>
      <c r="AR28" s="21" t="s">
        <v>28</v>
      </c>
      <c r="AS28" s="25">
        <f>COUNTIF(W4, "&gt;1") + COUNTIF(W8, "&gt;1") + COUNTIF(W12, "&gt;1") + COUNTIF(W16, "&gt;1") + COUNTIF(W20, "&gt;1") + COUNTIF(W24, "&gt;1") + COUNTIF(W28, "&gt;1") + COUNTIF(W32, "&gt;1")</f>
        <v>3</v>
      </c>
      <c r="AT28" s="25">
        <f>COUNTIF(X4, "&gt;1") + COUNTIF(X8, "&gt;1") + COUNTIF(X12, "&gt;1") + COUNTIF(X16, "&gt;1") + COUNTIF(X20, "&gt;1") + COUNTIF(X24, "&gt;1") + COUNTIF(X28, "&gt;1") + COUNTIF(X32, "&gt;1")</f>
        <v>1</v>
      </c>
      <c r="AU28" s="4">
        <f>COUNTIF(Y4, "&gt;1") + COUNTIF(Y8, "&gt;1") + COUNTIF(Y12, "&gt;1") + COUNTIF(Y16, "&gt;1") + COUNTIF(Y20, "&gt;1") + COUNTIF(Y24, "&gt;1") + COUNTIF(Y28, "&gt;1") + COUNTIF(Y32, "&gt;1")</f>
        <v>1</v>
      </c>
      <c r="AV28" s="4">
        <f>COUNTIF(Z4, "&gt;1") + COUNTIF(Z8, "&gt;1") + COUNTIF(Z12, "&gt;1") + COUNTIF(Z16, "&gt;1") + COUNTIF(Z20, "&gt;1") + COUNTIF(Z24, "&gt;1") + COUNTIF(Z28, "&gt;1") + COUNTIF(Z32, "&gt;1")</f>
        <v>0</v>
      </c>
      <c r="AW28" s="22">
        <f>COUNTIF(AA4, "&gt;1") + COUNTIF(AA8, "&gt;1") + COUNTIF(AA12, "&gt;1") + COUNTIF(AA16, "&gt;1") + COUNTIF(AA20, "&gt;1") + COUNTIF(AA24, "&gt;1") + COUNTIF(AA28, "&gt;1") + COUNTIF(AA32, "&gt;1")</f>
        <v>0</v>
      </c>
      <c r="AX28" s="4"/>
      <c r="AY28" t="s">
        <v>31</v>
      </c>
      <c r="AZ28" s="5">
        <f>MAX(W7:AA10)</f>
        <v>2.2054263565891472</v>
      </c>
      <c r="BA28" s="5">
        <f>_xlfn.IFNA(VLOOKUP(AZ28, W7:AI10,8,0), _xlfn.IFNA(VLOOKUP(AZ28, X7:AI10,8,0), _xlfn.IFNA(VLOOKUP(AZ28, Y7:AI10,8,0), _xlfn.IFNA(VLOOKUP(AZ28, Z7:AI10,8,0), VLOOKUP(AZ28, AA7:AI10,8,0)))))</f>
        <v>0.11493544372715254</v>
      </c>
      <c r="BB28" t="s">
        <v>31</v>
      </c>
      <c r="BC28" s="5">
        <f>MAX(AE7:AI10)</f>
        <v>0.25185974288603208</v>
      </c>
      <c r="BE28" t="s">
        <v>31</v>
      </c>
      <c r="BF28" s="4">
        <f>MAX($W7:$AA7)</f>
        <v>1.0294779577247255</v>
      </c>
      <c r="BG28" s="5" t="str">
        <f>_xlfn.IFNA(VLOOKUP($BF28, $W7:$AI7,8,0), _xlfn.IFNA(VLOOKUP($BF28, $X7:$AI7,8,0), _xlfn.IFNA(VLOOKUP($BF28, $Y7:$AI7,8,0), _xlfn.IFNA(VLOOKUP($BF28, $Z7:$AI7,8,0), VLOOKUP($BF28, $AA7:$AI7,8,0)))))</f>
        <v>3</v>
      </c>
      <c r="BI28" t="s">
        <v>31</v>
      </c>
      <c r="BJ28" s="4">
        <f>MAX($W8:$AA8)</f>
        <v>0.41351744186046513</v>
      </c>
      <c r="BK28" s="5" t="str">
        <f>_xlfn.IFNA(VLOOKUP($BJ28, $W8:$AI8,8,0), _xlfn.IFNA(VLOOKUP($BJ28, $X8:$AI8,8,0), _xlfn.IFNA(VLOOKUP($BJ28, $Y8:$AI8,8,0), _xlfn.IFNA(VLOOKUP($BJ28, $Z8:$AI8,8,0), VLOOKUP($BJ28, $AA8:$AI8,8,0)))))</f>
        <v>3</v>
      </c>
      <c r="BM28" t="s">
        <v>31</v>
      </c>
      <c r="BN28" s="4">
        <f>MAX($W9:$AA9)</f>
        <v>2.2054263565891472</v>
      </c>
      <c r="BO28" s="5">
        <f>_xlfn.IFNA(VLOOKUP($BN28, $W9:$AI9,8,0), _xlfn.IFNA(VLOOKUP($BN28, $X9:$AI9,8,0), _xlfn.IFNA(VLOOKUP($BN28, $Y9:$AI9,8,0), _xlfn.IFNA(VLOOKUP($BN28, $Z9:$AI9,8,0), VLOOKUP($BN28, $AA9:$AI9,8,0)))))</f>
        <v>0.11493544372715254</v>
      </c>
      <c r="BQ28" t="s">
        <v>31</v>
      </c>
      <c r="BR28" s="4">
        <f>MAX($W10:$AA10)</f>
        <v>0.34822521419828639</v>
      </c>
      <c r="BS28" s="5" t="str">
        <f>_xlfn.IFNA(VLOOKUP($BR28, $W10:$AI10,8,0), _xlfn.IFNA(VLOOKUP($BR28, $X10:$AI10,8,0), _xlfn.IFNA(VLOOKUP($BR28, $Y10:$AI10,8,0), _xlfn.IFNA(VLOOKUP($BR28, $Z10:$AI10,8,0), VLOOKUP($BR28, $AA10:$AI10,8,0)))))</f>
        <v>3</v>
      </c>
    </row>
    <row r="29" spans="1:71" x14ac:dyDescent="0.3">
      <c r="A29" s="31" t="s">
        <v>33</v>
      </c>
      <c r="B29" t="s">
        <v>29</v>
      </c>
      <c r="C29">
        <v>525</v>
      </c>
      <c r="D29">
        <v>184</v>
      </c>
      <c r="E29">
        <v>19</v>
      </c>
      <c r="F29">
        <v>0</v>
      </c>
      <c r="G29">
        <v>0</v>
      </c>
      <c r="I29">
        <v>46</v>
      </c>
      <c r="J29">
        <v>12</v>
      </c>
      <c r="K29">
        <v>1</v>
      </c>
      <c r="L29">
        <v>0</v>
      </c>
      <c r="M29">
        <v>0</v>
      </c>
      <c r="O29" s="2">
        <f t="shared" si="0"/>
        <v>8.7619047619047624E-2</v>
      </c>
      <c r="P29" s="2">
        <f t="shared" si="1"/>
        <v>6.5217391304347824E-2</v>
      </c>
      <c r="Q29" s="2">
        <f t="shared" si="2"/>
        <v>5.2631578947368418E-2</v>
      </c>
      <c r="R29" s="2">
        <f t="shared" si="3"/>
        <v>0</v>
      </c>
      <c r="S29" s="2">
        <f t="shared" si="4"/>
        <v>0</v>
      </c>
      <c r="T29" s="2"/>
      <c r="U29" s="2">
        <f>51/569</f>
        <v>8.9630931458699478E-2</v>
      </c>
      <c r="V29" s="2"/>
      <c r="W29" s="3">
        <f t="shared" si="17"/>
        <v>0.97755368814192345</v>
      </c>
      <c r="X29" s="3">
        <f t="shared" si="18"/>
        <v>0.727621483375959</v>
      </c>
      <c r="Y29" s="3">
        <f t="shared" si="19"/>
        <v>0.58720330237358098</v>
      </c>
      <c r="Z29" s="3">
        <f t="shared" si="15"/>
        <v>0</v>
      </c>
      <c r="AA29" s="3">
        <f t="shared" si="16"/>
        <v>0</v>
      </c>
      <c r="AB29" s="3">
        <f t="shared" si="6"/>
        <v>0.97755368814192345</v>
      </c>
      <c r="AC29" s="41">
        <f t="shared" si="9"/>
        <v>525</v>
      </c>
      <c r="AD29" s="41" t="str">
        <f t="shared" si="10"/>
        <v>3</v>
      </c>
      <c r="AE29" s="3">
        <f>IF(C29&gt;0,((I29*((3*51)+C29))/(4*C29*51))*(1-(C29-I29)/(569-51)),0)</f>
        <v>2.1924661756594518E-2</v>
      </c>
      <c r="AF29" s="3">
        <f>IF(D29&gt;0,((J29*((3*51)+D29))/(4*D29*51))*(1-(D29-J29)/(569-51)),0)</f>
        <v>7.1963039034650289E-2</v>
      </c>
      <c r="AG29" s="3">
        <f>IF(E29&gt;0,((K29*((3*51)+E29))/(4*E29*51))*(1-(E29-K29)/(569-51)),0)</f>
        <v>4.2833634164903517E-2</v>
      </c>
      <c r="AH29" s="3">
        <f>IF(F29&gt;0,((L29*((3*51)+F29))/(4*F29*51))*(1-(F29-L29)/(569-51)),0)</f>
        <v>0</v>
      </c>
      <c r="AI29" s="3">
        <f>IF(G29&gt;0,((M29*((3*51)+G29))/(4*G29*51))*(1-(G29-M29)/(569-51)),0)</f>
        <v>0</v>
      </c>
      <c r="AR29" s="21" t="s">
        <v>29</v>
      </c>
      <c r="AS29" s="25">
        <f>COUNTIF(W5, "&gt;1") + COUNTIF(W9, "&gt;1") + COUNTIF(W13, "&gt;1") + COUNTIF(W17, "&gt;1") + COUNTIF(W21, "&gt;1") + COUNTIF(W25, "&gt;1") + COUNTIF(W29, "&gt;1") + COUNTIF(W33, "&gt;1")</f>
        <v>3</v>
      </c>
      <c r="AT29" s="25">
        <f>COUNTIF(X5, "&gt;1") + COUNTIF(X9, "&gt;1") + COUNTIF(X13, "&gt;1") + COUNTIF(X17, "&gt;1") + COUNTIF(X21, "&gt;1") + COUNTIF(X25, "&gt;1") + COUNTIF(X29, "&gt;1") + COUNTIF(X33, "&gt;1")</f>
        <v>0</v>
      </c>
      <c r="AU29" s="4">
        <f>COUNTIF(Y5, "&gt;1") + COUNTIF(Y9, "&gt;1") + COUNTIF(Y13, "&gt;1") + COUNTIF(Y17, "&gt;1") + COUNTIF(Y21, "&gt;1") + COUNTIF(Y25, "&gt;1") + COUNTIF(Y29, "&gt;1") + COUNTIF(Y33, "&gt;1")</f>
        <v>3</v>
      </c>
      <c r="AV29" s="4">
        <f>COUNTIF(Z5, "&gt;1") + COUNTIF(Z9, "&gt;1") + COUNTIF(Z13, "&gt;1") + COUNTIF(Z17, "&gt;1") + COUNTIF(Z21, "&gt;1") + COUNTIF(Z25, "&gt;1") + COUNTIF(Z29, "&gt;1") + COUNTIF(Z33, "&gt;1")</f>
        <v>1</v>
      </c>
      <c r="AW29" s="22">
        <f>COUNTIF(AA5, "&gt;1") + COUNTIF(AA9, "&gt;1") + COUNTIF(AA13, "&gt;1") + COUNTIF(AA17, "&gt;1") + COUNTIF(AA21, "&gt;1") + COUNTIF(AA25, "&gt;1") + COUNTIF(AA29, "&gt;1") + COUNTIF(AA33, "&gt;1")</f>
        <v>0</v>
      </c>
      <c r="AX29" s="4"/>
      <c r="AY29" t="s">
        <v>32</v>
      </c>
      <c r="AZ29" s="5">
        <f>MAX(W11:AA14)</f>
        <v>1.0068250758341761</v>
      </c>
      <c r="BA29" s="5">
        <f>_xlfn.IFNA(VLOOKUP(AZ29, W11:AI14,8,0), _xlfn.IFNA(VLOOKUP(AZ29, X11:AI14,8,0), _xlfn.IFNA(VLOOKUP(AZ29, Y11:AI14,8,0), _xlfn.IFNA(VLOOKUP(AZ29, Z11:AI14,8,0), VLOOKUP(AZ29, AA11:AI14,8,0)))))</f>
        <v>9.1548628995606729E-2</v>
      </c>
      <c r="BB29" t="s">
        <v>32</v>
      </c>
      <c r="BC29" s="5">
        <f>MAX(AE11:AI14)</f>
        <v>0.12362069723480018</v>
      </c>
      <c r="BE29" t="s">
        <v>32</v>
      </c>
      <c r="BF29" s="4">
        <f>MAX($W11:$AA11)</f>
        <v>0.9869587562636517</v>
      </c>
      <c r="BG29" s="5" t="str">
        <f>_xlfn.IFNA(VLOOKUP($BF29, $W11:$AI11,8,0), _xlfn.IFNA(VLOOKUP($BF29, $X11:$AI11,8,0), _xlfn.IFNA(VLOOKUP($BF29, $Y11:$AI11,8,0), _xlfn.IFNA(VLOOKUP($BF29, $Z11:$AI11,8,0), VLOOKUP($BF29, $AA11:$AI11,8,0)))))</f>
        <v>3</v>
      </c>
      <c r="BI29" t="s">
        <v>32</v>
      </c>
      <c r="BJ29" s="4">
        <f>MAX($W12:$AA12)</f>
        <v>0.44108527131782949</v>
      </c>
      <c r="BK29" s="5" t="str">
        <f>_xlfn.IFNA(VLOOKUP($BJ29, $W12:$AI12,8,0), _xlfn.IFNA(VLOOKUP($BJ29, $X12:$AI12,8,0), _xlfn.IFNA(VLOOKUP($BJ29, $Y12:$AI12,8,0), _xlfn.IFNA(VLOOKUP($BJ29, $Z12:$AI12,8,0), VLOOKUP($BJ29, $AA12:$AI12,8,0)))))</f>
        <v>3</v>
      </c>
      <c r="BM29" t="s">
        <v>32</v>
      </c>
      <c r="BN29" s="4">
        <f>MAX($W13:$AA13)</f>
        <v>1.0068250758341761</v>
      </c>
      <c r="BO29" s="5">
        <f>_xlfn.IFNA(VLOOKUP($BN29, $W13:$AI13,8,0), _xlfn.IFNA(VLOOKUP($BN29, $X13:$AI13,8,0), _xlfn.IFNA(VLOOKUP($BN29, $Y13:$AI13,8,0), _xlfn.IFNA(VLOOKUP($BN29, $Z13:$AI13,8,0), VLOOKUP($BN29, $AA13:$AI13,8,0)))))</f>
        <v>9.1548628995606729E-2</v>
      </c>
      <c r="BQ29" t="s">
        <v>32</v>
      </c>
      <c r="BR29" s="4">
        <f>MAX($W14:$AA14)</f>
        <v>0.69645042839657278</v>
      </c>
      <c r="BS29" s="5" t="str">
        <f>_xlfn.IFNA(VLOOKUP($BR29, $W14:$AI14,8,0), _xlfn.IFNA(VLOOKUP($BR29, $X14:$AI14,8,0), _xlfn.IFNA(VLOOKUP($BR29, $Y14:$AI14,8,0), _xlfn.IFNA(VLOOKUP($BR29, $Z14:$AI14,8,0), VLOOKUP($BR29, $AA14:$AI14,8,0)))))</f>
        <v>3</v>
      </c>
    </row>
    <row r="30" spans="1:71" s="1" customFormat="1" x14ac:dyDescent="0.3">
      <c r="A30" s="31" t="s">
        <v>33</v>
      </c>
      <c r="B30" s="1" t="s">
        <v>30</v>
      </c>
      <c r="C30" s="1">
        <v>91</v>
      </c>
      <c r="D30" s="1">
        <v>3</v>
      </c>
      <c r="E30" s="1">
        <v>0</v>
      </c>
      <c r="F30" s="1">
        <v>0</v>
      </c>
      <c r="G30" s="1">
        <v>0</v>
      </c>
      <c r="I30" s="1">
        <v>3</v>
      </c>
      <c r="J30" s="1">
        <v>0</v>
      </c>
      <c r="K30" s="1">
        <v>0</v>
      </c>
      <c r="L30" s="1">
        <v>0</v>
      </c>
      <c r="M30" s="1">
        <v>0</v>
      </c>
      <c r="O30" s="9">
        <f t="shared" si="0"/>
        <v>3.2967032967032968E-2</v>
      </c>
      <c r="P30" s="9">
        <f t="shared" si="1"/>
        <v>0</v>
      </c>
      <c r="Q30" s="9">
        <f t="shared" si="2"/>
        <v>0</v>
      </c>
      <c r="R30" s="9">
        <f t="shared" si="3"/>
        <v>0</v>
      </c>
      <c r="S30" s="9">
        <f t="shared" si="4"/>
        <v>0</v>
      </c>
      <c r="T30" s="9"/>
      <c r="U30" s="9">
        <f>51/569</f>
        <v>8.9630931458699478E-2</v>
      </c>
      <c r="V30" s="9"/>
      <c r="W30" s="10">
        <f t="shared" si="17"/>
        <v>0.36780866192630896</v>
      </c>
      <c r="X30" s="10">
        <f t="shared" si="18"/>
        <v>0</v>
      </c>
      <c r="Y30" s="10">
        <f t="shared" si="19"/>
        <v>0</v>
      </c>
      <c r="Z30" s="10">
        <f t="shared" si="15"/>
        <v>0</v>
      </c>
      <c r="AA30" s="10">
        <f t="shared" si="16"/>
        <v>0</v>
      </c>
      <c r="AB30" s="10">
        <f t="shared" si="6"/>
        <v>0.36780866192630896</v>
      </c>
      <c r="AC30" s="42">
        <f t="shared" si="9"/>
        <v>91</v>
      </c>
      <c r="AD30" s="42" t="str">
        <f t="shared" si="10"/>
        <v>3</v>
      </c>
      <c r="AE30" s="10">
        <f>IF(C30&gt;0,((I30*((3*51)+C30))/(4*C30*51))*(1-(C30-I30)/(569-51)),0)</f>
        <v>3.2732427690410883E-2</v>
      </c>
      <c r="AF30" s="10">
        <f>IF(D30&gt;0,((J30*((3*51)+D30))/(4*D30*51))*(1-(D30-J30)/(569-51)),0)</f>
        <v>0</v>
      </c>
      <c r="AG30" s="10">
        <f>IF(E30&gt;0,((K30*((3*51)+E30))/(4*E30*51))*(1-(E30-K30)/(569-51)),0)</f>
        <v>0</v>
      </c>
      <c r="AH30" s="10">
        <f>IF(F30&gt;0,((L30*((3*51)+F30))/(4*F30*51))*(1-(F30-L30)/(569-51)),0)</f>
        <v>0</v>
      </c>
      <c r="AI30" s="10">
        <f>IF(G30&gt;0,((M30*((3*51)+G30))/(4*G30*51))*(1-(G30-M30)/(569-51)),0)</f>
        <v>0</v>
      </c>
      <c r="AR30" s="19" t="s">
        <v>30</v>
      </c>
      <c r="AS30" s="16">
        <f>COUNTIF(W6, "&gt;1") + COUNTIF(W10, "&gt;1") + COUNTIF(W14, "&gt;1") + COUNTIF(W18, "&gt;1") + COUNTIF(W22, "&gt;1") + COUNTIF(W26, "&gt;1") + COUNTIF(W30, "&gt;1") + COUNTIF(W34, "&gt;1")</f>
        <v>2</v>
      </c>
      <c r="AT30" s="16">
        <f>COUNTIF(X6, "&gt;1") + COUNTIF(X10, "&gt;1") + COUNTIF(X14, "&gt;1") + COUNTIF(X18, "&gt;1") + COUNTIF(X22, "&gt;1") + COUNTIF(X26, "&gt;1") + COUNTIF(X30, "&gt;1") + COUNTIF(X34, "&gt;1")</f>
        <v>1</v>
      </c>
      <c r="AU30" s="13">
        <f>COUNTIF(Y6, "&gt;1") + COUNTIF(Y10, "&gt;1") + COUNTIF(Y14, "&gt;1") + COUNTIF(Y18, "&gt;1") + COUNTIF(Y22, "&gt;1") + COUNTIF(Y26, "&gt;1") + COUNTIF(Y30, "&gt;1") + COUNTIF(Y34, "&gt;1")</f>
        <v>1</v>
      </c>
      <c r="AV30" s="13">
        <f>COUNTIF(Z6, "&gt;1") + COUNTIF(Z10, "&gt;1") + COUNTIF(Z14, "&gt;1") + COUNTIF(Z18, "&gt;1") + COUNTIF(Z22, "&gt;1") + COUNTIF(Z26, "&gt;1") + COUNTIF(Z30, "&gt;1") + COUNTIF(Z34, "&gt;1")</f>
        <v>0</v>
      </c>
      <c r="AW30" s="20">
        <f>COUNTIF(AA6, "&gt;1") + COUNTIF(AA10, "&gt;1") + COUNTIF(AA14, "&gt;1") + COUNTIF(AA18, "&gt;1") + COUNTIF(AA22, "&gt;1") + COUNTIF(AA26, "&gt;1") + COUNTIF(AA30, "&gt;1") + COUNTIF(AA34, "&gt;1")</f>
        <v>0</v>
      </c>
      <c r="AX30" s="13"/>
      <c r="AY30" s="1" t="s">
        <v>33</v>
      </c>
      <c r="AZ30" s="14">
        <f>MAX(W15:AA18)</f>
        <v>6.3634669151910535</v>
      </c>
      <c r="BA30" s="14" t="str">
        <f>_xlfn.IFNA(VLOOKUP(AZ30, W15:AI18,8,0), _xlfn.IFNA(VLOOKUP(AZ30, X15:AI18,8,0), _xlfn.IFNA(VLOOKUP(AZ30, Y15:AI18,8,0), _xlfn.IFNA(VLOOKUP(AZ30, Z15:AI18,8,0), VLOOKUP(AZ30, AA15:AI18,8,0)))))</f>
        <v>3</v>
      </c>
      <c r="BB30" s="1" t="s">
        <v>33</v>
      </c>
      <c r="BC30" s="14">
        <f>MAX(AE15:AI18)</f>
        <v>0.33064098581339962</v>
      </c>
      <c r="BE30" s="1" t="s">
        <v>33</v>
      </c>
      <c r="BF30" s="4">
        <f>MAX($W15:$AA15)</f>
        <v>3.9241379310344828</v>
      </c>
      <c r="BG30" s="14">
        <f>_xlfn.IFNA(VLOOKUP($BF30, $W15:$AI15,8,0), _xlfn.IFNA(VLOOKUP($BF30, $X15:$AI15,8,0), _xlfn.IFNA(VLOOKUP($BF30, $Y15:$AI15,8,0), _xlfn.IFNA(VLOOKUP($BF30, $Z15:$AI15,8,0), VLOOKUP($BF30, $AA15:$AI15,8,0)))))</f>
        <v>0.12905792663777402</v>
      </c>
      <c r="BI30" s="1" t="s">
        <v>33</v>
      </c>
      <c r="BJ30" s="4">
        <f>MAX($W16:$AA16)</f>
        <v>6.3634669151910535</v>
      </c>
      <c r="BK30" s="5" t="str">
        <f>_xlfn.IFNA(VLOOKUP($BJ30, $W16:$AI16,8,0), _xlfn.IFNA(VLOOKUP($BJ30, $X16:$AI16,8,0), _xlfn.IFNA(VLOOKUP($BJ30, $Y16:$AI16,8,0), _xlfn.IFNA(VLOOKUP($BJ30, $Z16:$AI16,8,0), VLOOKUP($BJ30, $AA16:$AI16,8,0)))))</f>
        <v>3</v>
      </c>
      <c r="BM30" s="1" t="s">
        <v>33</v>
      </c>
      <c r="BN30" s="13">
        <f>MAX($W17:$AA17)</f>
        <v>0.94877609551123854</v>
      </c>
      <c r="BO30" s="14" t="str">
        <f>_xlfn.IFNA(VLOOKUP($BN30, $W17:$AI17,8,0), _xlfn.IFNA(VLOOKUP($BN30, $X17:$AI17,8,0), _xlfn.IFNA(VLOOKUP($BN30, $Y17:$AI17,8,0), _xlfn.IFNA(VLOOKUP($BN30, $Z17:$AI17,8,0), VLOOKUP($BN30, $AA17:$AI17,8,0)))))</f>
        <v>3</v>
      </c>
      <c r="BQ30" s="1" t="s">
        <v>33</v>
      </c>
      <c r="BR30" s="13">
        <f>MAX($W18:$AA18)</f>
        <v>4.9051724137931032</v>
      </c>
      <c r="BS30" s="14" t="str">
        <f>_xlfn.IFNA(VLOOKUP($BR30, $W18:$AI18,8,0), _xlfn.IFNA(VLOOKUP($BR30, $X18:$AI18,8,0), _xlfn.IFNA(VLOOKUP($BR30, $Y18:$AI18,8,0), _xlfn.IFNA(VLOOKUP($BR30, $Z18:$AI18,8,0), VLOOKUP($BR30, $AA18:$AI18,8,0)))))</f>
        <v>3</v>
      </c>
    </row>
    <row r="31" spans="1:71" x14ac:dyDescent="0.3">
      <c r="A31" s="31" t="s">
        <v>34</v>
      </c>
      <c r="B31" t="s">
        <v>27</v>
      </c>
      <c r="C31">
        <v>561</v>
      </c>
      <c r="D31">
        <v>267</v>
      </c>
      <c r="E31">
        <v>12</v>
      </c>
      <c r="F31">
        <v>0</v>
      </c>
      <c r="G31">
        <v>0</v>
      </c>
      <c r="I31">
        <v>64</v>
      </c>
      <c r="J31">
        <v>19</v>
      </c>
      <c r="K31">
        <v>1</v>
      </c>
      <c r="L31">
        <v>0</v>
      </c>
      <c r="M31">
        <v>0</v>
      </c>
      <c r="O31" s="2">
        <f t="shared" si="0"/>
        <v>0.1140819964349376</v>
      </c>
      <c r="P31" s="2">
        <f t="shared" si="1"/>
        <v>7.116104868913857E-2</v>
      </c>
      <c r="Q31" s="2">
        <f t="shared" si="2"/>
        <v>8.3333333333333329E-2</v>
      </c>
      <c r="R31" s="2">
        <f t="shared" si="3"/>
        <v>0</v>
      </c>
      <c r="S31" s="2">
        <f t="shared" si="4"/>
        <v>0</v>
      </c>
      <c r="T31" s="2"/>
      <c r="U31" s="2">
        <f>69/569</f>
        <v>0.12126537785588752</v>
      </c>
      <c r="V31" s="2"/>
      <c r="W31" s="3">
        <f t="shared" si="17"/>
        <v>0.94076313002144196</v>
      </c>
      <c r="X31" s="3">
        <f t="shared" si="18"/>
        <v>0.58682082179883832</v>
      </c>
      <c r="Y31" s="3">
        <f t="shared" si="19"/>
        <v>0.68719806763285018</v>
      </c>
      <c r="Z31" s="3">
        <f t="shared" si="15"/>
        <v>0</v>
      </c>
      <c r="AA31" s="3">
        <f t="shared" si="16"/>
        <v>0</v>
      </c>
      <c r="AB31" s="3">
        <f t="shared" si="6"/>
        <v>0.94076313002144196</v>
      </c>
      <c r="AC31" s="41">
        <f t="shared" si="9"/>
        <v>561</v>
      </c>
      <c r="AD31" s="41" t="str">
        <f t="shared" si="10"/>
        <v>3</v>
      </c>
      <c r="AE31" s="3">
        <f>IF(C31&gt;0,((I31*((3*69)+C31))/(4*C31*69))*(1-(C31-I31)/(569-69)),0)</f>
        <v>1.9046733317833078E-3</v>
      </c>
      <c r="AF31" s="3">
        <f>IF(D31&gt;0,((J31*((3*69)+D31))/(4*D31*69))*(1-(D31-J31)/(569-69)),0)</f>
        <v>6.1594528578407429E-2</v>
      </c>
      <c r="AG31" s="3">
        <f>IF(E31&gt;0,((K31*((3*69)+E31))/(4*E31*69))*(1-(E31-K31)/(569-69)),0)</f>
        <v>6.4668478260869564E-2</v>
      </c>
      <c r="AH31" s="3">
        <f>IF(F31&gt;0,((L31*((3*69)+F31))/(4*F31*69))*(1-(F31-L31)/(569-69)),0)</f>
        <v>0</v>
      </c>
      <c r="AI31" s="3">
        <f>IF(G31&gt;0,((M31*((3*69)+G31))/(4*G31*69))*(1-(G31-M31)/(569-69)),0)</f>
        <v>0</v>
      </c>
      <c r="AY31" t="s">
        <v>34</v>
      </c>
      <c r="AZ31" s="5">
        <f>MAX(W19:AA22)</f>
        <v>2.6021341463414633</v>
      </c>
      <c r="BA31" s="5" t="str">
        <f>_xlfn.IFNA(VLOOKUP(AZ31, W19:AI22,8,0), _xlfn.IFNA(VLOOKUP(AZ31, X19:AI22,8,0), _xlfn.IFNA(VLOOKUP(AZ31, Y19:AI22,8,0), _xlfn.IFNA(VLOOKUP(AZ31, Z19:AI22,8,0), VLOOKUP(AZ31, AA19:AI22,8,0)))))</f>
        <v>3</v>
      </c>
      <c r="BB31" t="s">
        <v>34</v>
      </c>
      <c r="BC31" s="5">
        <f>MAX(AE19:AI22)</f>
        <v>0.17697830085842758</v>
      </c>
      <c r="BE31" t="s">
        <v>34</v>
      </c>
      <c r="BF31" s="4">
        <f>MAX($W19:$AA19)</f>
        <v>1.0106571936056838</v>
      </c>
      <c r="BG31" s="5" t="str">
        <f>_xlfn.IFNA(VLOOKUP($BF31, $W19:$AI19,8,0), _xlfn.IFNA(VLOOKUP($BF31, $X19:$AI19,8,0), _xlfn.IFNA(VLOOKUP($BF31, $Y19:$AI19,8,0), _xlfn.IFNA(VLOOKUP($BF31, $Z19:$AI19,8,0), VLOOKUP($BF31, $AA19:$AI19,8,0)))))</f>
        <v>3</v>
      </c>
      <c r="BI31" t="s">
        <v>34</v>
      </c>
      <c r="BJ31" s="4">
        <f>MAX($W20:$AA20)</f>
        <v>2.6021341463414633</v>
      </c>
      <c r="BK31" s="5" t="str">
        <f>_xlfn.IFNA(VLOOKUP($BJ31, $W20:$AI20,8,0), _xlfn.IFNA(VLOOKUP($BJ31, $X20:$AI20,8,0), _xlfn.IFNA(VLOOKUP($BJ31, $Y20:$AI20,8,0), _xlfn.IFNA(VLOOKUP($BJ31, $Z20:$AI20,8,0), VLOOKUP($BJ31, $AA20:$AI20,8,0)))))</f>
        <v>3</v>
      </c>
      <c r="BM31" t="s">
        <v>34</v>
      </c>
      <c r="BN31" s="4">
        <f>MAX($W21:$AA21)</f>
        <v>1.4817708333333333</v>
      </c>
      <c r="BO31" s="5">
        <f>_xlfn.IFNA(VLOOKUP($BN31, $W21:$AI21,8,0), _xlfn.IFNA(VLOOKUP($BN31, $X21:$AI21,8,0), _xlfn.IFNA(VLOOKUP($BN31, $Y21:$AI21,8,0), _xlfn.IFNA(VLOOKUP($BN31, $Z21:$AI21,8,0), VLOOKUP($BN31, $AA21:$AI21,8,0)))))</f>
        <v>6.4238219577362171E-2</v>
      </c>
      <c r="BQ31" t="s">
        <v>34</v>
      </c>
      <c r="BR31" s="4">
        <f>MAX($W22:$AA22)</f>
        <v>2.1553030303030303</v>
      </c>
      <c r="BS31" s="5">
        <f>_xlfn.IFNA(VLOOKUP($BR31, $W22:$AI22,8,0), _xlfn.IFNA(VLOOKUP($BR31, $X22:$AI22,8,0), _xlfn.IFNA(VLOOKUP($BR31, $Y22:$AI22,8,0), _xlfn.IFNA(VLOOKUP($BR31, $Z22:$AI22,8,0), VLOOKUP($BR31, $AA22:$AI22,8,0)))))</f>
        <v>3.0387510959430167E-2</v>
      </c>
    </row>
    <row r="32" spans="1:71" x14ac:dyDescent="0.3">
      <c r="A32" s="31" t="s">
        <v>34</v>
      </c>
      <c r="B32" t="s">
        <v>28</v>
      </c>
      <c r="C32">
        <v>50</v>
      </c>
      <c r="D32">
        <v>9</v>
      </c>
      <c r="E32">
        <v>0</v>
      </c>
      <c r="F32">
        <v>0</v>
      </c>
      <c r="G32">
        <v>0</v>
      </c>
      <c r="I32">
        <v>6</v>
      </c>
      <c r="J32">
        <v>2</v>
      </c>
      <c r="K32">
        <v>0</v>
      </c>
      <c r="L32">
        <v>0</v>
      </c>
      <c r="M32">
        <v>0</v>
      </c>
      <c r="O32" s="2">
        <f t="shared" si="0"/>
        <v>0.12</v>
      </c>
      <c r="P32" s="2">
        <f t="shared" si="1"/>
        <v>0.22222222222222221</v>
      </c>
      <c r="Q32" s="2">
        <f t="shared" si="2"/>
        <v>0</v>
      </c>
      <c r="R32" s="2">
        <f t="shared" si="3"/>
        <v>0</v>
      </c>
      <c r="S32" s="2">
        <f t="shared" si="4"/>
        <v>0</v>
      </c>
      <c r="T32" s="2"/>
      <c r="U32" s="2">
        <f>69/569</f>
        <v>0.12126537785588752</v>
      </c>
      <c r="V32" s="2"/>
      <c r="W32" s="3">
        <f t="shared" si="17"/>
        <v>0.98956521739130432</v>
      </c>
      <c r="X32" s="3">
        <f t="shared" si="18"/>
        <v>1.8325281803542672</v>
      </c>
      <c r="Y32" s="3">
        <f t="shared" si="19"/>
        <v>0</v>
      </c>
      <c r="Z32" s="3">
        <f t="shared" si="15"/>
        <v>0</v>
      </c>
      <c r="AA32" s="3">
        <f t="shared" si="16"/>
        <v>0</v>
      </c>
      <c r="AB32" s="3">
        <f t="shared" si="6"/>
        <v>1.8325281803542672</v>
      </c>
      <c r="AC32" s="41">
        <f t="shared" si="9"/>
        <v>9</v>
      </c>
      <c r="AD32" s="41" t="str">
        <f t="shared" si="10"/>
        <v>4</v>
      </c>
      <c r="AE32" s="3">
        <f>IF(C32&gt;0,((I32*((3*69)+C32))/(4*C32*69))*(1-(C32-I32)/(569-69)),0)</f>
        <v>0.10190608695652174</v>
      </c>
      <c r="AF32" s="3">
        <f>IF(D32&gt;0,((J32*((3*69)+D32))/(4*D32*69))*(1-(D32-J32)/(569-69)),0)</f>
        <v>0.17147826086956522</v>
      </c>
      <c r="AG32" s="3">
        <f>IF(E32&gt;0,((K32*((3*69)+E32))/(4*E32*69))*(1-(E32-K32)/(569-69)),0)</f>
        <v>0</v>
      </c>
      <c r="AH32" s="3">
        <f>IF(F32&gt;0,((L32*((3*69)+F32))/(4*F32*69))*(1-(F32-L32)/(569-69)),0)</f>
        <v>0</v>
      </c>
      <c r="AI32" s="3">
        <f>IF(G32&gt;0,((M32*((3*69)+G32))/(4*G32*69))*(1-(G32-M32)/(569-69)),0)</f>
        <v>0</v>
      </c>
      <c r="AR32" t="s">
        <v>39</v>
      </c>
      <c r="AY32" t="s">
        <v>35</v>
      </c>
      <c r="AZ32" s="5">
        <f>MAX(W23:AA26)</f>
        <v>2.5338941118258291</v>
      </c>
      <c r="BA32" s="5">
        <f>_xlfn.IFNA(VLOOKUP(AZ32, W23:AI26,8,0), _xlfn.IFNA(VLOOKUP(AZ32, X23:AI26,8,0), _xlfn.IFNA(VLOOKUP(AZ32, Y23:AI26,8,0), _xlfn.IFNA(VLOOKUP(AZ32, Z23:AI26,8,0), VLOOKUP(AZ32, AA23:AI26,8,0)))))</f>
        <v>0.14586938578148526</v>
      </c>
      <c r="BB32" t="s">
        <v>35</v>
      </c>
      <c r="BC32" s="5">
        <f>MAX(AE23:AI26)</f>
        <v>0.1817870534294847</v>
      </c>
      <c r="BE32" t="s">
        <v>35</v>
      </c>
      <c r="BF32" s="4">
        <f>MAX($W23:$AA23)</f>
        <v>2.5338941118258291</v>
      </c>
      <c r="BG32" s="5">
        <f>_xlfn.IFNA(VLOOKUP($BF32, $W23:$AI23,8,0), _xlfn.IFNA(VLOOKUP($BF32, $X23:$AI23,8,0), _xlfn.IFNA(VLOOKUP($BF32, $Y23:$AI23,8,0), _xlfn.IFNA(VLOOKUP($BF32, $Z23:$AI23,8,0), VLOOKUP($BF32, $AA23:$AI23,8,0)))))</f>
        <v>0.14586938578148526</v>
      </c>
      <c r="BI32" t="s">
        <v>35</v>
      </c>
      <c r="BJ32" s="4">
        <f>MAX($W24:$AA24)</f>
        <v>0.44108527131782949</v>
      </c>
      <c r="BK32" s="5" t="str">
        <f>_xlfn.IFNA(VLOOKUP($BJ32, $W24:$AI24,8,0), _xlfn.IFNA(VLOOKUP($BJ32, $X24:$AI24,8,0), _xlfn.IFNA(VLOOKUP($BJ32, $Y24:$AI24,8,0), _xlfn.IFNA(VLOOKUP($BJ32, $Z24:$AI24,8,0), VLOOKUP($BJ32, $AA24:$AI24,8,0)))))</f>
        <v>3</v>
      </c>
      <c r="BM32" t="s">
        <v>35</v>
      </c>
      <c r="BN32" s="4">
        <f>MAX($W25:$AA25)</f>
        <v>1.0043687392436345</v>
      </c>
      <c r="BO32" s="5" t="str">
        <f>_xlfn.IFNA(VLOOKUP($BN32, $W25:$AI25,8,0), _xlfn.IFNA(VLOOKUP($BN32, $X25:$AI25,8,0), _xlfn.IFNA(VLOOKUP($BN32, $Y25:$AI25,8,0), _xlfn.IFNA(VLOOKUP($BN32, $Z25:$AI25,8,0), VLOOKUP($BN32, $AA25:$AI25,8,0)))))</f>
        <v>3</v>
      </c>
      <c r="BQ32" t="s">
        <v>35</v>
      </c>
      <c r="BR32" s="4">
        <f>MAX($W26:$AA26)</f>
        <v>0.31506090808416387</v>
      </c>
      <c r="BS32" s="5" t="str">
        <f>_xlfn.IFNA(VLOOKUP($BR32, $W26:$AI26,8,0), _xlfn.IFNA(VLOOKUP($BR32, $X26:$AI26,8,0), _xlfn.IFNA(VLOOKUP($BR32, $Y26:$AI26,8,0), _xlfn.IFNA(VLOOKUP($BR32, $Z26:$AI26,8,0), VLOOKUP($BR32, $AA26:$AI26,8,0)))))</f>
        <v>3</v>
      </c>
    </row>
    <row r="33" spans="1:71" x14ac:dyDescent="0.3">
      <c r="A33" s="31" t="s">
        <v>34</v>
      </c>
      <c r="B33" t="s">
        <v>29</v>
      </c>
      <c r="C33">
        <v>568</v>
      </c>
      <c r="D33">
        <v>528</v>
      </c>
      <c r="E33">
        <v>203</v>
      </c>
      <c r="F33">
        <v>9</v>
      </c>
      <c r="G33">
        <v>0</v>
      </c>
      <c r="I33">
        <v>69</v>
      </c>
      <c r="J33">
        <v>63</v>
      </c>
      <c r="K33">
        <v>18</v>
      </c>
      <c r="L33">
        <v>0</v>
      </c>
      <c r="M33">
        <v>0</v>
      </c>
      <c r="O33" s="2">
        <f t="shared" si="0"/>
        <v>0.12147887323943662</v>
      </c>
      <c r="P33" s="2">
        <f t="shared" si="1"/>
        <v>0.11931818181818182</v>
      </c>
      <c r="Q33" s="2">
        <f t="shared" si="2"/>
        <v>8.8669950738916259E-2</v>
      </c>
      <c r="R33" s="2">
        <f t="shared" si="3"/>
        <v>0</v>
      </c>
      <c r="S33" s="2">
        <f t="shared" si="4"/>
        <v>0</v>
      </c>
      <c r="T33" s="2"/>
      <c r="U33" s="2">
        <f>69/569</f>
        <v>0.12126537785588752</v>
      </c>
      <c r="V33" s="2"/>
      <c r="W33" s="3">
        <f t="shared" si="17"/>
        <v>1.0017605633802817</v>
      </c>
      <c r="X33" s="3">
        <f t="shared" si="18"/>
        <v>0.98394268774703564</v>
      </c>
      <c r="Y33" s="3">
        <f t="shared" si="19"/>
        <v>0.73120582565859926</v>
      </c>
      <c r="Z33" s="3">
        <f t="shared" si="15"/>
        <v>0</v>
      </c>
      <c r="AA33" s="3">
        <f t="shared" si="16"/>
        <v>0</v>
      </c>
      <c r="AB33" s="3">
        <f t="shared" si="6"/>
        <v>1.0017605633802817</v>
      </c>
      <c r="AC33" s="41">
        <f t="shared" si="9"/>
        <v>568</v>
      </c>
      <c r="AD33" s="41" t="str">
        <f t="shared" si="10"/>
        <v>3</v>
      </c>
      <c r="AE33" s="3">
        <f>IF(C33&gt;0,((I33*((3*69)+C33))/(4*C33*69))*(1-(C33-I33)/(569-69)),0)</f>
        <v>6.8221830985915554E-4</v>
      </c>
      <c r="AF33" s="3">
        <f>IF(D33&gt;0,((J33*((3*69)+D33))/(4*D33*69))*(1-(D33-J33)/(569-69)),0)</f>
        <v>2.2242465415019747E-2</v>
      </c>
      <c r="AG33" s="3">
        <f>IF(E33&gt;0,((K33*((3*69)+E33))/(4*E33*69))*(1-(E33-K33)/(569-69)),0)</f>
        <v>8.2983508245877052E-2</v>
      </c>
      <c r="AH33" s="3">
        <f>IF(F33&gt;0,((L33*((3*69)+F33))/(4*F33*69))*(1-(F33-L33)/(569-69)),0)</f>
        <v>0</v>
      </c>
      <c r="AI33" s="3">
        <f>IF(G33&gt;0,((M33*((3*69)+G33))/(4*G33*69))*(1-(G33-M33)/(569-69)),0)</f>
        <v>0</v>
      </c>
      <c r="AR33" s="17" t="s">
        <v>27</v>
      </c>
      <c r="AS33" s="7">
        <f>COUNTIF(W3, "&gt;2") + COUNTIF(W7, "&gt;2") + COUNTIF(W11, "&gt;2") + COUNTIF(W15, "&gt;2") + COUNTIF(W19, "&gt;2") + COUNTIF(W23, "&gt;2") + COUNTIF(W27, "&gt;2") + COUNTIF(W31, "&gt;2")</f>
        <v>0</v>
      </c>
      <c r="AT33" s="7">
        <f>COUNTIF(X3, "&gt;2") + COUNTIF(X7, "&gt;2") + COUNTIF(X11, "&gt;2") + COUNTIF(X15, "&gt;2") + COUNTIF(X19, "&gt;2") + COUNTIF(X23, "&gt;2") + COUNTIF(X27, "&gt;2") + COUNTIF(X31, "&gt;2")</f>
        <v>0</v>
      </c>
      <c r="AU33" s="7">
        <f>COUNTIF(Y3, "&gt;2") + COUNTIF(Y7, "&gt;2") + COUNTIF(Y11, "&gt;2") + COUNTIF(Y15, "&gt;2") + COUNTIF(Y19, "&gt;2") + COUNTIF(Y23, "&gt;2") + COUNTIF(Y27, "&gt;2") + COUNTIF(Y31, "&gt;2")</f>
        <v>2</v>
      </c>
      <c r="AV33" s="7">
        <f>COUNTIF(Z3, "&gt;2") + COUNTIF(Z7, "&gt;2") + COUNTIF(Z11, "&gt;2") + COUNTIF(Z15, "&gt;2") + COUNTIF(Z19, "&gt;2") + COUNTIF(Z23, "&gt;2") + COUNTIF(Z27, "&gt;2") + COUNTIF(Z31, "&gt;2")</f>
        <v>0</v>
      </c>
      <c r="AW33" s="18">
        <f>COUNTIF(AA3, "&gt;2") + COUNTIF(AA7, "&gt;2") + COUNTIF(AA11, "&gt;2") + COUNTIF(AA15, "&gt;2") + COUNTIF(AA19, "&gt;2") + COUNTIF(AA23, "&gt;2") + COUNTIF(AA27, "&gt;2") + COUNTIF(AA31, "&gt;2")</f>
        <v>0</v>
      </c>
      <c r="AX33" s="4"/>
      <c r="AY33" t="s">
        <v>37</v>
      </c>
      <c r="AZ33" s="5">
        <f>MAX(W27:AA30)</f>
        <v>5.5784313725490193</v>
      </c>
      <c r="BA33" s="5">
        <f>_xlfn.IFNA(VLOOKUP(AZ33, W27:AI30,8,0), _xlfn.IFNA(VLOOKUP(AZ33, X27:AI30,8,0), _xlfn.IFNA(VLOOKUP(AZ33, Y27:AI30,8,0), _xlfn.IFNA(VLOOKUP(AZ33, Z27:AI30,8,0), VLOOKUP(AZ33, AA27:AI30,8,0)))))</f>
        <v>3.129524613899614E-2</v>
      </c>
      <c r="BB33" t="s">
        <v>37</v>
      </c>
      <c r="BC33" s="5">
        <f>MAX(AE27:AI30)</f>
        <v>0.3791685593156181</v>
      </c>
      <c r="BE33" t="s">
        <v>37</v>
      </c>
      <c r="BF33" s="4">
        <f>MAX($W27:$AA27)</f>
        <v>1.0368831547488884</v>
      </c>
      <c r="BG33" s="5">
        <f>_xlfn.IFNA(VLOOKUP($BF33, $W27:$AI27,8,0), _xlfn.IFNA(VLOOKUP($BF33, $X27:$AI27,8,0), _xlfn.IFNA(VLOOKUP($BF33, $Y27:$AI27,8,0), _xlfn.IFNA(VLOOKUP($BF33, $Z27:$AI27,8,0), VLOOKUP($BF33, $AA27:$AI27,8,0)))))</f>
        <v>4.8194953657138438E-3</v>
      </c>
      <c r="BI33" t="s">
        <v>37</v>
      </c>
      <c r="BJ33" s="4">
        <f>MAX($W28:$AA28)</f>
        <v>5.5784313725490193</v>
      </c>
      <c r="BK33" s="5">
        <f>_xlfn.IFNA(VLOOKUP($BJ33, $W28:$AI28,8,0), _xlfn.IFNA(VLOOKUP($BJ33, $X28:$AI28,8,0), _xlfn.IFNA(VLOOKUP($BJ33, $Y28:$AI28,8,0), _xlfn.IFNA(VLOOKUP($BJ33, $Z28:$AI28,8,0), VLOOKUP($BJ33, $AA28:$AI28,8,0)))))</f>
        <v>3.129524613899614E-2</v>
      </c>
      <c r="BM33" t="s">
        <v>37</v>
      </c>
      <c r="BN33" s="4">
        <f>MAX($W29:$AA29)</f>
        <v>0.97755368814192345</v>
      </c>
      <c r="BO33" s="5" t="str">
        <f>_xlfn.IFNA(VLOOKUP($BN33, $W29:$AI29,8,0), _xlfn.IFNA(VLOOKUP($BN33, $X29:$AI29,8,0), _xlfn.IFNA(VLOOKUP($BN33, $Y29:$AI29,8,0), _xlfn.IFNA(VLOOKUP($BN33, $Z29:$AI29,8,0), VLOOKUP($BN33, $AA29:$AI29,8,0)))))</f>
        <v>3</v>
      </c>
      <c r="BQ33" t="s">
        <v>37</v>
      </c>
      <c r="BR33" s="4">
        <f>MAX($W30:$AA30)</f>
        <v>0.36780866192630896</v>
      </c>
      <c r="BS33" s="5" t="str">
        <f>_xlfn.IFNA(VLOOKUP($BR33, $W30:$AI30,8,0), _xlfn.IFNA(VLOOKUP($BR33, $X30:$AI30,8,0), _xlfn.IFNA(VLOOKUP($BR33, $Y30:$AI30,8,0), _xlfn.IFNA(VLOOKUP($BR33, $Z30:$AI30,8,0), VLOOKUP($BR33, $AA30:$AI30,8,0)))))</f>
        <v>3</v>
      </c>
    </row>
    <row r="34" spans="1:71" s="1" customFormat="1" x14ac:dyDescent="0.3">
      <c r="A34" s="31" t="s">
        <v>34</v>
      </c>
      <c r="B34" s="1" t="s">
        <v>30</v>
      </c>
      <c r="C34" s="1">
        <v>34</v>
      </c>
      <c r="D34" s="1">
        <v>8</v>
      </c>
      <c r="E34" s="1">
        <v>0</v>
      </c>
      <c r="F34" s="1">
        <v>0</v>
      </c>
      <c r="G34" s="1">
        <v>0</v>
      </c>
      <c r="I34" s="1">
        <v>2</v>
      </c>
      <c r="J34" s="1">
        <v>0</v>
      </c>
      <c r="K34" s="1">
        <v>0</v>
      </c>
      <c r="L34" s="1">
        <v>0</v>
      </c>
      <c r="M34" s="1">
        <v>0</v>
      </c>
      <c r="O34" s="9">
        <f t="shared" si="0"/>
        <v>5.8823529411764705E-2</v>
      </c>
      <c r="P34" s="9">
        <f t="shared" si="1"/>
        <v>0</v>
      </c>
      <c r="Q34" s="9">
        <f t="shared" si="2"/>
        <v>0</v>
      </c>
      <c r="R34" s="9">
        <f t="shared" si="3"/>
        <v>0</v>
      </c>
      <c r="S34" s="9">
        <f t="shared" si="4"/>
        <v>0</v>
      </c>
      <c r="T34" s="9"/>
      <c r="U34" s="9">
        <f>69/569</f>
        <v>0.12126537785588752</v>
      </c>
      <c r="V34" s="9"/>
      <c r="W34" s="10">
        <f t="shared" si="17"/>
        <v>0.48508098891730606</v>
      </c>
      <c r="X34" s="10">
        <f t="shared" si="18"/>
        <v>0</v>
      </c>
      <c r="Y34" s="10">
        <f t="shared" si="19"/>
        <v>0</v>
      </c>
      <c r="Z34" s="10">
        <f t="shared" si="15"/>
        <v>0</v>
      </c>
      <c r="AA34" s="10">
        <f t="shared" si="16"/>
        <v>0</v>
      </c>
      <c r="AB34" s="10">
        <f t="shared" si="6"/>
        <v>0.48508098891730606</v>
      </c>
      <c r="AC34" s="42">
        <f t="shared" si="9"/>
        <v>34</v>
      </c>
      <c r="AD34" s="42" t="str">
        <f t="shared" si="10"/>
        <v>3</v>
      </c>
      <c r="AE34" s="10">
        <f>IF(C34&gt;0,((I34*((3*69)+C34))/(4*C34*69))*(1-(C34-I34)/(569-69)),0)</f>
        <v>4.8076726342710992E-2</v>
      </c>
      <c r="AF34" s="10">
        <f>IF(D34&gt;0,((J34*((3*69)+D34))/(4*D34*69))*(1-(D34-J34)/(569-69)),0)</f>
        <v>0</v>
      </c>
      <c r="AG34" s="10">
        <f>IF(E34&gt;0,((K34*((3*69)+E34))/(4*E34*69))*(1-(E34-K34)/(569-69)),0)</f>
        <v>0</v>
      </c>
      <c r="AH34" s="10">
        <f>IF(F34&gt;0,((L34*((3*69)+F34))/(4*F34*69))*(1-(F34-L34)/(569-69)),0)</f>
        <v>0</v>
      </c>
      <c r="AI34" s="10">
        <f>IF(G34&gt;0,((M34*((3*69)+G34))/(4*G34*69))*(1-(G34-M34)/(569-69)),0)</f>
        <v>0</v>
      </c>
      <c r="AR34" s="21" t="s">
        <v>28</v>
      </c>
      <c r="AS34" s="4">
        <f>COUNTIF(W4, "&gt;2") + COUNTIF(W8, "&gt;2") + COUNTIF(W12, "&gt;2") + COUNTIF(W16, "&gt;2") + COUNTIF(W20, "&gt;2") + COUNTIF(W24, "&gt;2") + COUNTIF(W28, "&gt;2") + COUNTIF(W32, "&gt;2")</f>
        <v>2</v>
      </c>
      <c r="AT34" s="4">
        <f>COUNTIF(X4, "&gt;2") + COUNTIF(X8, "&gt;2") + COUNTIF(X12, "&gt;2") + COUNTIF(X16, "&gt;2") + COUNTIF(X20, "&gt;2") + COUNTIF(X24, "&gt;2") + COUNTIF(X28, "&gt;2") + COUNTIF(X32, "&gt;2")</f>
        <v>0</v>
      </c>
      <c r="AU34" s="4">
        <f>COUNTIF(Y4, "&gt;2") + COUNTIF(Y8, "&gt;2") + COUNTIF(Y12, "&gt;2") + COUNTIF(Y16, "&gt;2") + COUNTIF(Y20, "&gt;2") + COUNTIF(Y24, "&gt;2") + COUNTIF(Y28, "&gt;2") + COUNTIF(Y32, "&gt;2")</f>
        <v>1</v>
      </c>
      <c r="AV34" s="4">
        <f>COUNTIF(Z4, "&gt;2") + COUNTIF(Z8, "&gt;2") + COUNTIF(Z12, "&gt;2") + COUNTIF(Z16, "&gt;2") + COUNTIF(Z20, "&gt;2") + COUNTIF(Z24, "&gt;2") + COUNTIF(Z28, "&gt;2") + COUNTIF(Z32, "&gt;2")</f>
        <v>0</v>
      </c>
      <c r="AW34" s="22">
        <f>COUNTIF(AA4, "&gt;2") + COUNTIF(AA8, "&gt;2") + COUNTIF(AA12, "&gt;2") + COUNTIF(AA16, "&gt;2") + COUNTIF(AA20, "&gt;2") + COUNTIF(AA24, "&gt;2") + COUNTIF(AA28, "&gt;2") + COUNTIF(AA32, "&gt;2")</f>
        <v>0</v>
      </c>
      <c r="AX34" s="13"/>
      <c r="AY34" s="1" t="s">
        <v>38</v>
      </c>
      <c r="AZ34" s="14">
        <f>MAX(W31:AA34)</f>
        <v>1.8325281803542672</v>
      </c>
      <c r="BA34" s="14">
        <f>_xlfn.IFNA(VLOOKUP(AZ34, W31:AI34,8,0), _xlfn.IFNA(VLOOKUP(AZ34, X31:AI34,8,0), _xlfn.IFNA(VLOOKUP(AZ34, Y31:AI34,8,0), _xlfn.IFNA(VLOOKUP(AZ34, Z31:AI34,8,0), VLOOKUP(AZ34, AA31:AI34,8,0)))))</f>
        <v>0.10190608695652174</v>
      </c>
      <c r="BB34" s="1" t="s">
        <v>38</v>
      </c>
      <c r="BC34" s="14">
        <f>MAX(AE31:AI34)</f>
        <v>0.17147826086956522</v>
      </c>
      <c r="BE34" s="1" t="s">
        <v>38</v>
      </c>
      <c r="BF34" s="4">
        <f>MAX($W31:$AA31)</f>
        <v>0.94076313002144196</v>
      </c>
      <c r="BG34" s="14" t="str">
        <f>_xlfn.IFNA(VLOOKUP($BF34, $W31:$AI31,8,0), _xlfn.IFNA(VLOOKUP($BF34, $X31:$AI31,8,0), _xlfn.IFNA(VLOOKUP($BF34, $Y31:$AI31,8,0), _xlfn.IFNA(VLOOKUP($BF34, $Z31:$AI31,8,0), VLOOKUP($BF34, $AA31:$AI31,8,0)))))</f>
        <v>3</v>
      </c>
      <c r="BI34" s="1" t="s">
        <v>38</v>
      </c>
      <c r="BJ34" s="4">
        <f>MAX($W32:$AA32)</f>
        <v>1.8325281803542672</v>
      </c>
      <c r="BK34" s="5">
        <f>_xlfn.IFNA(VLOOKUP($BJ34, $W32:$AI32,8,0), _xlfn.IFNA(VLOOKUP($BJ34, $X32:$AI32,8,0), _xlfn.IFNA(VLOOKUP($BJ34, $Y32:$AI32,8,0), _xlfn.IFNA(VLOOKUP($BJ34, $Z32:$AI32,8,0), VLOOKUP($BJ34, $AA32:$AI32,8,0)))))</f>
        <v>0.10190608695652174</v>
      </c>
      <c r="BM34" s="1" t="s">
        <v>38</v>
      </c>
      <c r="BN34" s="13">
        <f>MAX($W33:$AA33)</f>
        <v>1.0017605633802817</v>
      </c>
      <c r="BO34" s="14" t="str">
        <f>_xlfn.IFNA(VLOOKUP($BN34, $W33:$AI33,8,0), _xlfn.IFNA(VLOOKUP($BN34, $X33:$AI33,8,0), _xlfn.IFNA(VLOOKUP($BN34, $Y33:$AI33,8,0), _xlfn.IFNA(VLOOKUP($BN34, $Z33:$AI33,8,0), VLOOKUP($BN34, $AA33:$AI33,8,0)))))</f>
        <v>3</v>
      </c>
      <c r="BQ34" s="1" t="s">
        <v>38</v>
      </c>
      <c r="BR34" s="13">
        <f>MAX($W34:$AA34)</f>
        <v>0.48508098891730606</v>
      </c>
      <c r="BS34" s="14" t="str">
        <f>_xlfn.IFNA(VLOOKUP($BR34, $W34:$AI34,8,0), _xlfn.IFNA(VLOOKUP($BR34, $X34:$AI34,8,0), _xlfn.IFNA(VLOOKUP($BR34, $Y34:$AI34,8,0), _xlfn.IFNA(VLOOKUP($BR34, $Z34:$AI34,8,0), VLOOKUP($BR34, $AA34:$AI34,8,0)))))</f>
        <v>3</v>
      </c>
    </row>
    <row r="35" spans="1:71" x14ac:dyDescent="0.3">
      <c r="A35" s="31" t="s">
        <v>56</v>
      </c>
      <c r="B35" t="s">
        <v>27</v>
      </c>
      <c r="C35">
        <v>495</v>
      </c>
      <c r="D35">
        <v>74</v>
      </c>
      <c r="E35">
        <v>1</v>
      </c>
      <c r="F35">
        <v>0</v>
      </c>
      <c r="G35">
        <v>0</v>
      </c>
      <c r="I35">
        <v>45</v>
      </c>
      <c r="J35">
        <v>15</v>
      </c>
      <c r="K35">
        <v>1</v>
      </c>
      <c r="L35">
        <v>0</v>
      </c>
      <c r="M35">
        <v>0</v>
      </c>
      <c r="O35" s="27">
        <f t="shared" ref="O35:O54" si="20">IF(I35&gt;0, I35/C35, 0)</f>
        <v>9.0909090909090912E-2</v>
      </c>
      <c r="P35" s="27">
        <f t="shared" ref="P35:P54" si="21">IF(J35&gt;0, J35/D35, 0)</f>
        <v>0.20270270270270271</v>
      </c>
      <c r="Q35" s="27">
        <f t="shared" ref="Q35:Q54" si="22">IF(K35&gt;0, K35/E35, 0)</f>
        <v>1</v>
      </c>
      <c r="R35" s="27">
        <f t="shared" ref="R35:R54" si="23">IF(L35&gt;0, L35/F35, 0)</f>
        <v>0</v>
      </c>
      <c r="S35" s="27">
        <f t="shared" ref="S35:S54" si="24">IF(M35&gt;0, M35/G35, 0)</f>
        <v>0</v>
      </c>
      <c r="T35" s="27"/>
      <c r="U35" s="27">
        <f>53/569</f>
        <v>9.3145869947275917E-2</v>
      </c>
      <c r="V35" s="27"/>
      <c r="W35" s="28">
        <f t="shared" si="17"/>
        <v>0.97598627787307046</v>
      </c>
      <c r="X35" s="28">
        <f t="shared" si="18"/>
        <v>2.1761856195818461</v>
      </c>
      <c r="Y35" s="28">
        <f t="shared" si="19"/>
        <v>10.735849056603774</v>
      </c>
      <c r="Z35" s="28">
        <f t="shared" si="15"/>
        <v>0</v>
      </c>
      <c r="AA35" s="28">
        <f t="shared" si="16"/>
        <v>0</v>
      </c>
      <c r="AB35" s="28">
        <f t="shared" ref="AB35:AB54" si="25">MAX(W35:AA35)</f>
        <v>10.735849056603774</v>
      </c>
      <c r="AC35" s="39">
        <f t="shared" si="9"/>
        <v>1</v>
      </c>
      <c r="AD35" s="39" t="str">
        <f t="shared" si="10"/>
        <v>5</v>
      </c>
      <c r="AE35" s="28">
        <f>IF(C35&gt;0,((I35*((3*53)+C35))/(4*C35*53))*(1-(C35-I35)/(569-53)),0)</f>
        <v>3.5870996050899516E-2</v>
      </c>
      <c r="AF35" s="28">
        <f>IF(D35&gt;0,((J35*((3*53)+D35))/(4*D35*53))*(1-(D35-J35)/(569-53)),0)</f>
        <v>0.1973086376196293</v>
      </c>
      <c r="AG35" s="28">
        <f>IF(E35&gt;0,((K35*((3*53)+E35))/(4*E35*53))*(1-(E35-K35)/(569-53)),0)</f>
        <v>0.75471698113207553</v>
      </c>
      <c r="AH35" s="28">
        <f>IF(F35&gt;0,((L35*((3*53)+F35))/(4*F35*53))*(1-(F35-L35)/(569-53)),0)</f>
        <v>0</v>
      </c>
      <c r="AI35" s="28">
        <f>IF(G35&gt;0,((M35*((3*53)+G35))/(4*G35*53))*(1-(G35-M35)/(569-53)),0)</f>
        <v>0</v>
      </c>
      <c r="AR35" s="21" t="s">
        <v>29</v>
      </c>
      <c r="AS35" s="4">
        <f>COUNTIF(W5, "&gt;2") + COUNTIF(W9, "&gt;2") + COUNTIF(W13, "&gt;2") + COUNTIF(W17, "&gt;2") + COUNTIF(W21, "&gt;2") + COUNTIF(W25, "&gt;2") + COUNTIF(W29, "&gt;2") + COUNTIF(W33, "&gt;2")</f>
        <v>0</v>
      </c>
      <c r="AT35" s="4">
        <f>COUNTIF(X5, "&gt;2") + COUNTIF(X9, "&gt;2") + COUNTIF(X13, "&gt;2") + COUNTIF(X17, "&gt;2") + COUNTIF(X21, "&gt;2") + COUNTIF(X25, "&gt;2") + COUNTIF(X29, "&gt;2") + COUNTIF(X33, "&gt;2")</f>
        <v>0</v>
      </c>
      <c r="AU35" s="4">
        <f>COUNTIF(Y5, "&gt;2") + COUNTIF(Y9, "&gt;2") + COUNTIF(Y13, "&gt;2") + COUNTIF(Y17, "&gt;2") + COUNTIF(Y21, "&gt;2") + COUNTIF(Y25, "&gt;2") + COUNTIF(Y29, "&gt;2") + COUNTIF(Y33, "&gt;2")</f>
        <v>0</v>
      </c>
      <c r="AV35" s="4">
        <f>COUNTIF(Z5, "&gt;2") + COUNTIF(Z9, "&gt;2") + COUNTIF(Z13, "&gt;2") + COUNTIF(Z17, "&gt;2") + COUNTIF(Z21, "&gt;2") + COUNTIF(Z25, "&gt;2") + COUNTIF(Z29, "&gt;2") + COUNTIF(Z33, "&gt;2")</f>
        <v>1</v>
      </c>
      <c r="AW35" s="22">
        <f>COUNTIF(AA5, "&gt;2") + COUNTIF(AA9, "&gt;2") + COUNTIF(AA13, "&gt;2") + COUNTIF(AA17, "&gt;2") + COUNTIF(AA21, "&gt;2") + COUNTIF(AA25, "&gt;2") + COUNTIF(AA29, "&gt;2") + COUNTIF(AA33, "&gt;2")</f>
        <v>0</v>
      </c>
      <c r="AX35" s="4"/>
    </row>
    <row r="36" spans="1:71" x14ac:dyDescent="0.3">
      <c r="A36" s="31" t="s">
        <v>56</v>
      </c>
      <c r="B36" t="s">
        <v>28</v>
      </c>
      <c r="C36">
        <v>46</v>
      </c>
      <c r="D36">
        <v>7</v>
      </c>
      <c r="E36">
        <v>0</v>
      </c>
      <c r="F36">
        <v>0</v>
      </c>
      <c r="G36">
        <v>0</v>
      </c>
      <c r="I36">
        <v>6</v>
      </c>
      <c r="J36">
        <v>2</v>
      </c>
      <c r="K36">
        <v>0</v>
      </c>
      <c r="L36">
        <v>0</v>
      </c>
      <c r="M36">
        <v>0</v>
      </c>
      <c r="O36" s="27">
        <f t="shared" si="20"/>
        <v>0.13043478260869565</v>
      </c>
      <c r="P36" s="27">
        <f t="shared" si="21"/>
        <v>0.2857142857142857</v>
      </c>
      <c r="Q36" s="27">
        <f t="shared" si="22"/>
        <v>0</v>
      </c>
      <c r="R36" s="27">
        <f t="shared" si="23"/>
        <v>0</v>
      </c>
      <c r="S36" s="27">
        <f t="shared" si="24"/>
        <v>0</v>
      </c>
      <c r="T36" s="27"/>
      <c r="U36" s="27">
        <f>53/569</f>
        <v>9.3145869947275917E-2</v>
      </c>
      <c r="V36" s="27"/>
      <c r="W36" s="28">
        <f t="shared" si="17"/>
        <v>1.4003281378178836</v>
      </c>
      <c r="X36" s="28">
        <f t="shared" si="18"/>
        <v>3.0673854447439353</v>
      </c>
      <c r="Y36" s="28">
        <f t="shared" si="19"/>
        <v>0</v>
      </c>
      <c r="Z36" s="28">
        <f t="shared" si="15"/>
        <v>0</v>
      </c>
      <c r="AA36" s="28">
        <f t="shared" si="16"/>
        <v>0</v>
      </c>
      <c r="AB36" s="28">
        <f t="shared" si="25"/>
        <v>3.0673854447439353</v>
      </c>
      <c r="AC36" s="39">
        <f t="shared" si="9"/>
        <v>7</v>
      </c>
      <c r="AD36" s="39" t="str">
        <f t="shared" si="10"/>
        <v>4</v>
      </c>
      <c r="AE36" s="28">
        <f>IF(C36&gt;0,((I36*((3*53)+C36))/(4*C36*53))*(1-(C36-I36)/(569-53)),0)</f>
        <v>0.11635061144285251</v>
      </c>
      <c r="AF36" s="28">
        <f>IF(D36&gt;0,((J36*((3*53)+D36))/(4*D36*53))*(1-(D36-J36)/(569-53)),0)</f>
        <v>0.22155185022670762</v>
      </c>
      <c r="AG36" s="28">
        <f>IF(E36&gt;0,((K36*((3*53)+E36))/(4*E36*53))*(1-(E36-K36)/(569-53)),0)</f>
        <v>0</v>
      </c>
      <c r="AH36" s="28">
        <f>IF(F36&gt;0,((L36*((3*53)+F36))/(4*F36*53))*(1-(F36-L36)/(569-53)),0)</f>
        <v>0</v>
      </c>
      <c r="AI36" s="28">
        <f>IF(G36&gt;0,((M36*((3*53)+G36))/(4*G36*53))*(1-(G36-M36)/(569-53)),0)</f>
        <v>0</v>
      </c>
      <c r="AR36" s="21" t="s">
        <v>30</v>
      </c>
      <c r="AS36" s="4">
        <f>COUNTIF(W6, "&gt;2") + COUNTIF(W10, "&gt;2") + COUNTIF(W14, "&gt;2") + COUNTIF(W18, "&gt;2") + COUNTIF(W22, "&gt;2") + COUNTIF(W26, "&gt;2") + COUNTIF(W30, "&gt;2") + COUNTIF(W34, "&gt;2")</f>
        <v>1</v>
      </c>
      <c r="AT36" s="4">
        <f>COUNTIF(X6, "&gt;2") + COUNTIF(X10, "&gt;2") + COUNTIF(X14, "&gt;2") + COUNTIF(X18, "&gt;2") + COUNTIF(X22, "&gt;2") + COUNTIF(X26, "&gt;2") + COUNTIF(X30, "&gt;2") + COUNTIF(X34, "&gt;2")</f>
        <v>1</v>
      </c>
      <c r="AU36" s="4">
        <f>COUNTIF(Y6, "&gt;2") + COUNTIF(Y10, "&gt;2") + COUNTIF(Y14, "&gt;2") + COUNTIF(Y18, "&gt;2") + COUNTIF(Y22, "&gt;2") + COUNTIF(Y26, "&gt;2") + COUNTIF(Y30, "&gt;2") + COUNTIF(Y34, "&gt;2")</f>
        <v>1</v>
      </c>
      <c r="AV36" s="4">
        <f>COUNTIF(Z6, "&gt;2") + COUNTIF(Z10, "&gt;2") + COUNTIF(Z14, "&gt;2") + COUNTIF(Z18, "&gt;2") + COUNTIF(Z22, "&gt;2") + COUNTIF(Z26, "&gt;2") + COUNTIF(Z30, "&gt;2") + COUNTIF(Z34, "&gt;2")</f>
        <v>0</v>
      </c>
      <c r="AW36" s="22">
        <f>COUNTIF(AA6, "&gt;2") + COUNTIF(AA10, "&gt;2") + COUNTIF(AA14, "&gt;2") + COUNTIF(AA18, "&gt;2") + COUNTIF(AA22, "&gt;2") + COUNTIF(AA26, "&gt;2") + COUNTIF(AA30, "&gt;2") + COUNTIF(AA34, "&gt;2")</f>
        <v>0</v>
      </c>
      <c r="AX36" s="4"/>
      <c r="AY36" t="s">
        <v>42</v>
      </c>
      <c r="AZ36">
        <f>COUNTIF(AZ27:AZ34, "&gt;1.5")</f>
        <v>7</v>
      </c>
      <c r="BE36" t="s">
        <v>42</v>
      </c>
      <c r="BF36">
        <f>COUNTIF(BF27:BF34, "&gt;1.5")</f>
        <v>2</v>
      </c>
      <c r="BI36" t="s">
        <v>42</v>
      </c>
      <c r="BJ36">
        <f>COUNTIF(BJ27:BJ34, "&gt;1.5")</f>
        <v>4</v>
      </c>
      <c r="BM36" t="s">
        <v>42</v>
      </c>
      <c r="BN36">
        <f>COUNTIF(BN27:BN34, "&gt;1.5")</f>
        <v>1</v>
      </c>
      <c r="BQ36" t="s">
        <v>42</v>
      </c>
      <c r="BR36">
        <f>COUNTIF(BR27:BR34, "&gt;1.5")</f>
        <v>3</v>
      </c>
    </row>
    <row r="37" spans="1:71" x14ac:dyDescent="0.3">
      <c r="A37" s="31" t="s">
        <v>56</v>
      </c>
      <c r="B37" t="s">
        <v>29</v>
      </c>
      <c r="C37">
        <v>524</v>
      </c>
      <c r="D37">
        <v>89</v>
      </c>
      <c r="E37">
        <v>7</v>
      </c>
      <c r="F37">
        <v>0</v>
      </c>
      <c r="G37">
        <v>0</v>
      </c>
      <c r="I37">
        <v>46</v>
      </c>
      <c r="J37">
        <v>7</v>
      </c>
      <c r="K37">
        <v>4</v>
      </c>
      <c r="L37">
        <v>0</v>
      </c>
      <c r="M37">
        <v>0</v>
      </c>
      <c r="O37" s="27">
        <f t="shared" si="20"/>
        <v>8.7786259541984726E-2</v>
      </c>
      <c r="P37" s="27">
        <f t="shared" si="21"/>
        <v>7.8651685393258425E-2</v>
      </c>
      <c r="Q37" s="27">
        <f t="shared" si="22"/>
        <v>0.5714285714285714</v>
      </c>
      <c r="R37" s="27">
        <f t="shared" si="23"/>
        <v>0</v>
      </c>
      <c r="S37" s="27">
        <f t="shared" si="24"/>
        <v>0</v>
      </c>
      <c r="T37" s="27"/>
      <c r="U37" s="27">
        <f>53/569</f>
        <v>9.3145869947275917E-2</v>
      </c>
      <c r="V37" s="27"/>
      <c r="W37" s="28">
        <f t="shared" si="17"/>
        <v>0.94246003168659076</v>
      </c>
      <c r="X37" s="28">
        <f t="shared" si="18"/>
        <v>0.8443926224295103</v>
      </c>
      <c r="Y37" s="28">
        <f t="shared" si="19"/>
        <v>6.1347708894878705</v>
      </c>
      <c r="Z37" s="28">
        <f t="shared" si="15"/>
        <v>0</v>
      </c>
      <c r="AA37" s="28">
        <f t="shared" si="16"/>
        <v>0</v>
      </c>
      <c r="AB37" s="28">
        <f t="shared" si="25"/>
        <v>6.1347708894878705</v>
      </c>
      <c r="AC37" s="39">
        <f t="shared" si="9"/>
        <v>7</v>
      </c>
      <c r="AD37" s="39" t="str">
        <f t="shared" si="10"/>
        <v>5</v>
      </c>
      <c r="AE37" s="28">
        <f>IF(C37&gt;0,((I37*((3*53)+C37))/(4*C37*53))*(1-(C37-I37)/(569-53)),0)</f>
        <v>2.0827890340725758E-2</v>
      </c>
      <c r="AF37" s="28">
        <f>IF(D37&gt;0,((J37*((3*53)+D37))/(4*D37*53))*(1-(D37-J37)/(569-53)),0)</f>
        <v>7.7386264098354446E-2</v>
      </c>
      <c r="AG37" s="28">
        <f>IF(E37&gt;0,((K37*((3*53)+E37))/(4*E37*53))*(1-(E37-K37)/(569-53)),0)</f>
        <v>0.44483796151194133</v>
      </c>
      <c r="AH37" s="28">
        <f>IF(F37&gt;0,((L37*((3*53)+F37))/(4*F37*53))*(1-(F37-L37)/(569-53)),0)</f>
        <v>0</v>
      </c>
      <c r="AI37" s="28">
        <f>IF(G37&gt;0,((M37*((3*53)+G37))/(4*G37*53))*(1-(G37-M37)/(569-53)),0)</f>
        <v>0</v>
      </c>
      <c r="AR37" s="19"/>
      <c r="AS37" s="1"/>
      <c r="AT37" s="1"/>
      <c r="AU37" s="1"/>
      <c r="AV37" s="1"/>
      <c r="AW37" s="23"/>
      <c r="AY37" t="s">
        <v>43</v>
      </c>
      <c r="AZ37">
        <f>COUNTIF(AZ27:AZ34, "&gt;2")</f>
        <v>6</v>
      </c>
      <c r="BE37" t="s">
        <v>43</v>
      </c>
      <c r="BF37">
        <f>COUNTIF(BF27:BF34, "&gt;2")</f>
        <v>2</v>
      </c>
      <c r="BI37" t="s">
        <v>43</v>
      </c>
      <c r="BJ37">
        <f>COUNTIF(BJ27:BJ34, "&gt;2")</f>
        <v>3</v>
      </c>
      <c r="BM37" t="s">
        <v>43</v>
      </c>
      <c r="BN37">
        <f>COUNTIF(BN27:BN34, "&gt;2")</f>
        <v>1</v>
      </c>
      <c r="BQ37" t="s">
        <v>43</v>
      </c>
      <c r="BR37">
        <f>COUNTIF(BR27:BR34, "&gt;2")</f>
        <v>3</v>
      </c>
    </row>
    <row r="38" spans="1:71" x14ac:dyDescent="0.3">
      <c r="A38" s="31" t="s">
        <v>56</v>
      </c>
      <c r="B38" s="1" t="s">
        <v>30</v>
      </c>
      <c r="C38" s="1">
        <v>48</v>
      </c>
      <c r="D38" s="1">
        <v>8</v>
      </c>
      <c r="E38" s="1">
        <v>0</v>
      </c>
      <c r="F38" s="1">
        <v>0</v>
      </c>
      <c r="G38" s="1">
        <v>0</v>
      </c>
      <c r="H38" s="1"/>
      <c r="I38" s="1">
        <v>5</v>
      </c>
      <c r="J38" s="1">
        <v>2</v>
      </c>
      <c r="K38" s="1">
        <v>0</v>
      </c>
      <c r="L38" s="1">
        <v>0</v>
      </c>
      <c r="M38" s="1">
        <v>0</v>
      </c>
      <c r="N38" s="1"/>
      <c r="O38" s="29">
        <f t="shared" si="20"/>
        <v>0.10416666666666667</v>
      </c>
      <c r="P38" s="29">
        <f t="shared" si="21"/>
        <v>0.25</v>
      </c>
      <c r="Q38" s="29">
        <f t="shared" si="22"/>
        <v>0</v>
      </c>
      <c r="R38" s="29">
        <f t="shared" si="23"/>
        <v>0</v>
      </c>
      <c r="S38" s="29">
        <f t="shared" si="24"/>
        <v>0</v>
      </c>
      <c r="T38" s="29"/>
      <c r="U38" s="29">
        <f>53/569</f>
        <v>9.3145869947275917E-2</v>
      </c>
      <c r="V38" s="29"/>
      <c r="W38" s="30">
        <f t="shared" si="17"/>
        <v>1.1183176100628931</v>
      </c>
      <c r="X38" s="30">
        <f t="shared" si="18"/>
        <v>2.6839622641509435</v>
      </c>
      <c r="Y38" s="30">
        <f t="shared" si="19"/>
        <v>0</v>
      </c>
      <c r="Z38" s="30">
        <f t="shared" si="15"/>
        <v>0</v>
      </c>
      <c r="AA38" s="30">
        <f t="shared" si="16"/>
        <v>0</v>
      </c>
      <c r="AB38" s="30">
        <f t="shared" si="25"/>
        <v>2.6839622641509435</v>
      </c>
      <c r="AC38" s="40">
        <f t="shared" si="9"/>
        <v>8</v>
      </c>
      <c r="AD38" s="40" t="str">
        <f t="shared" si="10"/>
        <v>4</v>
      </c>
      <c r="AE38" s="30">
        <f>IF(C38&gt;0,((I38*((3*53)+C38))/(4*C38*53))*(1-(C38-I38)/(569-53)),0)</f>
        <v>9.3234080188679236E-2</v>
      </c>
      <c r="AF38" s="30">
        <f>IF(D38&gt;0,((J38*((3*53)+D38))/(4*D38*53))*(1-(D38-J38)/(569-53)),0)</f>
        <v>0.19464403247038173</v>
      </c>
      <c r="AG38" s="30">
        <f>IF(E38&gt;0,((K38*((3*53)+E38))/(4*E38*53))*(1-(E38-K38)/(569-53)),0)</f>
        <v>0</v>
      </c>
      <c r="AH38" s="30">
        <f>IF(F38&gt;0,((L38*((3*53)+F38))/(4*F38*53))*(1-(F38-L38)/(569-53)),0)</f>
        <v>0</v>
      </c>
      <c r="AI38" s="30">
        <f>IF(G38&gt;0,((M38*((3*53)+G38))/(4*G38*53))*(1-(G38-M38)/(569-53)),0)</f>
        <v>0</v>
      </c>
    </row>
    <row r="39" spans="1:71" x14ac:dyDescent="0.3">
      <c r="A39" s="31" t="s">
        <v>57</v>
      </c>
      <c r="B39" t="s">
        <v>27</v>
      </c>
      <c r="C39">
        <v>227</v>
      </c>
      <c r="D39">
        <v>46</v>
      </c>
      <c r="E39">
        <v>1</v>
      </c>
      <c r="F39">
        <v>0</v>
      </c>
      <c r="G39">
        <v>0</v>
      </c>
      <c r="I39">
        <v>8</v>
      </c>
      <c r="J39">
        <v>0</v>
      </c>
      <c r="K39">
        <v>0</v>
      </c>
      <c r="L39">
        <v>0</v>
      </c>
      <c r="M39">
        <v>0</v>
      </c>
      <c r="O39" s="27">
        <f t="shared" si="20"/>
        <v>3.5242290748898682E-2</v>
      </c>
      <c r="P39" s="27">
        <f t="shared" si="21"/>
        <v>0</v>
      </c>
      <c r="Q39" s="27">
        <f t="shared" si="22"/>
        <v>0</v>
      </c>
      <c r="R39" s="27">
        <f t="shared" si="23"/>
        <v>0</v>
      </c>
      <c r="S39" s="27">
        <f t="shared" si="24"/>
        <v>0</v>
      </c>
      <c r="T39" s="27"/>
      <c r="U39" s="27">
        <f>57/569</f>
        <v>0.10017574692442882</v>
      </c>
      <c r="V39" s="27"/>
      <c r="W39" s="28">
        <f t="shared" si="17"/>
        <v>0.35180462168637455</v>
      </c>
      <c r="X39" s="28">
        <f t="shared" si="18"/>
        <v>0</v>
      </c>
      <c r="Y39" s="28">
        <f t="shared" si="19"/>
        <v>0</v>
      </c>
      <c r="Z39" s="28">
        <f t="shared" si="15"/>
        <v>0</v>
      </c>
      <c r="AA39" s="28">
        <f t="shared" si="16"/>
        <v>0</v>
      </c>
      <c r="AB39" s="28">
        <f t="shared" si="25"/>
        <v>0.35180462168637455</v>
      </c>
      <c r="AC39" s="39">
        <f t="shared" si="9"/>
        <v>227</v>
      </c>
      <c r="AD39" s="39" t="str">
        <f t="shared" si="10"/>
        <v>3</v>
      </c>
      <c r="AE39" s="28">
        <f>IF(C39&gt;0,((I39*((3*57)+C39))/(4*C39*57))*(1-(C39-I39)/(569-57)),0)</f>
        <v>3.5205459270422755E-2</v>
      </c>
      <c r="AF39" s="28">
        <f>IF(D39&gt;0,((J39*((3*57)+D39))/(4*D39*57))*(1-(D39-J39)/(569-57)),0)</f>
        <v>0</v>
      </c>
      <c r="AG39" s="28">
        <f>IF(E39&gt;0,((K39*((3*57)+E39))/(4*E39*57))*(1-(E39-K39)/(569-57)),0)</f>
        <v>0</v>
      </c>
      <c r="AH39" s="28">
        <f>IF(F39&gt;0,((L39*((3*57)+F39))/(4*F39*57))*(1-(F39-L39)/(569-57)),0)</f>
        <v>0</v>
      </c>
      <c r="AI39" s="28">
        <f>IF(G39&gt;0,((M39*((3*57)+G39))/(4*G39*57))*(1-(G39-M39)/(569-57)),0)</f>
        <v>0</v>
      </c>
      <c r="AY39" s="1" t="s">
        <v>45</v>
      </c>
      <c r="AZ39" s="1"/>
      <c r="BB39" t="s">
        <v>52</v>
      </c>
    </row>
    <row r="40" spans="1:71" x14ac:dyDescent="0.3">
      <c r="A40" s="31" t="s">
        <v>57</v>
      </c>
      <c r="B40" t="s">
        <v>28</v>
      </c>
      <c r="C40">
        <v>411</v>
      </c>
      <c r="D40">
        <v>125</v>
      </c>
      <c r="E40">
        <v>7</v>
      </c>
      <c r="F40">
        <v>0</v>
      </c>
      <c r="G40">
        <v>0</v>
      </c>
      <c r="I40">
        <v>26</v>
      </c>
      <c r="J40">
        <v>4</v>
      </c>
      <c r="K40">
        <v>1</v>
      </c>
      <c r="L40">
        <v>0</v>
      </c>
      <c r="M40">
        <v>0</v>
      </c>
      <c r="O40" s="27">
        <f t="shared" si="20"/>
        <v>6.3260340632603412E-2</v>
      </c>
      <c r="P40" s="27">
        <f t="shared" si="21"/>
        <v>3.2000000000000001E-2</v>
      </c>
      <c r="Q40" s="27">
        <f t="shared" si="22"/>
        <v>0.14285714285714285</v>
      </c>
      <c r="R40" s="27">
        <f t="shared" si="23"/>
        <v>0</v>
      </c>
      <c r="S40" s="27">
        <f t="shared" si="24"/>
        <v>0</v>
      </c>
      <c r="T40" s="27"/>
      <c r="U40" s="27">
        <f>57/569</f>
        <v>0.10017574692442882</v>
      </c>
      <c r="V40" s="27"/>
      <c r="W40" s="28">
        <f t="shared" si="17"/>
        <v>0.63149357578862009</v>
      </c>
      <c r="X40" s="28">
        <f t="shared" si="18"/>
        <v>0.31943859649122808</v>
      </c>
      <c r="Y40" s="28">
        <f t="shared" si="19"/>
        <v>1.426065162907268</v>
      </c>
      <c r="Z40" s="28">
        <f t="shared" si="15"/>
        <v>0</v>
      </c>
      <c r="AA40" s="28">
        <f t="shared" si="16"/>
        <v>0</v>
      </c>
      <c r="AB40" s="28">
        <f t="shared" si="25"/>
        <v>1.426065162907268</v>
      </c>
      <c r="AC40" s="39">
        <f t="shared" si="9"/>
        <v>7</v>
      </c>
      <c r="AD40" s="39" t="str">
        <f t="shared" si="10"/>
        <v>5</v>
      </c>
      <c r="AE40" s="28">
        <f>IF(C40&gt;0,((I40*((3*57)+C40))/(4*C40*57))*(1-(C40-I40)/(569-57)),0)</f>
        <v>4.0054694503137402E-2</v>
      </c>
      <c r="AF40" s="28">
        <f>IF(D40&gt;0,((J40*((3*57)+D40))/(4*D40*57))*(1-(D40-J40)/(569-57)),0)</f>
        <v>3.1725877192982456E-2</v>
      </c>
      <c r="AG40" s="28">
        <f>IF(E40&gt;0,((K40*((3*57)+E40))/(4*E40*57))*(1-(E40-K40)/(569-57)),0)</f>
        <v>0.1102218436716792</v>
      </c>
      <c r="AH40" s="28">
        <f>IF(F40&gt;0,((L40*((3*57)+F40))/(4*F40*57))*(1-(F40-L40)/(569-57)),0)</f>
        <v>0</v>
      </c>
      <c r="AI40" s="28">
        <f>IF(G40&gt;0,((M40*((3*57)+G40))/(4*G40*57))*(1-(G40-M40)/(569-57)),0)</f>
        <v>0</v>
      </c>
      <c r="AY40" t="s">
        <v>26</v>
      </c>
      <c r="AZ40" t="str">
        <f>IF(COUNTIF(W3:AA3,AZ27), B3, IF(COUNTIF(W4:AA4,AZ27), B4, IF(COUNTIF(W5:AA5,AZ27), B5, B6)))</f>
        <v>dU</v>
      </c>
      <c r="BB40" t="str">
        <f>ROUND(AZ27, 2) &amp; " (" &amp; ROUND(BA27, 2) &amp; ")"</f>
        <v>2.92 (0.05)</v>
      </c>
    </row>
    <row r="41" spans="1:71" x14ac:dyDescent="0.3">
      <c r="A41" s="31" t="s">
        <v>57</v>
      </c>
      <c r="B41" t="s">
        <v>29</v>
      </c>
      <c r="C41">
        <v>227</v>
      </c>
      <c r="D41">
        <v>30</v>
      </c>
      <c r="E41">
        <v>0</v>
      </c>
      <c r="F41">
        <v>0</v>
      </c>
      <c r="G41">
        <v>0</v>
      </c>
      <c r="I41">
        <v>9</v>
      </c>
      <c r="J41">
        <v>1</v>
      </c>
      <c r="K41">
        <v>0</v>
      </c>
      <c r="L41">
        <v>0</v>
      </c>
      <c r="M41">
        <v>0</v>
      </c>
      <c r="O41" s="27">
        <f t="shared" si="20"/>
        <v>3.9647577092511016E-2</v>
      </c>
      <c r="P41" s="27">
        <f t="shared" si="21"/>
        <v>3.3333333333333333E-2</v>
      </c>
      <c r="Q41" s="27">
        <f t="shared" si="22"/>
        <v>0</v>
      </c>
      <c r="R41" s="27">
        <f t="shared" si="23"/>
        <v>0</v>
      </c>
      <c r="S41" s="27">
        <f t="shared" si="24"/>
        <v>0</v>
      </c>
      <c r="T41" s="27"/>
      <c r="U41" s="27">
        <f>57/569</f>
        <v>0.10017574692442882</v>
      </c>
      <c r="V41" s="27"/>
      <c r="W41" s="28">
        <f t="shared" si="17"/>
        <v>0.39578019939717135</v>
      </c>
      <c r="X41" s="28">
        <f t="shared" si="18"/>
        <v>0.3327485380116959</v>
      </c>
      <c r="Y41" s="28">
        <f t="shared" si="19"/>
        <v>0</v>
      </c>
      <c r="Z41" s="28">
        <f t="shared" si="15"/>
        <v>0</v>
      </c>
      <c r="AA41" s="28">
        <f t="shared" si="16"/>
        <v>0</v>
      </c>
      <c r="AB41" s="28">
        <f t="shared" si="25"/>
        <v>0.39578019939717135</v>
      </c>
      <c r="AC41" s="39">
        <f t="shared" si="9"/>
        <v>227</v>
      </c>
      <c r="AD41" s="39" t="str">
        <f t="shared" si="10"/>
        <v>3</v>
      </c>
      <c r="AE41" s="28">
        <f>IF(C41&gt;0,((I41*((3*57)+C41))/(4*C41*57))*(1-(C41-I41)/(569-57)),0)</f>
        <v>3.9741316224205896E-2</v>
      </c>
      <c r="AF41" s="28">
        <f>IF(D41&gt;0,((J41*((3*57)+D41))/(4*D41*57))*(1-(D41-J41)/(569-57)),0)</f>
        <v>2.7721525493421054E-2</v>
      </c>
      <c r="AG41" s="28">
        <f>IF(E41&gt;0,((K41*((3*57)+E41))/(4*E41*57))*(1-(E41-K41)/(569-57)),0)</f>
        <v>0</v>
      </c>
      <c r="AH41" s="28">
        <f>IF(F41&gt;0,((L41*((3*57)+F41))/(4*F41*57))*(1-(F41-L41)/(569-57)),0)</f>
        <v>0</v>
      </c>
      <c r="AI41" s="28">
        <f>IF(G41&gt;0,((M41*((3*57)+G41))/(4*G41*57))*(1-(G41-M41)/(569-57)),0)</f>
        <v>0</v>
      </c>
      <c r="AY41" t="s">
        <v>31</v>
      </c>
      <c r="AZ41" t="str">
        <f>IF(COUNTIF(W7:AA7,AZ28), B7, IF(COUNTIF(W8:AA8,AZ28), B8, IF(COUNTIF(W9:AA9,AZ28), B9, B10)))</f>
        <v>dU(class)</v>
      </c>
      <c r="BB41" t="str">
        <f t="shared" ref="BB41:BB43" si="26">ROUND(AZ28, 2) &amp; " (" &amp; ROUND(BA28, 2) &amp; ")"</f>
        <v>2.21 (0.11)</v>
      </c>
    </row>
    <row r="42" spans="1:71" x14ac:dyDescent="0.3">
      <c r="A42" s="33" t="s">
        <v>57</v>
      </c>
      <c r="B42" s="1" t="s">
        <v>30</v>
      </c>
      <c r="C42" s="1">
        <v>313</v>
      </c>
      <c r="D42" s="1">
        <v>64</v>
      </c>
      <c r="E42" s="1">
        <v>1</v>
      </c>
      <c r="F42" s="1">
        <v>0</v>
      </c>
      <c r="G42" s="1">
        <v>0</v>
      </c>
      <c r="H42" s="1"/>
      <c r="I42" s="1">
        <v>18</v>
      </c>
      <c r="J42" s="1">
        <v>1</v>
      </c>
      <c r="K42" s="1">
        <v>0</v>
      </c>
      <c r="L42" s="1">
        <v>0</v>
      </c>
      <c r="M42" s="1">
        <v>0</v>
      </c>
      <c r="N42" s="1"/>
      <c r="O42" s="29">
        <f t="shared" si="20"/>
        <v>5.7507987220447282E-2</v>
      </c>
      <c r="P42" s="29">
        <f t="shared" si="21"/>
        <v>1.5625E-2</v>
      </c>
      <c r="Q42" s="29">
        <f t="shared" si="22"/>
        <v>0</v>
      </c>
      <c r="R42" s="29">
        <f t="shared" si="23"/>
        <v>0</v>
      </c>
      <c r="S42" s="29">
        <f t="shared" si="24"/>
        <v>0</v>
      </c>
      <c r="T42" s="29"/>
      <c r="U42" s="29">
        <f>57/569</f>
        <v>0.10017574692442882</v>
      </c>
      <c r="V42" s="29"/>
      <c r="W42" s="30">
        <f t="shared" si="17"/>
        <v>0.57407096014797376</v>
      </c>
      <c r="X42" s="30">
        <f t="shared" si="18"/>
        <v>0.15597587719298245</v>
      </c>
      <c r="Y42" s="30">
        <f t="shared" si="19"/>
        <v>0</v>
      </c>
      <c r="Z42" s="30">
        <f t="shared" si="15"/>
        <v>0</v>
      </c>
      <c r="AA42" s="30">
        <f t="shared" si="16"/>
        <v>0</v>
      </c>
      <c r="AB42" s="30">
        <f t="shared" si="25"/>
        <v>0.57407096014797376</v>
      </c>
      <c r="AC42" s="40">
        <f t="shared" si="9"/>
        <v>313</v>
      </c>
      <c r="AD42" s="40" t="str">
        <f t="shared" si="10"/>
        <v>3</v>
      </c>
      <c r="AE42" s="30">
        <f>IF(C42&gt;0,((I42*((3*57)+C42))/(4*C42*57))*(1-(C42-I42)/(569-57)),0)</f>
        <v>5.1740241928703551E-2</v>
      </c>
      <c r="AF42" s="30">
        <f>IF(D42&gt;0,((J42*((3*57)+D42))/(4*D42*57))*(1-(D42-J42)/(569-57)),0)</f>
        <v>1.4123080069558662E-2</v>
      </c>
      <c r="AG42" s="30">
        <f>IF(E42&gt;0,((K42*((3*57)+E42))/(4*E42*57))*(1-(E42-K42)/(569-57)),0)</f>
        <v>0</v>
      </c>
      <c r="AH42" s="30">
        <f>IF(F42&gt;0,((L42*((3*57)+F42))/(4*F42*57))*(1-(F42-L42)/(569-57)),0)</f>
        <v>0</v>
      </c>
      <c r="AI42" s="30">
        <f>IF(G42&gt;0,((M42*((3*57)+G42))/(4*G42*57))*(1-(G42-M42)/(569-57)),0)</f>
        <v>0</v>
      </c>
      <c r="AY42" t="s">
        <v>32</v>
      </c>
      <c r="AZ42" t="str">
        <f>IF(COUNTIF(W11:AA11,AZ29), B11, IF(COUNTIF(W12:AA12,AZ29), B12, IF(COUNTIF(W13:AA13,AZ29), B13, B14)))</f>
        <v>dU(class)</v>
      </c>
      <c r="BB42" t="str">
        <f t="shared" si="26"/>
        <v>1.01 (0.09)</v>
      </c>
    </row>
    <row r="43" spans="1:71" x14ac:dyDescent="0.3">
      <c r="A43" s="31" t="s">
        <v>35</v>
      </c>
      <c r="B43" t="s">
        <v>27</v>
      </c>
      <c r="C43">
        <v>566</v>
      </c>
      <c r="D43">
        <v>500</v>
      </c>
      <c r="E43">
        <v>130</v>
      </c>
      <c r="F43">
        <v>4</v>
      </c>
      <c r="G43">
        <v>0</v>
      </c>
      <c r="I43">
        <v>39</v>
      </c>
      <c r="J43">
        <v>35</v>
      </c>
      <c r="K43">
        <v>10</v>
      </c>
      <c r="L43">
        <v>0</v>
      </c>
      <c r="M43">
        <v>0</v>
      </c>
      <c r="O43" s="2">
        <f t="shared" si="20"/>
        <v>6.8904593639575976E-2</v>
      </c>
      <c r="P43" s="2">
        <f t="shared" si="21"/>
        <v>7.0000000000000007E-2</v>
      </c>
      <c r="Q43" s="2">
        <f t="shared" si="22"/>
        <v>7.6923076923076927E-2</v>
      </c>
      <c r="R43" s="2">
        <f t="shared" si="23"/>
        <v>0</v>
      </c>
      <c r="S43" s="2">
        <f t="shared" si="24"/>
        <v>0</v>
      </c>
      <c r="T43" s="2"/>
      <c r="U43" s="2">
        <f>39/569</f>
        <v>6.8541300527240778E-2</v>
      </c>
      <c r="V43" s="2"/>
      <c r="W43" s="3">
        <f t="shared" si="17"/>
        <v>1.0053003533568905</v>
      </c>
      <c r="X43" s="3">
        <f t="shared" si="18"/>
        <v>1.0212820512820513</v>
      </c>
      <c r="Y43" s="3">
        <f t="shared" si="19"/>
        <v>1.1222879684418146</v>
      </c>
      <c r="Z43" s="3">
        <f t="shared" si="15"/>
        <v>0</v>
      </c>
      <c r="AA43" s="3">
        <f t="shared" si="16"/>
        <v>0</v>
      </c>
      <c r="AB43" s="3">
        <f t="shared" si="25"/>
        <v>1.1222879684418146</v>
      </c>
      <c r="AC43" s="41">
        <f t="shared" si="9"/>
        <v>130</v>
      </c>
      <c r="AD43" s="41" t="str">
        <f t="shared" si="10"/>
        <v>5</v>
      </c>
      <c r="AE43" s="3">
        <f>IF(C43&gt;0,((I43*((3*39)+C43))/(4*C43*39))*(1-(C43-I43)/(569-39)),0)</f>
        <v>1.7076138409227277E-3</v>
      </c>
      <c r="AF43" s="3">
        <f>IF(D43&gt;0,((J43*((3*39)+D43))/(4*D43*39))*(1-(D43-J43)/(569-39)),0)</f>
        <v>3.3954402515723264E-2</v>
      </c>
      <c r="AG43" s="3">
        <f>IF(E43&gt;0,((K43*((3*39)+E43))/(4*E43*39))*(1-(E43-K43)/(569-39)),0)</f>
        <v>9.4218674407353653E-2</v>
      </c>
      <c r="AH43" s="3">
        <f>IF(F43&gt;0,((L43*((3*39)+F43))/(4*F43*39))*(1-(F43-L43)/(569-39)),0)</f>
        <v>0</v>
      </c>
      <c r="AI43" s="3">
        <f>IF(G43&gt;0,((M43*((3*39)+G43))/(4*G43*39))*(1-(G43-M43)/(569-39)),0)</f>
        <v>0</v>
      </c>
      <c r="AY43" t="s">
        <v>33</v>
      </c>
      <c r="AZ43" t="str">
        <f>IF(COUNTIF(W15:AA15,AZ30), B15, IF(COUNTIF(W16:AA16,AZ30), B16, IF(COUNTIF(W17:AA17,AZ30), B17, B18)))</f>
        <v>dE</v>
      </c>
      <c r="BB43" t="str">
        <f t="shared" si="26"/>
        <v>6.36 (3)</v>
      </c>
    </row>
    <row r="44" spans="1:71" x14ac:dyDescent="0.3">
      <c r="A44" s="31" t="s">
        <v>35</v>
      </c>
      <c r="B44" t="s">
        <v>28</v>
      </c>
      <c r="C44">
        <v>560</v>
      </c>
      <c r="D44">
        <v>342</v>
      </c>
      <c r="E44">
        <v>5</v>
      </c>
      <c r="F44">
        <v>0</v>
      </c>
      <c r="G44">
        <v>0</v>
      </c>
      <c r="I44">
        <v>39</v>
      </c>
      <c r="J44">
        <v>23</v>
      </c>
      <c r="K44">
        <v>0</v>
      </c>
      <c r="L44">
        <v>0</v>
      </c>
      <c r="M44">
        <v>0</v>
      </c>
      <c r="O44" s="2">
        <f t="shared" si="20"/>
        <v>6.9642857142857145E-2</v>
      </c>
      <c r="P44" s="2">
        <f t="shared" si="21"/>
        <v>6.725146198830409E-2</v>
      </c>
      <c r="Q44" s="2">
        <f t="shared" si="22"/>
        <v>0</v>
      </c>
      <c r="R44" s="2">
        <f t="shared" si="23"/>
        <v>0</v>
      </c>
      <c r="S44" s="2">
        <f t="shared" si="24"/>
        <v>0</v>
      </c>
      <c r="T44" s="2"/>
      <c r="U44" s="2">
        <f>39/569</f>
        <v>6.8541300527240778E-2</v>
      </c>
      <c r="V44" s="2"/>
      <c r="W44" s="3">
        <f t="shared" si="17"/>
        <v>1.0160714285714285</v>
      </c>
      <c r="X44" s="3">
        <f t="shared" si="18"/>
        <v>0.98118158644474418</v>
      </c>
      <c r="Y44" s="3">
        <f t="shared" si="19"/>
        <v>0</v>
      </c>
      <c r="Z44" s="3">
        <f t="shared" si="15"/>
        <v>0</v>
      </c>
      <c r="AA44" s="3">
        <f t="shared" si="16"/>
        <v>0</v>
      </c>
      <c r="AB44" s="3">
        <f t="shared" si="25"/>
        <v>1.0160714285714285</v>
      </c>
      <c r="AC44" s="41">
        <f t="shared" si="9"/>
        <v>560</v>
      </c>
      <c r="AD44" s="41" t="str">
        <f t="shared" si="10"/>
        <v>3</v>
      </c>
      <c r="AE44" s="3">
        <f>IF(C44&gt;0,((I44*((3*39)+C44))/(4*C44*39))*(1-(C44-I44)/(569-39)),0)</f>
        <v>5.1322439353099717E-3</v>
      </c>
      <c r="AF44" s="3">
        <f>IF(D44&gt;0,((J44*((3*39)+D44))/(4*D44*39))*(1-(D44-J44)/(569-39)),0)</f>
        <v>7.8776449469100909E-2</v>
      </c>
      <c r="AG44" s="3">
        <f>IF(E44&gt;0,((K44*((3*39)+E44))/(4*E44*39))*(1-(E44-K44)/(569-39)),0)</f>
        <v>0</v>
      </c>
      <c r="AH44" s="3">
        <f>IF(F44&gt;0,((L44*((3*39)+F44))/(4*F44*39))*(1-(F44-L44)/(569-39)),0)</f>
        <v>0</v>
      </c>
      <c r="AI44" s="3">
        <f>IF(G44&gt;0,((M44*((3*39)+G44))/(4*G44*39))*(1-(G44-M44)/(569-39)),0)</f>
        <v>0</v>
      </c>
      <c r="AY44" t="s">
        <v>34</v>
      </c>
      <c r="AZ44" t="str">
        <f>IF(COUNTIF(W19:AA19,AZ31), B19, IF(COUNTIF(W20:AA20,AZ31), B20, IF(COUNTIF(W21:AA21,AZ31), B21, B22)))</f>
        <v>dE</v>
      </c>
      <c r="BB44" t="str">
        <f>ROUND(AZ31, 2) &amp; " (" &amp; ROUND(BA31, 2) &amp; ")"</f>
        <v>2.6 (3)</v>
      </c>
    </row>
    <row r="45" spans="1:71" x14ac:dyDescent="0.3">
      <c r="A45" s="31" t="s">
        <v>35</v>
      </c>
      <c r="B45" t="s">
        <v>29</v>
      </c>
      <c r="C45">
        <v>566</v>
      </c>
      <c r="D45">
        <v>508</v>
      </c>
      <c r="E45">
        <v>166</v>
      </c>
      <c r="F45">
        <v>6</v>
      </c>
      <c r="G45">
        <v>0</v>
      </c>
      <c r="I45">
        <v>39</v>
      </c>
      <c r="J45">
        <v>38</v>
      </c>
      <c r="K45">
        <v>13</v>
      </c>
      <c r="L45">
        <v>0</v>
      </c>
      <c r="M45">
        <v>0</v>
      </c>
      <c r="O45" s="2">
        <f t="shared" si="20"/>
        <v>6.8904593639575976E-2</v>
      </c>
      <c r="P45" s="2">
        <f t="shared" si="21"/>
        <v>7.4803149606299218E-2</v>
      </c>
      <c r="Q45" s="2">
        <f t="shared" si="22"/>
        <v>7.8313253012048195E-2</v>
      </c>
      <c r="R45" s="2">
        <f t="shared" si="23"/>
        <v>0</v>
      </c>
      <c r="S45" s="2">
        <f t="shared" si="24"/>
        <v>0</v>
      </c>
      <c r="T45" s="2"/>
      <c r="U45" s="2">
        <f>39/569</f>
        <v>6.8541300527240778E-2</v>
      </c>
      <c r="V45" s="2"/>
      <c r="W45" s="3">
        <f t="shared" si="17"/>
        <v>1.0053003533568905</v>
      </c>
      <c r="X45" s="3">
        <f t="shared" si="18"/>
        <v>1.0913587724611347</v>
      </c>
      <c r="Y45" s="3">
        <f t="shared" si="19"/>
        <v>1.142570281124498</v>
      </c>
      <c r="Z45" s="3">
        <f t="shared" si="15"/>
        <v>0</v>
      </c>
      <c r="AA45" s="3">
        <f t="shared" si="16"/>
        <v>0</v>
      </c>
      <c r="AB45" s="3">
        <f t="shared" si="25"/>
        <v>1.142570281124498</v>
      </c>
      <c r="AC45" s="41">
        <f t="shared" si="9"/>
        <v>166</v>
      </c>
      <c r="AD45" s="41" t="str">
        <f t="shared" si="10"/>
        <v>5</v>
      </c>
      <c r="AE45" s="3">
        <f>IF(C45&gt;0,((I45*((3*39)+C45))/(4*C45*39))*(1-(C45-I45)/(569-39)),0)</f>
        <v>1.7076138409227277E-3</v>
      </c>
      <c r="AF45" s="3">
        <f>IF(D45&gt;0,((J45*((3*39)+D45))/(4*D45*39))*(1-(D45-J45)/(569-39)),0)</f>
        <v>3.3927408203147311E-2</v>
      </c>
      <c r="AG45" s="3">
        <f>IF(E45&gt;0,((K45*((3*39)+E45))/(4*E45*39))*(1-(E45-K45)/(569-39)),0)</f>
        <v>0.10105611123740242</v>
      </c>
      <c r="AH45" s="3">
        <f>IF(F45&gt;0,((L45*((3*39)+F45))/(4*F45*39))*(1-(F45-L45)/(569-39)),0)</f>
        <v>0</v>
      </c>
      <c r="AI45" s="3">
        <f>IF(G45&gt;0,((M45*((3*39)+G45))/(4*G45*39))*(1-(G45-M45)/(569-39)),0)</f>
        <v>0</v>
      </c>
      <c r="AY45" t="s">
        <v>35</v>
      </c>
      <c r="AZ45" t="str">
        <f>IF(COUNTIF(W23:AA23,AZ32), B23, IF(COUNTIF(W24:AA24,AZ32), B24, IF(COUNTIF(W25:AA25,AZ32), B25, B26)))</f>
        <v>dE(class)</v>
      </c>
      <c r="BB45" t="str">
        <f t="shared" ref="BB45:BB47" si="27">ROUND(AZ32, 2) &amp; " (" &amp; ROUND(BA32, 2) &amp; ")"</f>
        <v>2.53 (0.15)</v>
      </c>
    </row>
    <row r="46" spans="1:71" x14ac:dyDescent="0.3">
      <c r="A46" s="31" t="s">
        <v>35</v>
      </c>
      <c r="B46" s="1" t="s">
        <v>30</v>
      </c>
      <c r="C46" s="1">
        <v>563</v>
      </c>
      <c r="D46" s="1">
        <v>403</v>
      </c>
      <c r="E46" s="1">
        <v>10</v>
      </c>
      <c r="F46" s="1">
        <v>0</v>
      </c>
      <c r="G46" s="1">
        <v>0</v>
      </c>
      <c r="H46" s="1"/>
      <c r="I46" s="1">
        <v>39</v>
      </c>
      <c r="J46" s="1">
        <v>33</v>
      </c>
      <c r="K46" s="1">
        <v>2</v>
      </c>
      <c r="L46" s="1">
        <v>0</v>
      </c>
      <c r="M46" s="1">
        <v>0</v>
      </c>
      <c r="N46" s="1"/>
      <c r="O46" s="9">
        <f t="shared" si="20"/>
        <v>6.9271758436944941E-2</v>
      </c>
      <c r="P46" s="9">
        <f t="shared" si="21"/>
        <v>8.1885856079404462E-2</v>
      </c>
      <c r="Q46" s="9">
        <f t="shared" si="22"/>
        <v>0.2</v>
      </c>
      <c r="R46" s="9">
        <f t="shared" si="23"/>
        <v>0</v>
      </c>
      <c r="S46" s="9">
        <f t="shared" si="24"/>
        <v>0</v>
      </c>
      <c r="T46" s="9"/>
      <c r="U46" s="9">
        <f>39/569</f>
        <v>6.8541300527240778E-2</v>
      </c>
      <c r="V46" s="9"/>
      <c r="W46" s="10">
        <f t="shared" si="17"/>
        <v>1.0106571936056838</v>
      </c>
      <c r="X46" s="10">
        <f t="shared" si="18"/>
        <v>1.1946936438251574</v>
      </c>
      <c r="Y46" s="10">
        <f t="shared" si="19"/>
        <v>2.9179487179487178</v>
      </c>
      <c r="Z46" s="10">
        <f t="shared" si="15"/>
        <v>0</v>
      </c>
      <c r="AA46" s="10">
        <f t="shared" si="16"/>
        <v>0</v>
      </c>
      <c r="AB46" s="10">
        <f t="shared" si="25"/>
        <v>2.9179487179487178</v>
      </c>
      <c r="AC46" s="42">
        <f t="shared" si="9"/>
        <v>10</v>
      </c>
      <c r="AD46" s="42" t="str">
        <f t="shared" si="10"/>
        <v>5</v>
      </c>
      <c r="AE46" s="10">
        <f>IF(C46&gt;0,((I46*((3*39)+C46))/(4*C46*39))*(1-(C46-I46)/(569-39)),0)</f>
        <v>3.4183451188042487E-3</v>
      </c>
      <c r="AF46" s="10">
        <f>IF(D46&gt;0,((J46*((3*39)+D46))/(4*D46*39))*(1-(D46-J46)/(569-39)),0)</f>
        <v>8.2400861463551689E-2</v>
      </c>
      <c r="AG46" s="10">
        <f>IF(E46&gt;0,((K46*((3*39)+E46))/(4*E46*39))*(1-(E46-K46)/(569-39)),0)</f>
        <v>0.16036284470246734</v>
      </c>
      <c r="AH46" s="10">
        <f>IF(F46&gt;0,((L46*((3*39)+F46))/(4*F46*39))*(1-(F46-L46)/(569-39)),0)</f>
        <v>0</v>
      </c>
      <c r="AI46" s="10">
        <f>IF(G46&gt;0,((M46*((3*39)+G46))/(4*G46*39))*(1-(G46-M46)/(569-39)),0)</f>
        <v>0</v>
      </c>
      <c r="AY46" t="s">
        <v>37</v>
      </c>
      <c r="AZ46" t="str">
        <f>IF(COUNTIF(W27:AA27,AZ33), B27, IF(COUNTIF(W28:AA28,AZ33), B28, IF(COUNTIF(W29:AA29,AZ33), B29, B30)))</f>
        <v>dE</v>
      </c>
      <c r="BB46" t="str">
        <f t="shared" si="27"/>
        <v>5.58 (0.03)</v>
      </c>
    </row>
    <row r="47" spans="1:71" x14ac:dyDescent="0.3">
      <c r="A47" s="31" t="s">
        <v>37</v>
      </c>
      <c r="B47" t="s">
        <v>27</v>
      </c>
      <c r="C47">
        <v>555</v>
      </c>
      <c r="D47">
        <v>106</v>
      </c>
      <c r="E47">
        <v>15</v>
      </c>
      <c r="F47">
        <v>1</v>
      </c>
      <c r="G47">
        <v>0</v>
      </c>
      <c r="I47">
        <v>54</v>
      </c>
      <c r="J47">
        <v>15</v>
      </c>
      <c r="K47">
        <v>1</v>
      </c>
      <c r="L47">
        <v>0</v>
      </c>
      <c r="M47">
        <v>0</v>
      </c>
      <c r="O47" s="2">
        <f t="shared" si="20"/>
        <v>9.7297297297297303E-2</v>
      </c>
      <c r="P47" s="2">
        <f t="shared" si="21"/>
        <v>0.14150943396226415</v>
      </c>
      <c r="Q47" s="2">
        <f t="shared" si="22"/>
        <v>6.6666666666666666E-2</v>
      </c>
      <c r="R47" s="2">
        <f t="shared" si="23"/>
        <v>0</v>
      </c>
      <c r="S47" s="2">
        <f t="shared" si="24"/>
        <v>0</v>
      </c>
      <c r="T47" s="2"/>
      <c r="U47" s="2">
        <f>56/569</f>
        <v>9.8418277680140595E-2</v>
      </c>
      <c r="V47" s="2"/>
      <c r="W47" s="3">
        <f t="shared" si="17"/>
        <v>0.98861003861003871</v>
      </c>
      <c r="X47" s="3">
        <f t="shared" si="18"/>
        <v>1.4378369272237197</v>
      </c>
      <c r="Y47" s="3">
        <f t="shared" si="19"/>
        <v>0.67738095238095242</v>
      </c>
      <c r="Z47" s="3">
        <f t="shared" si="15"/>
        <v>0</v>
      </c>
      <c r="AA47" s="3">
        <f t="shared" si="16"/>
        <v>0</v>
      </c>
      <c r="AB47" s="3">
        <f t="shared" si="25"/>
        <v>1.4378369272237197</v>
      </c>
      <c r="AC47" s="41">
        <f t="shared" si="9"/>
        <v>106</v>
      </c>
      <c r="AD47" s="41" t="str">
        <f t="shared" si="10"/>
        <v>4</v>
      </c>
      <c r="AE47" s="3">
        <f>IF(C47&gt;0,((I47*((3*56)+C47))/(4*C47*56))*(1-(C47-I47)/(569-56)),0)</f>
        <v>7.3460678723836614E-3</v>
      </c>
      <c r="AF47" s="3">
        <f>IF(D47&gt;0,((J47*((3*56)+D47))/(4*D47*56))*(1-(D47-J47)/(569-56)),0)</f>
        <v>0.14239115871439606</v>
      </c>
      <c r="AG47" s="3">
        <f>IF(E47&gt;0,((K47*((3*56)+E47))/(4*E47*56))*(1-(E47-K47)/(569-56)),0)</f>
        <v>5.2977930938457256E-2</v>
      </c>
      <c r="AH47" s="3">
        <f>IF(F47&gt;0,((L47*((3*56)+F47))/(4*F47*56))*(1-(F47-L47)/(569-56)),0)</f>
        <v>0</v>
      </c>
      <c r="AI47" s="3">
        <f>IF(G47&gt;0,((M47*((3*56)+G47))/(4*G47*56))*(1-(G47-M47)/(569-56)),0)</f>
        <v>0</v>
      </c>
      <c r="AY47" t="s">
        <v>38</v>
      </c>
      <c r="AZ47" t="str">
        <f>IF(COUNTIF(W31:AA31,AZ34), B31, IF(COUNTIF(W32:AA32,AZ34), B32, IF(COUNTIF(W33:AA33,AZ34), B33, B34)))</f>
        <v>dE</v>
      </c>
      <c r="BB47" t="str">
        <f t="shared" si="27"/>
        <v>1.83 (0.1)</v>
      </c>
    </row>
    <row r="48" spans="1:71" x14ac:dyDescent="0.3">
      <c r="A48" s="31" t="s">
        <v>37</v>
      </c>
      <c r="B48" t="s">
        <v>28</v>
      </c>
      <c r="C48">
        <v>16</v>
      </c>
      <c r="D48">
        <v>1</v>
      </c>
      <c r="E48">
        <v>0</v>
      </c>
      <c r="F48">
        <v>0</v>
      </c>
      <c r="G48">
        <v>0</v>
      </c>
      <c r="I48">
        <v>1</v>
      </c>
      <c r="J48">
        <v>0</v>
      </c>
      <c r="K48">
        <v>0</v>
      </c>
      <c r="L48">
        <v>0</v>
      </c>
      <c r="M48">
        <v>0</v>
      </c>
      <c r="O48" s="2">
        <f t="shared" si="20"/>
        <v>6.25E-2</v>
      </c>
      <c r="P48" s="2">
        <f t="shared" si="21"/>
        <v>0</v>
      </c>
      <c r="Q48" s="2">
        <f t="shared" si="22"/>
        <v>0</v>
      </c>
      <c r="R48" s="2">
        <f t="shared" si="23"/>
        <v>0</v>
      </c>
      <c r="S48" s="2">
        <f t="shared" si="24"/>
        <v>0</v>
      </c>
      <c r="T48" s="2"/>
      <c r="U48" s="2">
        <f>56/569</f>
        <v>9.8418277680140595E-2</v>
      </c>
      <c r="V48" s="2"/>
      <c r="W48" s="3">
        <f t="shared" si="17"/>
        <v>0.6350446428571429</v>
      </c>
      <c r="X48" s="3">
        <f t="shared" si="18"/>
        <v>0</v>
      </c>
      <c r="Y48" s="3">
        <f t="shared" si="19"/>
        <v>0</v>
      </c>
      <c r="Z48" s="3">
        <f t="shared" si="15"/>
        <v>0</v>
      </c>
      <c r="AA48" s="3">
        <f t="shared" si="16"/>
        <v>0</v>
      </c>
      <c r="AB48" s="3">
        <f t="shared" si="25"/>
        <v>0.6350446428571429</v>
      </c>
      <c r="AC48" s="41">
        <f t="shared" si="9"/>
        <v>16</v>
      </c>
      <c r="AD48" s="41" t="str">
        <f t="shared" si="10"/>
        <v>3</v>
      </c>
      <c r="AE48" s="3">
        <f>IF(C48&gt;0,((I48*((3*56)+C48))/(4*C48*56))*(1-(C48-I48)/(569-56)),0)</f>
        <v>4.983813700918964E-2</v>
      </c>
      <c r="AF48" s="3">
        <f>IF(D48&gt;0,((J48*((3*56)+D48))/(4*D48*56))*(1-(D48-J48)/(569-56)),0)</f>
        <v>0</v>
      </c>
      <c r="AG48" s="3">
        <f>IF(E48&gt;0,((K48*((3*56)+E48))/(4*E48*56))*(1-(E48-K48)/(569-56)),0)</f>
        <v>0</v>
      </c>
      <c r="AH48" s="3">
        <f>IF(F48&gt;0,((L48*((3*56)+F48))/(4*F48*56))*(1-(F48-L48)/(569-56)),0)</f>
        <v>0</v>
      </c>
      <c r="AI48" s="3">
        <f>IF(G48&gt;0,((M48*((3*56)+G48))/(4*G48*56))*(1-(G48-M48)/(569-56)),0)</f>
        <v>0</v>
      </c>
    </row>
    <row r="49" spans="1:53" x14ac:dyDescent="0.3">
      <c r="A49" s="31" t="s">
        <v>37</v>
      </c>
      <c r="B49" t="s">
        <v>29</v>
      </c>
      <c r="C49">
        <v>545</v>
      </c>
      <c r="D49">
        <v>391</v>
      </c>
      <c r="E49">
        <v>85</v>
      </c>
      <c r="F49">
        <v>7</v>
      </c>
      <c r="G49">
        <v>0</v>
      </c>
      <c r="I49">
        <v>56</v>
      </c>
      <c r="J49">
        <v>37</v>
      </c>
      <c r="K49">
        <v>4</v>
      </c>
      <c r="L49">
        <v>0</v>
      </c>
      <c r="M49">
        <v>0</v>
      </c>
      <c r="O49" s="2">
        <f t="shared" si="20"/>
        <v>0.10275229357798166</v>
      </c>
      <c r="P49" s="2">
        <f t="shared" si="21"/>
        <v>9.4629156010230184E-2</v>
      </c>
      <c r="Q49" s="2">
        <f t="shared" si="22"/>
        <v>4.7058823529411764E-2</v>
      </c>
      <c r="R49" s="2">
        <f t="shared" si="23"/>
        <v>0</v>
      </c>
      <c r="S49" s="2">
        <f t="shared" si="24"/>
        <v>0</v>
      </c>
      <c r="T49" s="2"/>
      <c r="U49" s="2">
        <f>56/569</f>
        <v>9.8418277680140595E-2</v>
      </c>
      <c r="V49" s="2"/>
      <c r="W49" s="3">
        <f t="shared" si="17"/>
        <v>1.0440366972477064</v>
      </c>
      <c r="X49" s="3">
        <f t="shared" si="18"/>
        <v>0.96149981731823175</v>
      </c>
      <c r="Y49" s="3">
        <f t="shared" si="19"/>
        <v>0.4781512605042017</v>
      </c>
      <c r="Z49" s="3">
        <f t="shared" si="15"/>
        <v>0</v>
      </c>
      <c r="AA49" s="3">
        <f t="shared" si="16"/>
        <v>0</v>
      </c>
      <c r="AB49" s="26">
        <f t="shared" si="25"/>
        <v>1.0440366972477064</v>
      </c>
      <c r="AC49" s="43">
        <f t="shared" si="9"/>
        <v>545</v>
      </c>
      <c r="AD49" s="43" t="str">
        <f t="shared" si="10"/>
        <v>3</v>
      </c>
      <c r="AE49" s="3">
        <f>IF(C49&gt;0,((I49*((3*56)+C49))/(4*C49*56))*(1-(C49-I49)/(569-56)),0)</f>
        <v>1.5301250067063683E-2</v>
      </c>
      <c r="AF49" s="3">
        <f>IF(D49&gt;0,((J49*((3*56)+D49))/(4*D49*56))*(1-(D49-J49)/(569-56)),0)</f>
        <v>7.3192825948075649E-2</v>
      </c>
      <c r="AG49" s="3">
        <f>IF(E49&gt;0,((K49*((3*56)+E49))/(4*E49*56))*(1-(E49-K49)/(569-56)),0)</f>
        <v>4.4758956214064567E-2</v>
      </c>
      <c r="AH49" s="3">
        <f>IF(F49&gt;0,((L49*((3*56)+F49))/(4*F49*56))*(1-(F49-L49)/(569-56)),0)</f>
        <v>0</v>
      </c>
      <c r="AI49" s="3">
        <f>IF(G49&gt;0,((M49*((3*56)+G49))/(4*G49*56))*(1-(G49-M49)/(569-56)),0)</f>
        <v>0</v>
      </c>
      <c r="AY49" t="s">
        <v>46</v>
      </c>
      <c r="AZ49" t="s">
        <v>47</v>
      </c>
    </row>
    <row r="50" spans="1:53" x14ac:dyDescent="0.3">
      <c r="A50" s="31" t="s">
        <v>37</v>
      </c>
      <c r="B50" s="1" t="s">
        <v>30</v>
      </c>
      <c r="C50" s="1">
        <v>19</v>
      </c>
      <c r="D50" s="1">
        <v>2</v>
      </c>
      <c r="E50" s="1">
        <v>0</v>
      </c>
      <c r="F50" s="1">
        <v>0</v>
      </c>
      <c r="G50" s="1">
        <v>0</v>
      </c>
      <c r="H50" s="1"/>
      <c r="I50" s="1">
        <v>1</v>
      </c>
      <c r="J50" s="1">
        <v>1</v>
      </c>
      <c r="K50" s="1">
        <v>0</v>
      </c>
      <c r="L50" s="1">
        <v>0</v>
      </c>
      <c r="M50" s="1">
        <v>0</v>
      </c>
      <c r="N50" s="1"/>
      <c r="O50" s="9">
        <f t="shared" si="20"/>
        <v>5.2631578947368418E-2</v>
      </c>
      <c r="P50" s="9">
        <f t="shared" si="21"/>
        <v>0.5</v>
      </c>
      <c r="Q50" s="9">
        <f t="shared" si="22"/>
        <v>0</v>
      </c>
      <c r="R50" s="9">
        <f t="shared" si="23"/>
        <v>0</v>
      </c>
      <c r="S50" s="9">
        <f t="shared" si="24"/>
        <v>0</v>
      </c>
      <c r="T50" s="9"/>
      <c r="U50" s="9">
        <f>56/569</f>
        <v>9.8418277680140595E-2</v>
      </c>
      <c r="V50" s="9"/>
      <c r="W50" s="10">
        <f t="shared" si="17"/>
        <v>0.53477443609022557</v>
      </c>
      <c r="X50" s="10">
        <f t="shared" si="18"/>
        <v>5.0803571428571432</v>
      </c>
      <c r="Y50" s="10">
        <f t="shared" si="19"/>
        <v>0</v>
      </c>
      <c r="Z50" s="10">
        <f t="shared" si="15"/>
        <v>0</v>
      </c>
      <c r="AA50" s="10">
        <f t="shared" si="16"/>
        <v>0</v>
      </c>
      <c r="AB50" s="10">
        <f t="shared" si="25"/>
        <v>5.0803571428571432</v>
      </c>
      <c r="AC50" s="42">
        <f t="shared" si="9"/>
        <v>2</v>
      </c>
      <c r="AD50" s="42" t="str">
        <f t="shared" si="10"/>
        <v>4</v>
      </c>
      <c r="AE50" s="10">
        <f>IF(C50&gt;0,((I50*((3*56)+C50))/(4*C50*56))*(1-(C50-I50)/(569-56)),0)</f>
        <v>4.2396286769555473E-2</v>
      </c>
      <c r="AF50" s="10">
        <f>IF(D50&gt;0,((J50*((3*56)+D50))/(4*D50*56))*(1-(D50-J50)/(569-56)),0)</f>
        <v>0.37872458925090502</v>
      </c>
      <c r="AG50" s="10">
        <f>IF(E50&gt;0,((K50*((3*56)+E50))/(4*E50*56))*(1-(E50-K50)/(569-56)),0)</f>
        <v>0</v>
      </c>
      <c r="AH50" s="10">
        <f>IF(F50&gt;0,((L50*((3*56)+F50))/(4*F50*56))*(1-(F50-L50)/(569-56)),0)</f>
        <v>0</v>
      </c>
      <c r="AI50" s="10">
        <f>IF(G50&gt;0,((M50*((3*56)+G50))/(4*G50*56))*(1-(G50-M50)/(569-56)),0)</f>
        <v>0</v>
      </c>
      <c r="AY50" t="s">
        <v>27</v>
      </c>
      <c r="AZ50">
        <f>COUNTIF(AZ$40:AZ$47, AY50)</f>
        <v>1</v>
      </c>
    </row>
    <row r="51" spans="1:53" x14ac:dyDescent="0.3">
      <c r="A51" s="31" t="s">
        <v>38</v>
      </c>
      <c r="B51" t="s">
        <v>27</v>
      </c>
      <c r="C51">
        <v>529</v>
      </c>
      <c r="D51">
        <v>156</v>
      </c>
      <c r="E51">
        <v>3</v>
      </c>
      <c r="F51">
        <v>0</v>
      </c>
      <c r="G51">
        <v>0</v>
      </c>
      <c r="I51">
        <v>52</v>
      </c>
      <c r="J51">
        <v>11</v>
      </c>
      <c r="K51">
        <v>0</v>
      </c>
      <c r="L51">
        <v>0</v>
      </c>
      <c r="M51">
        <v>0</v>
      </c>
      <c r="O51" s="2">
        <f t="shared" si="20"/>
        <v>9.8298676748582225E-2</v>
      </c>
      <c r="P51" s="2">
        <f t="shared" si="21"/>
        <v>7.0512820512820512E-2</v>
      </c>
      <c r="Q51" s="2">
        <f t="shared" si="22"/>
        <v>0</v>
      </c>
      <c r="R51" s="2">
        <f t="shared" si="23"/>
        <v>0</v>
      </c>
      <c r="S51" s="2">
        <f t="shared" si="24"/>
        <v>0</v>
      </c>
      <c r="T51" s="2"/>
      <c r="U51" s="2">
        <f>53/569</f>
        <v>9.3145869947275917E-2</v>
      </c>
      <c r="V51" s="2"/>
      <c r="W51" s="3">
        <f t="shared" si="17"/>
        <v>1.0553197560366658</v>
      </c>
      <c r="X51" s="3">
        <f t="shared" si="18"/>
        <v>0.75701499758103541</v>
      </c>
      <c r="Y51" s="3">
        <f t="shared" si="19"/>
        <v>0</v>
      </c>
      <c r="Z51" s="3">
        <f t="shared" si="15"/>
        <v>0</v>
      </c>
      <c r="AA51" s="3">
        <f t="shared" si="16"/>
        <v>0</v>
      </c>
      <c r="AB51" s="3">
        <f t="shared" si="25"/>
        <v>1.0553197560366658</v>
      </c>
      <c r="AC51" s="41">
        <f t="shared" si="9"/>
        <v>529</v>
      </c>
      <c r="AD51" s="41" t="str">
        <f t="shared" si="10"/>
        <v>3</v>
      </c>
      <c r="AE51" s="3">
        <f>IF(C51&gt;0,((I51*((3*53)+C51))/(4*C51*53))*(1-(C51-I51)/(569-53)),0)</f>
        <v>2.4110996183614515E-2</v>
      </c>
      <c r="AF51" s="3">
        <f>IF(D51&gt;0,((J51*((3*53)+D51))/(4*D51*53))*(1-(D51-J51)/(569-53)),0)</f>
        <v>7.5329830053667252E-2</v>
      </c>
      <c r="AG51" s="3">
        <f>IF(E51&gt;0,((K51*((3*53)+E51))/(4*E51*53))*(1-(E51-K51)/(569-53)),0)</f>
        <v>0</v>
      </c>
      <c r="AH51" s="3">
        <f>IF(F51&gt;0,((L51*((3*53)+F51))/(4*F51*53))*(1-(F51-L51)/(569-53)),0)</f>
        <v>0</v>
      </c>
      <c r="AI51" s="3">
        <f>IF(G51&gt;0,((M51*((3*53)+G51))/(4*G51*53))*(1-(G51-M51)/(569-53)),0)</f>
        <v>0</v>
      </c>
      <c r="AY51" t="s">
        <v>28</v>
      </c>
      <c r="AZ51">
        <f t="shared" ref="AZ51:AZ53" si="28">COUNTIF(AZ$40:AZ$47, AY51)</f>
        <v>4</v>
      </c>
    </row>
    <row r="52" spans="1:53" x14ac:dyDescent="0.3">
      <c r="A52" s="31" t="s">
        <v>38</v>
      </c>
      <c r="B52" t="s">
        <v>28</v>
      </c>
      <c r="C52">
        <v>14</v>
      </c>
      <c r="D52">
        <v>1</v>
      </c>
      <c r="E52">
        <v>0</v>
      </c>
      <c r="F52">
        <v>0</v>
      </c>
      <c r="G52">
        <v>0</v>
      </c>
      <c r="I52">
        <v>0</v>
      </c>
      <c r="J52">
        <v>0</v>
      </c>
      <c r="K52">
        <v>0</v>
      </c>
      <c r="L52">
        <v>0</v>
      </c>
      <c r="M52">
        <v>0</v>
      </c>
      <c r="O52" s="2">
        <f t="shared" si="20"/>
        <v>0</v>
      </c>
      <c r="P52" s="2">
        <f t="shared" si="21"/>
        <v>0</v>
      </c>
      <c r="Q52" s="2">
        <f t="shared" si="22"/>
        <v>0</v>
      </c>
      <c r="R52" s="2">
        <f t="shared" si="23"/>
        <v>0</v>
      </c>
      <c r="S52" s="2">
        <f t="shared" si="24"/>
        <v>0</v>
      </c>
      <c r="T52" s="2"/>
      <c r="U52" s="2">
        <f>53/569</f>
        <v>9.3145869947275917E-2</v>
      </c>
      <c r="V52" s="2"/>
      <c r="W52" s="3">
        <f t="shared" si="17"/>
        <v>0</v>
      </c>
      <c r="X52" s="3">
        <f t="shared" si="18"/>
        <v>0</v>
      </c>
      <c r="Y52" s="3">
        <f t="shared" si="19"/>
        <v>0</v>
      </c>
      <c r="Z52" s="3">
        <f t="shared" si="15"/>
        <v>0</v>
      </c>
      <c r="AA52" s="3">
        <f t="shared" si="16"/>
        <v>0</v>
      </c>
      <c r="AB52" s="3">
        <f t="shared" si="25"/>
        <v>0</v>
      </c>
      <c r="AC52" s="41">
        <f t="shared" si="9"/>
        <v>14</v>
      </c>
      <c r="AD52" s="41" t="str">
        <f t="shared" si="10"/>
        <v>3</v>
      </c>
      <c r="AE52" s="3">
        <f>IF(C52&gt;0,((I52*((3*53)+C52))/(4*C52*53))*(1-(C52-I52)/(569-53)),0)</f>
        <v>0</v>
      </c>
      <c r="AF52" s="3">
        <f>IF(D52&gt;0,((J52*((3*53)+D52))/(4*D52*53))*(1-(D52-J52)/(569-53)),0)</f>
        <v>0</v>
      </c>
      <c r="AG52" s="3">
        <f>IF(E52&gt;0,((K52*((3*53)+E52))/(4*E52*53))*(1-(E52-K52)/(569-53)),0)</f>
        <v>0</v>
      </c>
      <c r="AH52" s="3">
        <f>IF(F52&gt;0,((L52*((3*53)+F52))/(4*F52*53))*(1-(F52-L52)/(569-53)),0)</f>
        <v>0</v>
      </c>
      <c r="AI52" s="3">
        <f>IF(G52&gt;0,((M52*((3*53)+G52))/(4*G52*53))*(1-(G52-M52)/(569-53)),0)</f>
        <v>0</v>
      </c>
      <c r="AY52" t="s">
        <v>29</v>
      </c>
      <c r="AZ52">
        <f t="shared" si="28"/>
        <v>2</v>
      </c>
    </row>
    <row r="53" spans="1:53" x14ac:dyDescent="0.3">
      <c r="A53" s="31" t="s">
        <v>38</v>
      </c>
      <c r="B53" t="s">
        <v>29</v>
      </c>
      <c r="C53">
        <v>551</v>
      </c>
      <c r="D53">
        <v>352</v>
      </c>
      <c r="E53">
        <v>32</v>
      </c>
      <c r="F53">
        <v>0</v>
      </c>
      <c r="G53">
        <v>0</v>
      </c>
      <c r="I53">
        <v>53</v>
      </c>
      <c r="J53">
        <v>32</v>
      </c>
      <c r="K53">
        <v>3</v>
      </c>
      <c r="L53">
        <v>0</v>
      </c>
      <c r="M53">
        <v>0</v>
      </c>
      <c r="O53" s="2">
        <f t="shared" si="20"/>
        <v>9.6188747731397461E-2</v>
      </c>
      <c r="P53" s="2">
        <f t="shared" si="21"/>
        <v>9.0909090909090912E-2</v>
      </c>
      <c r="Q53" s="2">
        <f t="shared" si="22"/>
        <v>9.375E-2</v>
      </c>
      <c r="R53" s="2">
        <f t="shared" si="23"/>
        <v>0</v>
      </c>
      <c r="S53" s="2">
        <f t="shared" si="24"/>
        <v>0</v>
      </c>
      <c r="T53" s="2"/>
      <c r="U53" s="2">
        <f>53/569</f>
        <v>9.3145869947275917E-2</v>
      </c>
      <c r="V53" s="2"/>
      <c r="W53" s="3">
        <f t="shared" si="17"/>
        <v>1.0326678765880219</v>
      </c>
      <c r="X53" s="3">
        <f t="shared" si="18"/>
        <v>0.97598627787307046</v>
      </c>
      <c r="Y53" s="3">
        <f t="shared" si="19"/>
        <v>1.0064858490566038</v>
      </c>
      <c r="Z53" s="3">
        <f t="shared" si="15"/>
        <v>0</v>
      </c>
      <c r="AA53" s="3">
        <f t="shared" si="16"/>
        <v>0</v>
      </c>
      <c r="AB53" s="3">
        <f t="shared" si="25"/>
        <v>1.0326678765880219</v>
      </c>
      <c r="AC53" s="41">
        <f t="shared" si="9"/>
        <v>551</v>
      </c>
      <c r="AD53" s="41" t="str">
        <f t="shared" si="10"/>
        <v>3</v>
      </c>
      <c r="AE53" s="3">
        <f>IF(C53&gt;0,((I53*((3*53)+C53))/(4*C53*53))*(1-(C53-I53)/(569-53)),0)</f>
        <v>1.1237496306926081E-2</v>
      </c>
      <c r="AF53" s="3">
        <f>IF(D53&gt;0,((J53*((3*53)+D53))/(4*D53*53))*(1-(D53-J53)/(569-53)),0)</f>
        <v>8.3233608573670001E-2</v>
      </c>
      <c r="AG53" s="3">
        <f>IF(E53&gt;0,((K53*((3*53)+E53))/(4*E53*53))*(1-(E53-K53)/(569-53)),0)</f>
        <v>7.9716466926283452E-2</v>
      </c>
      <c r="AH53" s="3">
        <f>IF(F53&gt;0,((L53*((3*53)+F53))/(4*F53*53))*(1-(F53-L53)/(569-53)),0)</f>
        <v>0</v>
      </c>
      <c r="AI53" s="3">
        <f>IF(G53&gt;0,((M53*((3*53)+G53))/(4*G53*53))*(1-(G53-M53)/(569-53)),0)</f>
        <v>0</v>
      </c>
      <c r="AY53" t="s">
        <v>30</v>
      </c>
      <c r="AZ53">
        <f t="shared" si="28"/>
        <v>1</v>
      </c>
    </row>
    <row r="54" spans="1:53" x14ac:dyDescent="0.3">
      <c r="A54" s="32" t="s">
        <v>38</v>
      </c>
      <c r="B54" s="1" t="s">
        <v>30</v>
      </c>
      <c r="C54" s="1">
        <v>14</v>
      </c>
      <c r="D54" s="1">
        <v>0</v>
      </c>
      <c r="E54" s="1">
        <v>0</v>
      </c>
      <c r="F54" s="1">
        <v>0</v>
      </c>
      <c r="G54" s="1">
        <v>0</v>
      </c>
      <c r="H54" s="1"/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/>
      <c r="O54" s="9">
        <f t="shared" si="20"/>
        <v>0</v>
      </c>
      <c r="P54" s="9">
        <f t="shared" si="21"/>
        <v>0</v>
      </c>
      <c r="Q54" s="9">
        <f t="shared" si="22"/>
        <v>0</v>
      </c>
      <c r="R54" s="9">
        <f t="shared" si="23"/>
        <v>0</v>
      </c>
      <c r="S54" s="9">
        <f t="shared" si="24"/>
        <v>0</v>
      </c>
      <c r="T54" s="9"/>
      <c r="U54" s="9">
        <f>53/569</f>
        <v>9.3145869947275917E-2</v>
      </c>
      <c r="V54" s="9"/>
      <c r="W54" s="10">
        <f t="shared" si="17"/>
        <v>0</v>
      </c>
      <c r="X54" s="10">
        <f t="shared" si="18"/>
        <v>0</v>
      </c>
      <c r="Y54" s="10">
        <f t="shared" si="19"/>
        <v>0</v>
      </c>
      <c r="Z54" s="10">
        <f t="shared" si="15"/>
        <v>0</v>
      </c>
      <c r="AA54" s="10">
        <f t="shared" si="16"/>
        <v>0</v>
      </c>
      <c r="AB54" s="10">
        <f t="shared" si="25"/>
        <v>0</v>
      </c>
      <c r="AC54" s="42">
        <f t="shared" si="9"/>
        <v>14</v>
      </c>
      <c r="AD54" s="42" t="str">
        <f t="shared" si="10"/>
        <v>3</v>
      </c>
      <c r="AE54" s="10">
        <f>IF(C54&gt;0,((I54*((3*53)+C54))/(4*C54*53))*(1-(C54-I54)/(569-53)),0)</f>
        <v>0</v>
      </c>
      <c r="AF54" s="10">
        <f>IF(D54&gt;0,((J54*((3*53)+D54))/(4*D54*53))*(1-(D54-J54)/(569-53)),0)</f>
        <v>0</v>
      </c>
      <c r="AG54" s="10">
        <f>IF(E54&gt;0,((K54*((3*53)+E54))/(4*E54*53))*(1-(E54-K54)/(569-53)),0)</f>
        <v>0</v>
      </c>
      <c r="AH54" s="10">
        <f>IF(F54&gt;0,((L54*((3*53)+F54))/(4*F54*53))*(1-(F54-L54)/(569-53)),0)</f>
        <v>0</v>
      </c>
      <c r="AI54" s="10">
        <f>IF(G54&gt;0,((M54*((3*53)+G54))/(4*G54*53))*(1-(G54-M54)/(569-53)),0)</f>
        <v>0</v>
      </c>
    </row>
    <row r="55" spans="1:53" x14ac:dyDescent="0.3">
      <c r="AY55" t="s">
        <v>46</v>
      </c>
      <c r="AZ55" t="s">
        <v>49</v>
      </c>
      <c r="BA55" t="s">
        <v>50</v>
      </c>
    </row>
    <row r="56" spans="1:53" x14ac:dyDescent="0.3">
      <c r="AY56" t="s">
        <v>27</v>
      </c>
      <c r="AZ56">
        <f>SUM(COUNTIF(AB3, "&gt;1.5"), COUNTIF(AB7, "&gt;1.5"), COUNTIF(AB11, "&gt;1.5"), COUNTIF(AB15, "&gt;1.5"), COUNTIF(AB19, "&gt;1.5"), COUNTIF(AB23, "&gt;1.5"), COUNTIF(AB27, "&gt;1.5"), COUNTIF(AB31, "&gt;1.5"))</f>
        <v>2</v>
      </c>
      <c r="BA56">
        <f>SUM(COUNTIF(AB3, "&gt;2"), COUNTIF(AB7, "&gt;2"), COUNTIF(AB11, "&gt;2"), COUNTIF(AB15, "&gt;2"), COUNTIF(AB19, "&gt;2"), COUNTIF(AB23, "&gt;2"), COUNTIF(AB27, "&gt;2"), COUNTIF(AB31, "&gt;2"))</f>
        <v>2</v>
      </c>
    </row>
    <row r="57" spans="1:53" x14ac:dyDescent="0.3">
      <c r="AY57" t="s">
        <v>28</v>
      </c>
      <c r="AZ57">
        <f>SUM(COUNTIF(AB4, "&gt;1.5"), COUNTIF(AB8, "&gt;1.5"), COUNTIF(AB12, "&gt;1.5"), COUNTIF(AB16, "&gt;1.5"), COUNTIF(AB20, "&gt;1.5"), COUNTIF(AB24, "&gt;1.5"), COUNTIF(AB28, "&gt;1.5"), COUNTIF(AB32, "&gt;1.5"))</f>
        <v>4</v>
      </c>
      <c r="BA57">
        <f t="shared" ref="BA57:BA59" si="29">SUM(COUNTIF(AB4, "&gt;2"), COUNTIF(AB8, "&gt;2"), COUNTIF(AB12, "&gt;2"), COUNTIF(AB16, "&gt;2"), COUNTIF(AB20, "&gt;2"), COUNTIF(AB24, "&gt;2"), COUNTIF(AB28, "&gt;2"), COUNTIF(AB32, "&gt;2"))</f>
        <v>3</v>
      </c>
    </row>
    <row r="58" spans="1:53" x14ac:dyDescent="0.3">
      <c r="AY58" t="s">
        <v>29</v>
      </c>
      <c r="AZ58">
        <f t="shared" ref="AZ58:AZ59" si="30">SUM(COUNTIF(AB5, "&gt;1.5"), COUNTIF(AB9, "&gt;1.5"), COUNTIF(AB13, "&gt;1.5"), COUNTIF(AB17, "&gt;1.5"), COUNTIF(AB21, "&gt;1.5"), COUNTIF(AB25, "&gt;1.5"), COUNTIF(AB29, "&gt;1.5"), COUNTIF(AB33, "&gt;1.5"))</f>
        <v>1</v>
      </c>
      <c r="BA58">
        <f t="shared" si="29"/>
        <v>1</v>
      </c>
    </row>
    <row r="59" spans="1:53" x14ac:dyDescent="0.3">
      <c r="AY59" t="s">
        <v>30</v>
      </c>
      <c r="AZ59">
        <f t="shared" si="30"/>
        <v>3</v>
      </c>
      <c r="BA59">
        <f t="shared" si="29"/>
        <v>3</v>
      </c>
    </row>
  </sheetData>
  <sortState xmlns:xlrd2="http://schemas.microsoft.com/office/spreadsheetml/2017/richdata2" ref="A3:AI54">
    <sortCondition ref="A3:A54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153A5-96E8-498F-85C4-F03821904A7D}">
  <sheetPr codeName="Sheet5"/>
  <dimension ref="A1:BS59"/>
  <sheetViews>
    <sheetView tabSelected="1" topLeftCell="X28" zoomScale="70" zoomScaleNormal="70" workbookViewId="0">
      <selection activeCell="AD2" sqref="AD2:AD54"/>
    </sheetView>
  </sheetViews>
  <sheetFormatPr defaultRowHeight="14.4" x14ac:dyDescent="0.3"/>
  <cols>
    <col min="3" max="5" width="9.6640625" bestFit="1" customWidth="1"/>
    <col min="6" max="7" width="9.6640625" customWidth="1"/>
    <col min="38" max="38" width="12.77734375" bestFit="1" customWidth="1"/>
    <col min="45" max="47" width="9.33203125" bestFit="1" customWidth="1"/>
    <col min="48" max="50" width="9.33203125" customWidth="1"/>
  </cols>
  <sheetData>
    <row r="1" spans="1:61" x14ac:dyDescent="0.3">
      <c r="A1" t="s">
        <v>0</v>
      </c>
      <c r="E1" t="s">
        <v>1</v>
      </c>
      <c r="K1" t="s">
        <v>2</v>
      </c>
      <c r="P1" t="s">
        <v>3</v>
      </c>
      <c r="U1" t="s">
        <v>4</v>
      </c>
      <c r="Y1" t="s">
        <v>5</v>
      </c>
      <c r="AG1" t="s">
        <v>6</v>
      </c>
      <c r="AN1" t="s">
        <v>7</v>
      </c>
      <c r="AU1" t="s">
        <v>8</v>
      </c>
      <c r="BA1" t="s">
        <v>9</v>
      </c>
      <c r="BG1" t="s">
        <v>10</v>
      </c>
    </row>
    <row r="2" spans="1:61" s="1" customFormat="1" x14ac:dyDescent="0.3">
      <c r="C2" s="1" t="s">
        <v>11</v>
      </c>
      <c r="D2" s="1" t="s">
        <v>12</v>
      </c>
      <c r="E2" s="1" t="s">
        <v>13</v>
      </c>
      <c r="F2" s="1" t="s">
        <v>14</v>
      </c>
      <c r="G2" s="1" t="s">
        <v>15</v>
      </c>
      <c r="I2" s="1" t="s">
        <v>16</v>
      </c>
      <c r="J2" s="1" t="s">
        <v>17</v>
      </c>
      <c r="K2" s="1" t="s">
        <v>18</v>
      </c>
      <c r="L2" s="1" t="s">
        <v>19</v>
      </c>
      <c r="M2" s="1" t="s">
        <v>20</v>
      </c>
      <c r="O2" s="1" t="s">
        <v>16</v>
      </c>
      <c r="P2" s="1" t="s">
        <v>17</v>
      </c>
      <c r="Q2" s="1" t="s">
        <v>18</v>
      </c>
      <c r="R2" s="1" t="s">
        <v>19</v>
      </c>
      <c r="S2" s="1" t="s">
        <v>20</v>
      </c>
      <c r="W2" s="1" t="s">
        <v>16</v>
      </c>
      <c r="X2" s="1" t="s">
        <v>17</v>
      </c>
      <c r="Y2" s="1" t="s">
        <v>18</v>
      </c>
      <c r="Z2" s="1" t="s">
        <v>19</v>
      </c>
      <c r="AA2" s="1" t="s">
        <v>20</v>
      </c>
      <c r="AB2" s="1" t="s">
        <v>51</v>
      </c>
      <c r="AC2" s="1" t="s">
        <v>58</v>
      </c>
      <c r="AD2" s="1" t="s">
        <v>59</v>
      </c>
      <c r="AE2" s="1" t="s">
        <v>16</v>
      </c>
      <c r="AF2" s="1" t="s">
        <v>17</v>
      </c>
      <c r="AG2" s="1" t="s">
        <v>18</v>
      </c>
      <c r="AH2" s="1" t="s">
        <v>19</v>
      </c>
      <c r="AI2" s="1" t="s">
        <v>20</v>
      </c>
      <c r="AL2" s="1" t="s">
        <v>21</v>
      </c>
      <c r="AM2" s="1" t="s">
        <v>22</v>
      </c>
      <c r="AN2" s="1" t="s">
        <v>23</v>
      </c>
      <c r="AO2" s="1" t="s">
        <v>24</v>
      </c>
      <c r="AP2" s="1" t="s">
        <v>25</v>
      </c>
      <c r="AS2" s="1" t="s">
        <v>21</v>
      </c>
      <c r="AT2" s="1" t="s">
        <v>22</v>
      </c>
      <c r="AU2" s="1" t="s">
        <v>23</v>
      </c>
      <c r="AV2" s="1" t="s">
        <v>24</v>
      </c>
      <c r="AW2" s="1" t="s">
        <v>25</v>
      </c>
      <c r="AY2" s="1" t="s">
        <v>21</v>
      </c>
      <c r="AZ2" s="1" t="s">
        <v>22</v>
      </c>
      <c r="BA2" s="1" t="s">
        <v>23</v>
      </c>
      <c r="BB2" s="1" t="s">
        <v>24</v>
      </c>
      <c r="BC2" s="1" t="s">
        <v>25</v>
      </c>
      <c r="BE2" s="1" t="s">
        <v>21</v>
      </c>
      <c r="BF2" s="1" t="s">
        <v>22</v>
      </c>
      <c r="BG2" s="1" t="s">
        <v>23</v>
      </c>
      <c r="BH2" s="1" t="s">
        <v>24</v>
      </c>
      <c r="BI2" s="1" t="s">
        <v>25</v>
      </c>
    </row>
    <row r="3" spans="1:61" x14ac:dyDescent="0.3">
      <c r="A3" s="31" t="s">
        <v>53</v>
      </c>
      <c r="B3" t="s">
        <v>27</v>
      </c>
      <c r="C3">
        <v>559</v>
      </c>
      <c r="D3">
        <v>418</v>
      </c>
      <c r="E3">
        <v>98</v>
      </c>
      <c r="F3">
        <v>7</v>
      </c>
      <c r="G3">
        <v>0</v>
      </c>
      <c r="I3">
        <v>64</v>
      </c>
      <c r="J3">
        <v>44</v>
      </c>
      <c r="K3">
        <v>10</v>
      </c>
      <c r="L3">
        <v>1</v>
      </c>
      <c r="M3">
        <v>0</v>
      </c>
      <c r="O3" s="27">
        <f t="shared" ref="O3:O34" si="0">IF(I3&gt;0, I3/C3, 0)</f>
        <v>0.11449016100178891</v>
      </c>
      <c r="P3" s="27">
        <f t="shared" ref="P3:P34" si="1">IF(J3&gt;0, J3/D3, 0)</f>
        <v>0.10526315789473684</v>
      </c>
      <c r="Q3" s="27">
        <f t="shared" ref="Q3:Q34" si="2">IF(K3&gt;0, K3/E3, 0)</f>
        <v>0.10204081632653061</v>
      </c>
      <c r="R3" s="27">
        <f t="shared" ref="R3:R34" si="3">IF(L3&gt;0, L3/F3, 0)</f>
        <v>0.14285714285714285</v>
      </c>
      <c r="S3" s="27">
        <f t="shared" ref="S3:S34" si="4">IF(M3&gt;0, M3/G3, 0)</f>
        <v>0</v>
      </c>
      <c r="T3" s="27"/>
      <c r="U3" s="27">
        <f>65/569</f>
        <v>0.11423550087873462</v>
      </c>
      <c r="V3" s="27"/>
      <c r="W3" s="28">
        <f t="shared" ref="W3:AA10" si="5">O3/$U3</f>
        <v>1.0022292555387369</v>
      </c>
      <c r="X3" s="28">
        <f t="shared" si="5"/>
        <v>0.92145748987854248</v>
      </c>
      <c r="Y3" s="28">
        <f t="shared" si="5"/>
        <v>0.8932496075353219</v>
      </c>
      <c r="Z3" s="28">
        <f t="shared" si="5"/>
        <v>1.2505494505494505</v>
      </c>
      <c r="AA3" s="28">
        <f t="shared" si="5"/>
        <v>0</v>
      </c>
      <c r="AB3" s="28">
        <f t="shared" ref="AB3:AB34" si="6">MAX(W3:AA3)</f>
        <v>1.2505494505494505</v>
      </c>
      <c r="AC3" s="39">
        <f>INDEX(C3:AA3, 1, MATCH(AB3, W3:AA3, 0))</f>
        <v>7</v>
      </c>
      <c r="AD3" s="39" t="str">
        <f>LEFT(INDEX(C$2:G$2, 1, MATCH(AB3, W3:AA3, 0)),1)</f>
        <v>6</v>
      </c>
      <c r="AE3" s="28">
        <f>IF(C3&gt;0,((I3*((3*65)+C3))/(4*C3*65))*(1-(C3-I3)/(569-65)),0)</f>
        <v>5.9289547661640846E-3</v>
      </c>
      <c r="AF3" s="28">
        <f>IF(D3&gt;0,((J3*((3*65)+D3))/(4*D3*65))*(1-(D3-J3)/(569-65)),0)</f>
        <v>6.4014202172096898E-2</v>
      </c>
      <c r="AG3" s="28">
        <f>IF(E3&gt;0,((K3*((3*65)+E3))/(4*E3*65))*(1-(E3-K3)/(569-65)),0)</f>
        <v>9.4914156138645928E-2</v>
      </c>
      <c r="AH3" s="28">
        <f>IF(F3&gt;0,((L3*((3*65)+F3))/(4*F3*65))*(1-(F3-L3)/(569-65)),0)</f>
        <v>0.1096677132391418</v>
      </c>
      <c r="AI3" s="28">
        <f>IF(G3&gt;0,((M3*((3*65)+G3))/(4*G3*65))*(1-(G3-M3)/(569-65)),0)</f>
        <v>0</v>
      </c>
      <c r="AJ3" s="2"/>
      <c r="AK3" t="s">
        <v>27</v>
      </c>
      <c r="AL3" s="2">
        <f>AVERAGE(O7,O11,O19,O23,O27,O31)</f>
        <v>0.10730683193677822</v>
      </c>
      <c r="AM3" s="2">
        <f>AVERAGE(P7,P11,P19,P23,P27,P31)</f>
        <v>9.0791955780690811E-2</v>
      </c>
      <c r="AN3" s="2">
        <f>AVERAGE(Q7,Q11,Q19,Q23,Q27,Q31)</f>
        <v>0.1178229746004682</v>
      </c>
      <c r="AO3" s="2">
        <f>AVERAGE(R7,R11,R19,R23,R27,R31)</f>
        <v>6.6666666666666666E-2</v>
      </c>
      <c r="AP3" s="2">
        <f>AVERAGE(S7,S11,S19,S23,S27,S31)</f>
        <v>0</v>
      </c>
      <c r="AR3" t="s">
        <v>27</v>
      </c>
      <c r="AS3" s="4">
        <f>AVERAGE(W3,W7,W11,W15,W19,W23,W27,W31)</f>
        <v>0.98520984193299443</v>
      </c>
      <c r="AT3" s="4">
        <f>AVERAGE(X3,X7,X11,X15,X19,X23,X27,X31)</f>
        <v>0.86543631753594497</v>
      </c>
      <c r="AU3" s="4">
        <f>AVERAGE(Y3,Y7,Y11,Y15,Y19,Y23,Y27,Y31)</f>
        <v>1.0245773787922292</v>
      </c>
      <c r="AV3" s="4">
        <f>AVERAGE(Z3,Z7,Z11,Z15,Z19,Z23,Z27,Z31)</f>
        <v>0.7141618185735833</v>
      </c>
      <c r="AW3" s="4">
        <f>AVERAGE(AA3,AA7,AA11,AA15,AA19,AA23,AA27,AA31)</f>
        <v>0</v>
      </c>
      <c r="AX3" s="4"/>
      <c r="AY3" s="4">
        <f t="shared" ref="AY3:BC6" si="7">AVERAGE(AE3,AE7,AE11,AE15,AE19,AE23,AE27,AE31)</f>
        <v>9.6108150069532817E-3</v>
      </c>
      <c r="AZ3" s="4">
        <f t="shared" si="7"/>
        <v>7.4434883717086509E-2</v>
      </c>
      <c r="BA3" s="4">
        <f t="shared" si="7"/>
        <v>9.2722345760770569E-2</v>
      </c>
      <c r="BB3" s="4">
        <f t="shared" si="7"/>
        <v>5.220967545022167E-2</v>
      </c>
      <c r="BC3" s="4">
        <f t="shared" si="7"/>
        <v>0</v>
      </c>
      <c r="BE3" s="5">
        <f>MAX(AE3,AE7,AE11,AE15,AE19,AE23,AE27,AE31)</f>
        <v>2.5221266730309794E-2</v>
      </c>
      <c r="BF3" s="5">
        <f t="shared" ref="BF3:BI6" si="8">MAX(AF3,AF7,AF11,AF15,AF19,AF23,AF27,AF31)</f>
        <v>0.10946717750126675</v>
      </c>
      <c r="BG3" s="5">
        <f t="shared" si="8"/>
        <v>0.25185974288603208</v>
      </c>
      <c r="BH3" s="5">
        <f t="shared" si="8"/>
        <v>0.30800969036263154</v>
      </c>
      <c r="BI3" s="5">
        <f t="shared" si="8"/>
        <v>0</v>
      </c>
    </row>
    <row r="4" spans="1:61" x14ac:dyDescent="0.3">
      <c r="A4" s="31" t="s">
        <v>53</v>
      </c>
      <c r="B4" t="s">
        <v>28</v>
      </c>
      <c r="C4">
        <v>267</v>
      </c>
      <c r="D4">
        <v>6</v>
      </c>
      <c r="E4">
        <v>1</v>
      </c>
      <c r="F4">
        <v>0</v>
      </c>
      <c r="G4">
        <v>0</v>
      </c>
      <c r="I4">
        <v>29</v>
      </c>
      <c r="J4">
        <v>0</v>
      </c>
      <c r="K4">
        <v>0</v>
      </c>
      <c r="L4">
        <v>0</v>
      </c>
      <c r="M4">
        <v>0</v>
      </c>
      <c r="O4" s="27">
        <f t="shared" si="0"/>
        <v>0.10861423220973783</v>
      </c>
      <c r="P4" s="27">
        <f t="shared" si="1"/>
        <v>0</v>
      </c>
      <c r="Q4" s="27">
        <f t="shared" si="2"/>
        <v>0</v>
      </c>
      <c r="R4" s="27">
        <f t="shared" si="3"/>
        <v>0</v>
      </c>
      <c r="S4" s="27">
        <f t="shared" si="4"/>
        <v>0</v>
      </c>
      <c r="T4" s="27"/>
      <c r="U4" s="27">
        <f>65/569</f>
        <v>0.11423550087873462</v>
      </c>
      <c r="V4" s="27"/>
      <c r="W4" s="28">
        <f t="shared" si="5"/>
        <v>0.95079227888216655</v>
      </c>
      <c r="X4" s="28">
        <f t="shared" si="5"/>
        <v>0</v>
      </c>
      <c r="Y4" s="28">
        <f t="shared" si="5"/>
        <v>0</v>
      </c>
      <c r="Z4" s="28">
        <f t="shared" si="5"/>
        <v>0</v>
      </c>
      <c r="AA4" s="28">
        <f t="shared" si="5"/>
        <v>0</v>
      </c>
      <c r="AB4" s="28">
        <f t="shared" si="6"/>
        <v>0.95079227888216655</v>
      </c>
      <c r="AC4" s="39">
        <f t="shared" ref="AC4:AC54" si="9">INDEX(C4:AA4, 1, MATCH(AB4, W4:AA4, 0))</f>
        <v>267</v>
      </c>
      <c r="AD4" s="39" t="str">
        <f t="shared" ref="AD4:AD54" si="10">LEFT(INDEX(C$2:G$2, 1, MATCH(AB4, W4:AA4, 0)),1)</f>
        <v>3</v>
      </c>
      <c r="AE4" s="28">
        <f>IF(C4&gt;0,((I4*((3*65)+C4))/(4*C4*65))*(1-(C4-I4)/(569-65)),0)</f>
        <v>0.1018606549505426</v>
      </c>
      <c r="AF4" s="28">
        <f>IF(D4&gt;0,((J4*((3*65)+D4))/(4*D4*65))*(1-(D4-J4)/(569-65)),0)</f>
        <v>0</v>
      </c>
      <c r="AG4" s="28">
        <f>IF(E4&gt;0,((K4*((3*65)+E4))/(4*E4*65))*(1-(E4-K4)/(569-65)),0)</f>
        <v>0</v>
      </c>
      <c r="AH4" s="28">
        <f>IF(F4&gt;0,((L4*((3*65)+F4))/(4*F4*65))*(1-(F4-L4)/(569-65)),0)</f>
        <v>0</v>
      </c>
      <c r="AI4" s="28">
        <f>IF(G4&gt;0,((M4*((3*65)+G4))/(4*G4*65))*(1-(G4-M4)/(569-65)),0)</f>
        <v>0</v>
      </c>
      <c r="AJ4" s="2"/>
      <c r="AK4" t="s">
        <v>28</v>
      </c>
      <c r="AL4" s="6">
        <f>AVERAGE(O8,O12,O20,O24,O28,O32)</f>
        <v>0.10725211930291927</v>
      </c>
      <c r="AM4" s="6">
        <f>AVERAGE(P8,P12,P20,P24,P28,P32)</f>
        <v>9.1439914248711077E-2</v>
      </c>
      <c r="AN4" s="6">
        <f>AVERAGE(Q8,Q12,Q20,Q24,Q28,Q32)</f>
        <v>0.19982930348784009</v>
      </c>
      <c r="AO4" s="6">
        <f>AVERAGE(R8,R12,R20,R24,R28,R32)</f>
        <v>0</v>
      </c>
      <c r="AP4" s="6">
        <f>AVERAGE(S8,S12,S20,S24,S28,S32)</f>
        <v>0</v>
      </c>
      <c r="AR4" t="s">
        <v>28</v>
      </c>
      <c r="AS4" s="7">
        <f t="shared" ref="AS4:AS6" si="11">AVERAGE(W4,W8,W12,W16,W20,W24,W28,W32)</f>
        <v>1.1170326665239503</v>
      </c>
      <c r="AT4" s="7">
        <f>AVERAGE(X4,X8,X12,X16,X20,X24,X28,X32)</f>
        <v>0.75136885419002253</v>
      </c>
      <c r="AU4" s="7">
        <f>AVERAGE(Y4,Y8,Y12,Y16,Y20,Y24,Y28,Y32)</f>
        <v>1.8675408829067111</v>
      </c>
      <c r="AV4" s="7">
        <f>AVERAGE(Z4,Z8,Z12,Z16,Z20,Z24,Z28,Z32)</f>
        <v>0</v>
      </c>
      <c r="AW4" s="7">
        <f>AVERAGE(AA4,AA8,AA12,AA16,AA20,AA24,AA28,AA32)</f>
        <v>0</v>
      </c>
      <c r="AX4" s="4"/>
      <c r="AY4" s="7">
        <f t="shared" si="7"/>
        <v>6.1210448948662406E-2</v>
      </c>
      <c r="AZ4" s="7">
        <f t="shared" si="7"/>
        <v>5.5378613020020728E-2</v>
      </c>
      <c r="BA4" s="7">
        <f t="shared" si="7"/>
        <v>0.1463817271815816</v>
      </c>
      <c r="BB4" s="7">
        <f t="shared" si="7"/>
        <v>0</v>
      </c>
      <c r="BC4" s="7">
        <f t="shared" si="7"/>
        <v>0</v>
      </c>
      <c r="BE4" s="5">
        <f t="shared" ref="BE4:BE6" si="12">MAX(AE4,AE8,AE12,AE16,AE20,AE24,AE28,AE32)</f>
        <v>0.13626370784192013</v>
      </c>
      <c r="BF4" s="5">
        <f t="shared" si="8"/>
        <v>0.16978046389067625</v>
      </c>
      <c r="BG4" s="8">
        <f t="shared" si="8"/>
        <v>0.75362318840579712</v>
      </c>
      <c r="BH4" s="8">
        <f t="shared" si="8"/>
        <v>0</v>
      </c>
      <c r="BI4" s="8">
        <f t="shared" si="8"/>
        <v>0</v>
      </c>
    </row>
    <row r="5" spans="1:61" x14ac:dyDescent="0.3">
      <c r="A5" s="31" t="s">
        <v>53</v>
      </c>
      <c r="B5" t="s">
        <v>29</v>
      </c>
      <c r="C5">
        <v>568</v>
      </c>
      <c r="D5">
        <v>513</v>
      </c>
      <c r="E5">
        <v>149</v>
      </c>
      <c r="F5">
        <v>1</v>
      </c>
      <c r="G5">
        <v>0</v>
      </c>
      <c r="I5">
        <v>65</v>
      </c>
      <c r="J5">
        <v>58</v>
      </c>
      <c r="K5">
        <v>20</v>
      </c>
      <c r="L5">
        <v>0</v>
      </c>
      <c r="M5">
        <v>0</v>
      </c>
      <c r="O5" s="27">
        <f t="shared" si="0"/>
        <v>0.11443661971830986</v>
      </c>
      <c r="P5" s="27">
        <f t="shared" si="1"/>
        <v>0.11306042884990253</v>
      </c>
      <c r="Q5" s="27">
        <f t="shared" si="2"/>
        <v>0.13422818791946309</v>
      </c>
      <c r="R5" s="27">
        <f t="shared" si="3"/>
        <v>0</v>
      </c>
      <c r="S5" s="27">
        <f t="shared" si="4"/>
        <v>0</v>
      </c>
      <c r="T5" s="27"/>
      <c r="U5" s="27">
        <f>65/569</f>
        <v>0.11423550087873462</v>
      </c>
      <c r="V5" s="27"/>
      <c r="W5" s="28">
        <f t="shared" si="5"/>
        <v>1.0017605633802817</v>
      </c>
      <c r="X5" s="28">
        <f t="shared" si="5"/>
        <v>0.98971360023991606</v>
      </c>
      <c r="Y5" s="28">
        <f t="shared" si="5"/>
        <v>1.1750129065565307</v>
      </c>
      <c r="Z5" s="28">
        <f t="shared" si="5"/>
        <v>0</v>
      </c>
      <c r="AA5" s="28">
        <f t="shared" si="5"/>
        <v>0</v>
      </c>
      <c r="AB5" s="28">
        <f t="shared" si="6"/>
        <v>1.1750129065565307</v>
      </c>
      <c r="AC5" s="39">
        <f t="shared" si="9"/>
        <v>149</v>
      </c>
      <c r="AD5" s="39" t="str">
        <f t="shared" si="10"/>
        <v>5</v>
      </c>
      <c r="AE5" s="28">
        <f>IF(C5&gt;0,((I5*((3*65)+C5))/(4*C5*65))*(1-(C5-I5)/(569-65)),0)</f>
        <v>6.6632433489827614E-4</v>
      </c>
      <c r="AF5" s="28">
        <f>IF(D5&gt;0,((J5*((3*65)+D5))/(4*D5*65))*(1-(D5-J5)/(569-65)),0)</f>
        <v>2.993202379167291E-2</v>
      </c>
      <c r="AG5" s="28">
        <f>IF(E5&gt;0,((K5*((3*65)+E5))/(4*E5*65))*(1-(E5-K5)/(569-65)),0)</f>
        <v>0.13213855495734692</v>
      </c>
      <c r="AH5" s="28">
        <f>IF(F5&gt;0,((L5*((3*65)+F5))/(4*F5*65))*(1-(F5-L5)/(569-65)),0)</f>
        <v>0</v>
      </c>
      <c r="AI5" s="28">
        <f>IF(G5&gt;0,((M5*((3*65)+G5))/(4*G5*65))*(1-(G5-M5)/(569-65)),0)</f>
        <v>0</v>
      </c>
      <c r="AJ5" s="2"/>
      <c r="AK5" t="s">
        <v>29</v>
      </c>
      <c r="AL5" s="6">
        <f>AVERAGE(O9,O13,O21,O25,O29,O33)</f>
        <v>0.10334162283131883</v>
      </c>
      <c r="AM5" s="6">
        <f>AVERAGE(P9,P13,P21,P25,P29,P33)</f>
        <v>0.10083667540714437</v>
      </c>
      <c r="AN5" s="6">
        <f>AVERAGE(Q9,Q13,Q21,Q25,Q29,Q33)</f>
        <v>0.12989329030860503</v>
      </c>
      <c r="AO5" s="6">
        <f>AVERAGE(R9,R13,R21,R25,R29,R33)</f>
        <v>0</v>
      </c>
      <c r="AP5" s="6">
        <f>AVERAGE(S9,S13,S21,S25,S29,S33)</f>
        <v>0</v>
      </c>
      <c r="AR5" t="s">
        <v>29</v>
      </c>
      <c r="AS5" s="7">
        <f t="shared" si="11"/>
        <v>0.96365092345770187</v>
      </c>
      <c r="AT5" s="7">
        <f>AVERAGE(X5,X9,X13,X17,X21,X25,X29,X33)</f>
        <v>0.92261364826747394</v>
      </c>
      <c r="AU5" s="7">
        <f>AVERAGE(Y5,Y9,Y13,Y17,Y21,Y25,Y29,Y33)</f>
        <v>1.0384482453240103</v>
      </c>
      <c r="AV5" s="7">
        <f>AVERAGE(Z5,Z9,Z13,Z17,Z21,Z25,Z29,Z33)</f>
        <v>0</v>
      </c>
      <c r="AW5" s="7">
        <f>AVERAGE(AA5,AA9,AA13,AA17,AA21,AA25,AA29,AA33)</f>
        <v>0</v>
      </c>
      <c r="AX5" s="4"/>
      <c r="AY5" s="7">
        <f t="shared" si="7"/>
        <v>9.5238301256582829E-3</v>
      </c>
      <c r="AZ5" s="7">
        <f t="shared" si="7"/>
        <v>7.3354037971992483E-2</v>
      </c>
      <c r="BA5" s="7">
        <f t="shared" si="7"/>
        <v>0.10561811955575942</v>
      </c>
      <c r="BB5" s="7">
        <f t="shared" si="7"/>
        <v>0</v>
      </c>
      <c r="BC5" s="7">
        <f t="shared" si="7"/>
        <v>0</v>
      </c>
      <c r="BE5" s="5">
        <f t="shared" si="12"/>
        <v>2.6355663746295974E-2</v>
      </c>
      <c r="BF5" s="5">
        <f t="shared" si="8"/>
        <v>0.12752980413001516</v>
      </c>
      <c r="BG5" s="8">
        <f t="shared" si="8"/>
        <v>0.25450054077438888</v>
      </c>
      <c r="BH5" s="8">
        <f t="shared" si="8"/>
        <v>0</v>
      </c>
      <c r="BI5" s="8">
        <f t="shared" si="8"/>
        <v>0</v>
      </c>
    </row>
    <row r="6" spans="1:61" s="1" customFormat="1" x14ac:dyDescent="0.3">
      <c r="A6" s="31" t="s">
        <v>53</v>
      </c>
      <c r="B6" s="1" t="s">
        <v>30</v>
      </c>
      <c r="C6" s="1">
        <v>508</v>
      </c>
      <c r="D6" s="1">
        <v>38</v>
      </c>
      <c r="E6" s="1">
        <v>2</v>
      </c>
      <c r="F6" s="1">
        <v>0</v>
      </c>
      <c r="G6" s="1">
        <v>0</v>
      </c>
      <c r="I6" s="1">
        <v>64</v>
      </c>
      <c r="J6" s="1">
        <v>5</v>
      </c>
      <c r="K6" s="1">
        <v>1</v>
      </c>
      <c r="L6" s="1">
        <v>0</v>
      </c>
      <c r="M6" s="1">
        <v>0</v>
      </c>
      <c r="O6" s="29">
        <f t="shared" si="0"/>
        <v>0.12598425196850394</v>
      </c>
      <c r="P6" s="29">
        <f t="shared" si="1"/>
        <v>0.13157894736842105</v>
      </c>
      <c r="Q6" s="29">
        <f t="shared" si="2"/>
        <v>0.5</v>
      </c>
      <c r="R6" s="29">
        <f t="shared" si="3"/>
        <v>0</v>
      </c>
      <c r="S6" s="29">
        <f t="shared" si="4"/>
        <v>0</v>
      </c>
      <c r="T6" s="29"/>
      <c r="U6" s="29">
        <f>65/569</f>
        <v>0.11423550087873462</v>
      </c>
      <c r="V6" s="29"/>
      <c r="W6" s="30">
        <f t="shared" si="5"/>
        <v>1.1028467595396729</v>
      </c>
      <c r="X6" s="30">
        <f t="shared" si="5"/>
        <v>1.1518218623481782</v>
      </c>
      <c r="Y6" s="30">
        <f t="shared" si="5"/>
        <v>4.3769230769230774</v>
      </c>
      <c r="Z6" s="30">
        <f t="shared" si="5"/>
        <v>0</v>
      </c>
      <c r="AA6" s="30">
        <f t="shared" si="5"/>
        <v>0</v>
      </c>
      <c r="AB6" s="30">
        <f t="shared" si="6"/>
        <v>4.3769230769230774</v>
      </c>
      <c r="AC6" s="40">
        <f t="shared" si="9"/>
        <v>2</v>
      </c>
      <c r="AD6" s="40" t="str">
        <f t="shared" si="10"/>
        <v>5</v>
      </c>
      <c r="AE6" s="30">
        <f>IF(C6&gt;0,((I6*((3*65)+C6))/(4*C6*65))*(1-(C6-I6)/(569-65)),0)</f>
        <v>4.0552623229788594E-2</v>
      </c>
      <c r="AF6" s="30">
        <f>IF(D6&gt;0,((J6*((3*65)+D6))/(4*D6*65))*(1-(D6-J6)/(569-65)),0)</f>
        <v>0.11019435608251398</v>
      </c>
      <c r="AG6" s="30">
        <f>IF(E6&gt;0,((K6*((3*65)+E6))/(4*E6*65))*(1-(E6-K6)/(569-65)),0)</f>
        <v>0.37809447496947496</v>
      </c>
      <c r="AH6" s="30">
        <f>IF(F6&gt;0,((L6*((3*65)+F6))/(4*F6*65))*(1-(F6-L6)/(569-65)),0)</f>
        <v>0</v>
      </c>
      <c r="AI6" s="30">
        <f>IF(G6&gt;0,((M6*((3*65)+G6))/(4*G6*65))*(1-(G6-M6)/(569-65)),0)</f>
        <v>0</v>
      </c>
      <c r="AJ6" s="9"/>
      <c r="AK6" s="1" t="s">
        <v>30</v>
      </c>
      <c r="AL6" s="11">
        <f>AVERAGE(O10,O14,O22,O26,O30,O34)</f>
        <v>0.10623912852021085</v>
      </c>
      <c r="AM6" s="11">
        <f>AVERAGE(P10,P14,P22,P26,P30,P34)</f>
        <v>8.4816074793803084E-2</v>
      </c>
      <c r="AN6" s="11">
        <f>AVERAGE(Q10,Q14,Q22,Q26,Q30,Q34)</f>
        <v>0</v>
      </c>
      <c r="AO6" s="11">
        <f>AVERAGE(R10,R14,R22,R26,R30,R34)</f>
        <v>0</v>
      </c>
      <c r="AP6" s="11">
        <f>AVERAGE(S10,S14,S22,S26,S30,S34)</f>
        <v>0</v>
      </c>
      <c r="AR6" s="1" t="s">
        <v>30</v>
      </c>
      <c r="AS6" s="12">
        <f t="shared" si="11"/>
        <v>1.0539680551035813</v>
      </c>
      <c r="AT6" s="12">
        <f>AVERAGE(X6,X10,X14,X18,X22,X26,X30,X34)</f>
        <v>0.86284181739557553</v>
      </c>
      <c r="AU6" s="12">
        <f>AVERAGE(Y6,Y10,Y14,Y18,Y22,Y26,Y30,Y34)</f>
        <v>0.54711538461538467</v>
      </c>
      <c r="AV6" s="12">
        <f>AVERAGE(Z6,Z10,Z14,Z18,Z22,Z26,Z30,Z34)</f>
        <v>0</v>
      </c>
      <c r="AW6" s="12">
        <f>AVERAGE(AA6,AA10,AA14,AA18,AA22,AA26,AA30,AA34)</f>
        <v>0</v>
      </c>
      <c r="AX6" s="13"/>
      <c r="AY6" s="12">
        <f t="shared" si="7"/>
        <v>4.3662930665799057E-2</v>
      </c>
      <c r="AZ6" s="12">
        <f t="shared" si="7"/>
        <v>7.368779969047419E-2</v>
      </c>
      <c r="BA6" s="12">
        <f t="shared" si="7"/>
        <v>4.726180937118437E-2</v>
      </c>
      <c r="BB6" s="12">
        <f t="shared" si="7"/>
        <v>0</v>
      </c>
      <c r="BC6" s="12">
        <f t="shared" si="7"/>
        <v>0</v>
      </c>
      <c r="BE6" s="14">
        <f t="shared" si="12"/>
        <v>0.12713962938223625</v>
      </c>
      <c r="BF6" s="14">
        <f t="shared" si="8"/>
        <v>0.15552814938684503</v>
      </c>
      <c r="BG6" s="15">
        <f t="shared" si="8"/>
        <v>0.37809447496947496</v>
      </c>
      <c r="BH6" s="15">
        <f t="shared" si="8"/>
        <v>0</v>
      </c>
      <c r="BI6" s="15">
        <f t="shared" si="8"/>
        <v>0</v>
      </c>
    </row>
    <row r="7" spans="1:61" x14ac:dyDescent="0.3">
      <c r="A7" s="31" t="s">
        <v>26</v>
      </c>
      <c r="B7" t="s">
        <v>27</v>
      </c>
      <c r="C7">
        <v>532</v>
      </c>
      <c r="D7">
        <v>131</v>
      </c>
      <c r="E7">
        <v>3</v>
      </c>
      <c r="F7">
        <v>0</v>
      </c>
      <c r="G7">
        <v>0</v>
      </c>
      <c r="I7">
        <v>83</v>
      </c>
      <c r="J7">
        <v>13</v>
      </c>
      <c r="K7">
        <v>1</v>
      </c>
      <c r="L7">
        <v>0</v>
      </c>
      <c r="M7">
        <v>0</v>
      </c>
      <c r="O7" s="2">
        <f t="shared" si="0"/>
        <v>0.15601503759398497</v>
      </c>
      <c r="P7" s="2">
        <f t="shared" si="1"/>
        <v>9.9236641221374045E-2</v>
      </c>
      <c r="Q7" s="2">
        <f t="shared" si="2"/>
        <v>0.33333333333333331</v>
      </c>
      <c r="R7" s="2">
        <f t="shared" si="3"/>
        <v>0</v>
      </c>
      <c r="S7" s="2">
        <f t="shared" si="4"/>
        <v>0</v>
      </c>
      <c r="T7" s="2"/>
      <c r="U7" s="2">
        <f t="shared" ref="U7:U14" si="13">86/569</f>
        <v>0.15114235500878734</v>
      </c>
      <c r="V7" s="2"/>
      <c r="W7" s="3">
        <f t="shared" si="5"/>
        <v>1.0322390278020634</v>
      </c>
      <c r="X7" s="3">
        <f t="shared" si="5"/>
        <v>0.65657731226699811</v>
      </c>
      <c r="Y7" s="3">
        <f t="shared" si="5"/>
        <v>2.2054263565891472</v>
      </c>
      <c r="Z7" s="3">
        <f t="shared" si="5"/>
        <v>0</v>
      </c>
      <c r="AA7" s="3">
        <f t="shared" si="5"/>
        <v>0</v>
      </c>
      <c r="AB7" s="3">
        <f t="shared" si="6"/>
        <v>2.2054263565891472</v>
      </c>
      <c r="AC7" s="41">
        <f t="shared" si="9"/>
        <v>3</v>
      </c>
      <c r="AD7" s="41" t="str">
        <f t="shared" si="10"/>
        <v>5</v>
      </c>
      <c r="AE7" s="3">
        <f>IF(C7&gt;0,((I7*((3*86)+C7))/(4*C7*86))*(1-(C7-I7)/(569-86)),0)</f>
        <v>2.5221266730309794E-2</v>
      </c>
      <c r="AF7" s="3">
        <f>IF(D7&gt;0,((J7*((3*86)+D7))/(4*D7*86))*(1-(D7-J7)/(569-86)),0)</f>
        <v>8.4802557319904631E-2</v>
      </c>
      <c r="AG7" s="3">
        <f>IF(E7&gt;0,((K7*((3*86)+E7))/(4*E7*86))*(1-(E7-K7)/(569-86)),0)</f>
        <v>0.25185974288603208</v>
      </c>
      <c r="AH7" s="3">
        <f>IF(F7&gt;0,((L7*((3*86)+F7))/(4*F7*86))*(1-(F7-L7)/(569-86)),0)</f>
        <v>0</v>
      </c>
      <c r="AI7" s="3">
        <f>IF(G7&gt;0,((M7*((3*86)+G7))/(4*G7*86))*(1-(G7-M7)/(569-86)),0)</f>
        <v>0</v>
      </c>
      <c r="AJ7" s="2"/>
    </row>
    <row r="8" spans="1:61" x14ac:dyDescent="0.3">
      <c r="A8" s="31" t="s">
        <v>26</v>
      </c>
      <c r="B8" t="s">
        <v>28</v>
      </c>
      <c r="C8">
        <v>280</v>
      </c>
      <c r="D8">
        <v>33</v>
      </c>
      <c r="E8">
        <v>4</v>
      </c>
      <c r="F8">
        <v>0</v>
      </c>
      <c r="G8">
        <v>0</v>
      </c>
      <c r="I8">
        <v>39</v>
      </c>
      <c r="J8">
        <v>7</v>
      </c>
      <c r="K8">
        <v>0</v>
      </c>
      <c r="L8">
        <v>0</v>
      </c>
      <c r="M8">
        <v>0</v>
      </c>
      <c r="O8" s="2">
        <f t="shared" si="0"/>
        <v>0.13928571428571429</v>
      </c>
      <c r="P8" s="2">
        <f t="shared" si="1"/>
        <v>0.21212121212121213</v>
      </c>
      <c r="Q8" s="2">
        <f t="shared" si="2"/>
        <v>0</v>
      </c>
      <c r="R8" s="2">
        <f t="shared" si="3"/>
        <v>0</v>
      </c>
      <c r="S8" s="2">
        <f t="shared" si="4"/>
        <v>0</v>
      </c>
      <c r="T8" s="2"/>
      <c r="U8" s="2">
        <f t="shared" si="13"/>
        <v>0.15114235500878734</v>
      </c>
      <c r="V8" s="2"/>
      <c r="W8" s="3">
        <f t="shared" si="5"/>
        <v>0.9215531561461795</v>
      </c>
      <c r="X8" s="3">
        <f t="shared" si="5"/>
        <v>1.4034531360112756</v>
      </c>
      <c r="Y8" s="3">
        <f t="shared" si="5"/>
        <v>0</v>
      </c>
      <c r="Z8" s="3">
        <f t="shared" si="5"/>
        <v>0</v>
      </c>
      <c r="AA8" s="3">
        <f t="shared" si="5"/>
        <v>0</v>
      </c>
      <c r="AB8" s="3">
        <f t="shared" si="6"/>
        <v>1.4034531360112756</v>
      </c>
      <c r="AC8" s="41">
        <f t="shared" si="9"/>
        <v>33</v>
      </c>
      <c r="AD8" s="41" t="str">
        <f t="shared" si="10"/>
        <v>4</v>
      </c>
      <c r="AE8" s="3">
        <f>IF(C8&gt;0,((I8*((3*86)+C8))/(4*C8*86))*(1-(C8-I8)/(569-86)),0)</f>
        <v>0.10914369286642868</v>
      </c>
      <c r="AF8" s="3">
        <f>IF(D8&gt;0,((J8*((3*86)+D8))/(4*D8*86))*(1-(D8-J8)/(569-86)),0)</f>
        <v>0.16978046389067625</v>
      </c>
      <c r="AG8" s="3">
        <f>IF(E8&gt;0,((K8*((3*86)+E8))/(4*E8*86))*(1-(E8-K8)/(569-86)),0)</f>
        <v>0</v>
      </c>
      <c r="AH8" s="3">
        <f>IF(F8&gt;0,((L8*((3*86)+F8))/(4*F8*86))*(1-(F8-L8)/(569-86)),0)</f>
        <v>0</v>
      </c>
      <c r="AI8" s="3">
        <f>IF(G8&gt;0,((M8*((3*86)+G8))/(4*G8*86))*(1-(G8-M8)/(569-86)),0)</f>
        <v>0</v>
      </c>
      <c r="AJ8" s="2"/>
    </row>
    <row r="9" spans="1:61" x14ac:dyDescent="0.3">
      <c r="A9" s="31" t="s">
        <v>26</v>
      </c>
      <c r="B9" t="s">
        <v>29</v>
      </c>
      <c r="C9">
        <v>522</v>
      </c>
      <c r="D9">
        <v>208</v>
      </c>
      <c r="E9">
        <v>21</v>
      </c>
      <c r="F9">
        <v>0</v>
      </c>
      <c r="G9">
        <v>0</v>
      </c>
      <c r="I9">
        <v>73</v>
      </c>
      <c r="J9">
        <v>28</v>
      </c>
      <c r="K9">
        <v>3</v>
      </c>
      <c r="L9">
        <v>0</v>
      </c>
      <c r="M9">
        <v>0</v>
      </c>
      <c r="O9" s="2">
        <f t="shared" si="0"/>
        <v>0.13984674329501914</v>
      </c>
      <c r="P9" s="2">
        <f t="shared" si="1"/>
        <v>0.13461538461538461</v>
      </c>
      <c r="Q9" s="2">
        <f t="shared" si="2"/>
        <v>0.14285714285714285</v>
      </c>
      <c r="R9" s="2">
        <f t="shared" si="3"/>
        <v>0</v>
      </c>
      <c r="S9" s="2">
        <f t="shared" si="4"/>
        <v>0</v>
      </c>
      <c r="T9" s="2"/>
      <c r="U9" s="2">
        <f t="shared" si="13"/>
        <v>0.15114235500878734</v>
      </c>
      <c r="V9" s="2"/>
      <c r="W9" s="3">
        <f t="shared" si="5"/>
        <v>0.92526508063797552</v>
      </c>
      <c r="X9" s="3">
        <f t="shared" si="5"/>
        <v>0.89065295169946335</v>
      </c>
      <c r="Y9" s="3">
        <f t="shared" si="5"/>
        <v>0.94518272425249172</v>
      </c>
      <c r="Z9" s="3">
        <f t="shared" si="5"/>
        <v>0</v>
      </c>
      <c r="AA9" s="3">
        <f t="shared" si="5"/>
        <v>0</v>
      </c>
      <c r="AB9" s="3">
        <f t="shared" si="6"/>
        <v>0.94518272425249172</v>
      </c>
      <c r="AC9" s="41">
        <f t="shared" si="9"/>
        <v>21</v>
      </c>
      <c r="AD9" s="41" t="str">
        <f t="shared" si="10"/>
        <v>5</v>
      </c>
      <c r="AE9" s="3">
        <f>IF(C9&gt;0,((I9*((3*86)+C9))/(4*C9*86))*(1-(C9-I9)/(569-86)),0)</f>
        <v>2.2321342097500512E-2</v>
      </c>
      <c r="AF9" s="3">
        <f>IF(D9&gt;0,((J9*((3*86)+D9))/(4*D9*86))*(1-(D9-J9)/(569-86)),0)</f>
        <v>0.11439779886443183</v>
      </c>
      <c r="AG9" s="3">
        <f>IF(E9&gt;0,((K9*((3*86)+E9))/(4*E9*86))*(1-(E9-K9)/(569-86)),0)</f>
        <v>0.11154588225583459</v>
      </c>
      <c r="AH9" s="3">
        <f>IF(F9&gt;0,((L9*((3*86)+F9))/(4*F9*86))*(1-(F9-L9)/(569-86)),0)</f>
        <v>0</v>
      </c>
      <c r="AI9" s="3">
        <f>IF(G9&gt;0,((M9*((3*86)+G9))/(4*G9*86))*(1-(G9-M9)/(569-86)),0)</f>
        <v>0</v>
      </c>
      <c r="AJ9" s="2"/>
    </row>
    <row r="10" spans="1:61" s="1" customFormat="1" x14ac:dyDescent="0.3">
      <c r="A10" s="31" t="s">
        <v>26</v>
      </c>
      <c r="B10" s="1" t="s">
        <v>30</v>
      </c>
      <c r="C10" s="1">
        <v>496</v>
      </c>
      <c r="D10" s="1">
        <v>13</v>
      </c>
      <c r="E10" s="1">
        <v>0</v>
      </c>
      <c r="F10" s="1">
        <v>0</v>
      </c>
      <c r="G10" s="1">
        <v>0</v>
      </c>
      <c r="I10" s="1">
        <v>74</v>
      </c>
      <c r="J10" s="1">
        <v>2</v>
      </c>
      <c r="K10" s="1">
        <v>0</v>
      </c>
      <c r="L10" s="1">
        <v>0</v>
      </c>
      <c r="M10" s="1">
        <v>0</v>
      </c>
      <c r="O10" s="9">
        <f t="shared" si="0"/>
        <v>0.14919354838709678</v>
      </c>
      <c r="P10" s="9">
        <f t="shared" si="1"/>
        <v>0.15384615384615385</v>
      </c>
      <c r="Q10" s="9">
        <f t="shared" si="2"/>
        <v>0</v>
      </c>
      <c r="R10" s="9">
        <f t="shared" si="3"/>
        <v>0</v>
      </c>
      <c r="S10" s="9">
        <f t="shared" si="4"/>
        <v>0</v>
      </c>
      <c r="T10" s="9"/>
      <c r="U10" s="9">
        <f t="shared" si="13"/>
        <v>0.15114235500878734</v>
      </c>
      <c r="V10" s="9"/>
      <c r="W10" s="10">
        <f t="shared" si="5"/>
        <v>0.98710615153788461</v>
      </c>
      <c r="X10" s="10">
        <f t="shared" si="5"/>
        <v>1.0178890876565296</v>
      </c>
      <c r="Y10" s="10">
        <f t="shared" si="5"/>
        <v>0</v>
      </c>
      <c r="Z10" s="10">
        <f t="shared" si="5"/>
        <v>0</v>
      </c>
      <c r="AA10" s="10">
        <f t="shared" si="5"/>
        <v>0</v>
      </c>
      <c r="AB10" s="10">
        <f t="shared" si="6"/>
        <v>1.0178890876565296</v>
      </c>
      <c r="AC10" s="42">
        <f t="shared" si="9"/>
        <v>13</v>
      </c>
      <c r="AD10" s="42" t="str">
        <f t="shared" si="10"/>
        <v>4</v>
      </c>
      <c r="AE10" s="10">
        <f>IF(C10&gt;0,((I10*((3*86)+C10))/(4*C10*86))*(1-(C10-I10)/(569-86)),0)</f>
        <v>4.1299581494752588E-2</v>
      </c>
      <c r="AF10" s="10">
        <f>IF(D10&gt;0,((J10*((3*86)+D10))/(4*D10*86))*(1-(D10-J10)/(569-86)),0)</f>
        <v>0.11843835301873724</v>
      </c>
      <c r="AG10" s="10">
        <f>IF(E10&gt;0,((K10*((3*86)+E10))/(4*E10*86))*(1-(E10-K10)/(569-86)),0)</f>
        <v>0</v>
      </c>
      <c r="AH10" s="10">
        <f>IF(F10&gt;0,((L10*((3*86)+F10))/(4*F10*86))*(1-(F10-L10)/(569-86)),0)</f>
        <v>0</v>
      </c>
      <c r="AI10" s="10">
        <f>IF(G10&gt;0,((M10*((3*86)+G10))/(4*G10*86))*(1-(G10-M10)/(569-86)),0)</f>
        <v>0</v>
      </c>
      <c r="AJ10" s="9"/>
      <c r="AR10" s="1" t="s">
        <v>40</v>
      </c>
    </row>
    <row r="11" spans="1:61" x14ac:dyDescent="0.3">
      <c r="A11" s="31" t="s">
        <v>54</v>
      </c>
      <c r="B11" t="s">
        <v>27</v>
      </c>
      <c r="C11">
        <v>539</v>
      </c>
      <c r="D11">
        <v>126</v>
      </c>
      <c r="E11">
        <v>3</v>
      </c>
      <c r="F11">
        <v>0</v>
      </c>
      <c r="G11">
        <v>0</v>
      </c>
      <c r="I11">
        <v>81</v>
      </c>
      <c r="J11">
        <v>16</v>
      </c>
      <c r="K11">
        <v>0</v>
      </c>
      <c r="L11">
        <v>0</v>
      </c>
      <c r="M11">
        <v>0</v>
      </c>
      <c r="O11" s="27">
        <f t="shared" si="0"/>
        <v>0.150278293135436</v>
      </c>
      <c r="P11" s="27">
        <f t="shared" si="1"/>
        <v>0.12698412698412698</v>
      </c>
      <c r="Q11" s="27">
        <f t="shared" si="2"/>
        <v>0</v>
      </c>
      <c r="R11" s="27">
        <f t="shared" si="3"/>
        <v>0</v>
      </c>
      <c r="S11" s="27">
        <f t="shared" si="4"/>
        <v>0</v>
      </c>
      <c r="T11" s="27"/>
      <c r="U11" s="27">
        <f t="shared" si="13"/>
        <v>0.15114235500878734</v>
      </c>
      <c r="V11" s="27"/>
      <c r="W11" s="28">
        <f t="shared" ref="W11:Y18" si="14">IF(O11&gt;0, O11/$U11, 0)</f>
        <v>0.99428312551236153</v>
      </c>
      <c r="X11" s="28">
        <f t="shared" si="14"/>
        <v>0.84016242155777043</v>
      </c>
      <c r="Y11" s="28">
        <f t="shared" si="14"/>
        <v>0</v>
      </c>
      <c r="Z11" s="28">
        <f t="shared" ref="Z11:Z54" si="15">R11/$U11</f>
        <v>0</v>
      </c>
      <c r="AA11" s="28">
        <f t="shared" ref="AA11:AA54" si="16">S11/$U11</f>
        <v>0</v>
      </c>
      <c r="AB11" s="28">
        <f t="shared" si="6"/>
        <v>0.99428312551236153</v>
      </c>
      <c r="AC11" s="39">
        <f t="shared" si="9"/>
        <v>539</v>
      </c>
      <c r="AD11" s="39" t="str">
        <f t="shared" si="10"/>
        <v>3</v>
      </c>
      <c r="AE11" s="28">
        <f>IF(C11&gt;0,((I11*((3*86)+C11))/(4*C11*86))*(1-(C11-I11)/(569-86)),0)</f>
        <v>1.8021420089577998E-2</v>
      </c>
      <c r="AF11" s="28">
        <f>IF(D11&gt;0,((J11*((3*86)+D11))/(4*D11*86))*(1-(D11-J11)/(569-86)),0)</f>
        <v>0.10946717750126675</v>
      </c>
      <c r="AG11" s="28">
        <f>IF(E11&gt;0,((K11*((3*86)+E11))/(4*E11*86))*(1-(E11-K11)/(569-86)),0)</f>
        <v>0</v>
      </c>
      <c r="AH11" s="28">
        <f>IF(F11&gt;0,((L11*((3*86)+F11))/(4*F11*86))*(1-(F11-L11)/(569-86)),0)</f>
        <v>0</v>
      </c>
      <c r="AI11" s="28">
        <f>IF(G11&gt;0,((M11*((3*86)+G11))/(4*G11*86))*(1-(G11-M11)/(569-86)),0)</f>
        <v>0</v>
      </c>
      <c r="AJ11" s="2"/>
      <c r="AR11" t="s">
        <v>27</v>
      </c>
      <c r="AS11" s="5">
        <f>MAX(W3,W7,W11,W15,W19,W23,W27,W31)</f>
        <v>1.0322390278020634</v>
      </c>
      <c r="AT11" s="5">
        <f>MAX(X3,X7,X11,X15,X19,X23,X27,X31)</f>
        <v>1.0495388669301711</v>
      </c>
      <c r="AU11" s="5">
        <f>MAX(Y3,Y7,Y11,Y15,Y19,Y23,Y27,Y31)</f>
        <v>2.2054263565891472</v>
      </c>
      <c r="AV11" s="5">
        <f>MAX(Z3,Z7,Z11,Z15,Z19,Z23,Z27,Z31)</f>
        <v>4.4627450980392158</v>
      </c>
      <c r="AW11" s="5">
        <f>MAX(AA3,AA7,AA11,AA15,AA19,AA23,AA27,AA31)</f>
        <v>0</v>
      </c>
      <c r="AX11" s="5"/>
    </row>
    <row r="12" spans="1:61" x14ac:dyDescent="0.3">
      <c r="A12" s="31" t="s">
        <v>54</v>
      </c>
      <c r="B12" t="s">
        <v>28</v>
      </c>
      <c r="C12">
        <v>21</v>
      </c>
      <c r="D12">
        <v>2</v>
      </c>
      <c r="E12">
        <v>0</v>
      </c>
      <c r="F12">
        <v>0</v>
      </c>
      <c r="G12">
        <v>0</v>
      </c>
      <c r="I12">
        <v>2</v>
      </c>
      <c r="J12">
        <v>0</v>
      </c>
      <c r="K12">
        <v>0</v>
      </c>
      <c r="L12">
        <v>0</v>
      </c>
      <c r="M12">
        <v>0</v>
      </c>
      <c r="O12" s="27">
        <f t="shared" si="0"/>
        <v>9.5238095238095233E-2</v>
      </c>
      <c r="P12" s="27">
        <f t="shared" si="1"/>
        <v>0</v>
      </c>
      <c r="Q12" s="27">
        <f t="shared" si="2"/>
        <v>0</v>
      </c>
      <c r="R12" s="27">
        <f t="shared" si="3"/>
        <v>0</v>
      </c>
      <c r="S12" s="27">
        <f t="shared" si="4"/>
        <v>0</v>
      </c>
      <c r="T12" s="27"/>
      <c r="U12" s="27">
        <f t="shared" si="13"/>
        <v>0.15114235500878734</v>
      </c>
      <c r="V12" s="27"/>
      <c r="W12" s="28">
        <f t="shared" si="14"/>
        <v>0.63012181616832774</v>
      </c>
      <c r="X12" s="28">
        <f t="shared" si="14"/>
        <v>0</v>
      </c>
      <c r="Y12" s="28">
        <f t="shared" si="14"/>
        <v>0</v>
      </c>
      <c r="Z12" s="28">
        <f t="shared" si="15"/>
        <v>0</v>
      </c>
      <c r="AA12" s="28">
        <f t="shared" si="16"/>
        <v>0</v>
      </c>
      <c r="AB12" s="28">
        <f t="shared" si="6"/>
        <v>0.63012181616832774</v>
      </c>
      <c r="AC12" s="39">
        <f t="shared" si="9"/>
        <v>21</v>
      </c>
      <c r="AD12" s="39" t="str">
        <f t="shared" si="10"/>
        <v>3</v>
      </c>
      <c r="AE12" s="28">
        <f>IF(C12&gt;0,((I12*((3*86)+C12))/(4*C12*86))*(1-(C12-I12)/(569-86)),0)</f>
        <v>7.4203999092053413E-2</v>
      </c>
      <c r="AF12" s="28">
        <f>IF(D12&gt;0,((J12*((3*86)+D12))/(4*D12*86))*(1-(D12-J12)/(569-86)),0)</f>
        <v>0</v>
      </c>
      <c r="AG12" s="28">
        <f>IF(E12&gt;0,((K12*((3*86)+E12))/(4*E12*86))*(1-(E12-K12)/(569-86)),0)</f>
        <v>0</v>
      </c>
      <c r="AH12" s="28">
        <f>IF(F12&gt;0,((L12*((3*86)+F12))/(4*F12*86))*(1-(F12-L12)/(569-86)),0)</f>
        <v>0</v>
      </c>
      <c r="AI12" s="28">
        <f>IF(G12&gt;0,((M12*((3*86)+G12))/(4*G12*86))*(1-(G12-M12)/(569-86)),0)</f>
        <v>0</v>
      </c>
      <c r="AJ12" s="2"/>
      <c r="AR12" t="s">
        <v>28</v>
      </c>
      <c r="AS12" s="8">
        <f>MAX(W4,W8,W12,W16,W20,W24,W28,W32)</f>
        <v>2.6342592592592591</v>
      </c>
      <c r="AT12" s="8">
        <f>MAX(X4,X8,X12,X16,X20,X24,X28,X32)</f>
        <v>1.4034531360112756</v>
      </c>
      <c r="AU12" s="8">
        <f>MAX(Y4,Y8,Y12,Y16,Y20,Y24,Y28,Y32)</f>
        <v>8.2463768115942031</v>
      </c>
      <c r="AV12" s="5">
        <f>MAX(Z4,Z8,Z12,Z16,Z20,Z24,Z28,Z32)</f>
        <v>0</v>
      </c>
      <c r="AW12" s="5">
        <f>MAX(AA4,AA8,AA12,AA16,AA20,AA24,AA28,AA32)</f>
        <v>0</v>
      </c>
      <c r="AX12" s="5"/>
    </row>
    <row r="13" spans="1:61" x14ac:dyDescent="0.3">
      <c r="A13" s="31" t="s">
        <v>54</v>
      </c>
      <c r="B13" t="s">
        <v>29</v>
      </c>
      <c r="C13">
        <v>519</v>
      </c>
      <c r="D13">
        <v>253</v>
      </c>
      <c r="E13">
        <v>36</v>
      </c>
      <c r="F13">
        <v>5</v>
      </c>
      <c r="G13">
        <v>0</v>
      </c>
      <c r="I13">
        <v>75</v>
      </c>
      <c r="J13">
        <v>39</v>
      </c>
      <c r="K13">
        <v>8</v>
      </c>
      <c r="L13">
        <v>0</v>
      </c>
      <c r="M13">
        <v>0</v>
      </c>
      <c r="O13" s="27">
        <f t="shared" si="0"/>
        <v>0.14450867052023122</v>
      </c>
      <c r="P13" s="27">
        <f t="shared" si="1"/>
        <v>0.1541501976284585</v>
      </c>
      <c r="Q13" s="27">
        <f t="shared" si="2"/>
        <v>0.22222222222222221</v>
      </c>
      <c r="R13" s="27">
        <f t="shared" si="3"/>
        <v>0</v>
      </c>
      <c r="S13" s="27">
        <f t="shared" si="4"/>
        <v>0</v>
      </c>
      <c r="T13" s="27"/>
      <c r="U13" s="27">
        <f t="shared" si="13"/>
        <v>0.15114235500878734</v>
      </c>
      <c r="V13" s="27"/>
      <c r="W13" s="28">
        <f t="shared" si="14"/>
        <v>0.9561096921629253</v>
      </c>
      <c r="X13" s="28">
        <f t="shared" si="14"/>
        <v>1.0199007261696849</v>
      </c>
      <c r="Y13" s="28">
        <f t="shared" si="14"/>
        <v>1.4702842377260983</v>
      </c>
      <c r="Z13" s="28">
        <f t="shared" si="15"/>
        <v>0</v>
      </c>
      <c r="AA13" s="28">
        <f t="shared" si="16"/>
        <v>0</v>
      </c>
      <c r="AB13" s="28">
        <f t="shared" si="6"/>
        <v>1.4702842377260983</v>
      </c>
      <c r="AC13" s="39">
        <f t="shared" si="9"/>
        <v>36</v>
      </c>
      <c r="AD13" s="39" t="str">
        <f t="shared" si="10"/>
        <v>5</v>
      </c>
      <c r="AE13" s="28">
        <f>IF(C13&gt;0,((I13*((3*86)+C13))/(4*C13*86))*(1-(C13-I13)/(569-86)),0)</f>
        <v>2.6355663746295974E-2</v>
      </c>
      <c r="AF13" s="28">
        <f>IF(D13&gt;0,((J13*((3*86)+D13))/(4*D13*86))*(1-(D13-J13)/(569-86)),0)</f>
        <v>0.12752980413001516</v>
      </c>
      <c r="AG13" s="28">
        <f>IF(E13&gt;0,((K13*((3*86)+E13))/(4*E13*86))*(1-(E13-K13)/(569-86)),0)</f>
        <v>0.17891248174362431</v>
      </c>
      <c r="AH13" s="28">
        <f>IF(F13&gt;0,((L13*((3*86)+F13))/(4*F13*86))*(1-(F13-L13)/(569-86)),0)</f>
        <v>0</v>
      </c>
      <c r="AI13" s="28">
        <f>IF(G13&gt;0,((M13*((3*86)+G13))/(4*G13*86))*(1-(G13-M13)/(569-86)),0)</f>
        <v>0</v>
      </c>
      <c r="AJ13" s="2"/>
      <c r="AR13" t="s">
        <v>29</v>
      </c>
      <c r="AS13" s="8">
        <f>MAX(W5,W9,W13,W17,W21,W25,W29,W33)</f>
        <v>1.0142602495543671</v>
      </c>
      <c r="AT13" s="8">
        <f>MAX(X5,X9,X13,X17,X21,X25,X29,X33)</f>
        <v>1.0215106410758585</v>
      </c>
      <c r="AU13" s="8">
        <f>MAX(Y5,Y9,Y13,Y17,Y21,Y25,Y29,Y33)</f>
        <v>2.3385247674670127</v>
      </c>
      <c r="AV13" s="5">
        <f>MAX(Z5,Z9,Z13,Z17,Z21,Z25,Z29,Z33)</f>
        <v>0</v>
      </c>
      <c r="AW13" s="5">
        <f>MAX(AA5,AA9,AA13,AA17,AA21,AA25,AA29,AA33)</f>
        <v>0</v>
      </c>
      <c r="AX13" s="5"/>
    </row>
    <row r="14" spans="1:61" s="1" customFormat="1" x14ac:dyDescent="0.3">
      <c r="A14" s="31" t="s">
        <v>54</v>
      </c>
      <c r="B14" s="1" t="s">
        <v>30</v>
      </c>
      <c r="C14" s="1">
        <v>500</v>
      </c>
      <c r="D14" s="1">
        <v>9</v>
      </c>
      <c r="E14" s="1">
        <v>0</v>
      </c>
      <c r="F14" s="1">
        <v>0</v>
      </c>
      <c r="G14" s="1">
        <v>0</v>
      </c>
      <c r="I14" s="1">
        <v>75</v>
      </c>
      <c r="J14" s="1">
        <v>0</v>
      </c>
      <c r="K14" s="1">
        <v>0</v>
      </c>
      <c r="L14" s="1">
        <v>0</v>
      </c>
      <c r="M14" s="1">
        <v>0</v>
      </c>
      <c r="O14" s="29">
        <f t="shared" si="0"/>
        <v>0.15</v>
      </c>
      <c r="P14" s="29">
        <f t="shared" si="1"/>
        <v>0</v>
      </c>
      <c r="Q14" s="29">
        <f t="shared" si="2"/>
        <v>0</v>
      </c>
      <c r="R14" s="29">
        <f t="shared" si="3"/>
        <v>0</v>
      </c>
      <c r="S14" s="29">
        <f t="shared" si="4"/>
        <v>0</v>
      </c>
      <c r="T14" s="29"/>
      <c r="U14" s="29">
        <f t="shared" si="13"/>
        <v>0.15114235500878734</v>
      </c>
      <c r="V14" s="29"/>
      <c r="W14" s="30">
        <f t="shared" si="14"/>
        <v>0.99244186046511629</v>
      </c>
      <c r="X14" s="30">
        <f t="shared" si="14"/>
        <v>0</v>
      </c>
      <c r="Y14" s="30">
        <f t="shared" si="14"/>
        <v>0</v>
      </c>
      <c r="Z14" s="30">
        <f t="shared" si="15"/>
        <v>0</v>
      </c>
      <c r="AA14" s="30">
        <f t="shared" si="16"/>
        <v>0</v>
      </c>
      <c r="AB14" s="30">
        <f t="shared" si="6"/>
        <v>0.99244186046511629</v>
      </c>
      <c r="AC14" s="40">
        <f t="shared" si="9"/>
        <v>500</v>
      </c>
      <c r="AD14" s="40" t="str">
        <f t="shared" si="10"/>
        <v>3</v>
      </c>
      <c r="AE14" s="30">
        <f>IF(C14&gt;0,((I14*((3*86)+C14))/(4*C14*86))*(1-(C14-I14)/(569-86)),0)</f>
        <v>3.9690163224035832E-2</v>
      </c>
      <c r="AF14" s="30">
        <f>IF(D14&gt;0,((J14*((3*86)+D14))/(4*D14*86))*(1-(D14-J14)/(569-86)),0)</f>
        <v>0</v>
      </c>
      <c r="AG14" s="30">
        <f>IF(E14&gt;0,((K14*((3*86)+E14))/(4*E14*86))*(1-(E14-K14)/(569-86)),0)</f>
        <v>0</v>
      </c>
      <c r="AH14" s="30">
        <f>IF(F14&gt;0,((L14*((3*86)+F14))/(4*F14*86))*(1-(F14-L14)/(569-86)),0)</f>
        <v>0</v>
      </c>
      <c r="AI14" s="30">
        <f>IF(G14&gt;0,((M14*((3*86)+G14))/(4*G14*86))*(1-(G14-M14)/(569-86)),0)</f>
        <v>0</v>
      </c>
      <c r="AJ14" s="9"/>
      <c r="AR14" s="1" t="s">
        <v>30</v>
      </c>
      <c r="AS14" s="15">
        <f>MAX(W6,W10,W14,W18,W22,W26,W30,W34)</f>
        <v>1.7008152173913045</v>
      </c>
      <c r="AT14" s="15">
        <f>MAX(X6,X10,X14,X18,X22,X26,X30,X34)</f>
        <v>1.5858416945373468</v>
      </c>
      <c r="AU14" s="15">
        <f>MAX(Y6,Y10,Y14,Y18,Y22,Y26,Y30,Y34)</f>
        <v>4.3769230769230774</v>
      </c>
      <c r="AV14" s="14">
        <f>MAX(Z6,Z10,Z14,Z18,Z22,Z26,Z30,Z34)</f>
        <v>0</v>
      </c>
      <c r="AW14" s="14">
        <f>MAX(AA6,AA10,AA14,AA18,AA22,AA26,AA30,AA34)</f>
        <v>0</v>
      </c>
      <c r="AX14" s="14"/>
    </row>
    <row r="15" spans="1:61" x14ac:dyDescent="0.3">
      <c r="A15" s="31" t="s">
        <v>31</v>
      </c>
      <c r="B15" t="s">
        <v>27</v>
      </c>
      <c r="C15">
        <v>564</v>
      </c>
      <c r="D15">
        <v>424</v>
      </c>
      <c r="E15">
        <v>51</v>
      </c>
      <c r="F15">
        <v>0</v>
      </c>
      <c r="G15">
        <v>0</v>
      </c>
      <c r="I15">
        <v>27</v>
      </c>
      <c r="J15">
        <v>19</v>
      </c>
      <c r="K15">
        <v>2</v>
      </c>
      <c r="L15">
        <v>0</v>
      </c>
      <c r="M15">
        <v>0</v>
      </c>
      <c r="O15" s="2">
        <f t="shared" si="0"/>
        <v>4.7872340425531915E-2</v>
      </c>
      <c r="P15" s="2">
        <f t="shared" si="1"/>
        <v>4.4811320754716978E-2</v>
      </c>
      <c r="Q15" s="2">
        <f t="shared" si="2"/>
        <v>3.9215686274509803E-2</v>
      </c>
      <c r="R15" s="2">
        <f t="shared" si="3"/>
        <v>0</v>
      </c>
      <c r="S15" s="2">
        <f t="shared" si="4"/>
        <v>0</v>
      </c>
      <c r="T15" s="2"/>
      <c r="U15" s="2">
        <f>29/569</f>
        <v>5.0966608084358524E-2</v>
      </c>
      <c r="V15" s="2"/>
      <c r="W15" s="3">
        <f t="shared" si="14"/>
        <v>0.93928833455612615</v>
      </c>
      <c r="X15" s="3">
        <f t="shared" si="14"/>
        <v>0.87922901756668825</v>
      </c>
      <c r="Y15" s="3">
        <f t="shared" si="14"/>
        <v>0.76943881000676129</v>
      </c>
      <c r="Z15" s="3">
        <f t="shared" si="15"/>
        <v>0</v>
      </c>
      <c r="AA15" s="3">
        <f t="shared" si="16"/>
        <v>0</v>
      </c>
      <c r="AB15" s="3">
        <f t="shared" si="6"/>
        <v>0.93928833455612615</v>
      </c>
      <c r="AC15" s="41">
        <f t="shared" si="9"/>
        <v>564</v>
      </c>
      <c r="AD15" s="41" t="str">
        <f t="shared" si="10"/>
        <v>3</v>
      </c>
      <c r="AE15" s="3">
        <f>IF(C15&gt;0,((I15*((3*29)+C15))/(4*C15*29))*(1-(C15-I15)/(569-29)),0)</f>
        <v>1.4925715333822399E-3</v>
      </c>
      <c r="AF15" s="3">
        <f>IF(D15&gt;0,((J15*((3*29)+D15))/(4*D15*29))*(1-(D15-J15)/(569-29)),0)</f>
        <v>4.9350398503578398E-2</v>
      </c>
      <c r="AG15" s="3">
        <f>IF(E15&gt;0,((K15*((3*29)+E15))/(4*E15*29))*(1-(E15-K15)/(569-29)),0)</f>
        <v>4.2419803170310265E-2</v>
      </c>
      <c r="AH15" s="3">
        <f>IF(F15&gt;0,((L15*((3*29)+F15))/(4*F15*29))*(1-(F15-L15)/(569-29)),0)</f>
        <v>0</v>
      </c>
      <c r="AI15" s="3">
        <f>IF(G15&gt;0,((M15*((3*29)+G15))/(4*G15*29))*(1-(G15-M15)/(569-29)),0)</f>
        <v>0</v>
      </c>
      <c r="AJ15" s="2"/>
    </row>
    <row r="16" spans="1:61" x14ac:dyDescent="0.3">
      <c r="A16" s="31" t="s">
        <v>31</v>
      </c>
      <c r="B16" t="s">
        <v>28</v>
      </c>
      <c r="C16">
        <v>564</v>
      </c>
      <c r="D16">
        <v>351</v>
      </c>
      <c r="E16">
        <v>14</v>
      </c>
      <c r="F16">
        <v>0</v>
      </c>
      <c r="G16">
        <v>0</v>
      </c>
      <c r="I16">
        <v>29</v>
      </c>
      <c r="J16">
        <v>21</v>
      </c>
      <c r="K16">
        <v>3</v>
      </c>
      <c r="L16">
        <v>0</v>
      </c>
      <c r="M16">
        <v>0</v>
      </c>
      <c r="O16" s="2">
        <f t="shared" si="0"/>
        <v>5.1418439716312055E-2</v>
      </c>
      <c r="P16" s="2">
        <f t="shared" si="1"/>
        <v>5.9829059829059832E-2</v>
      </c>
      <c r="Q16" s="2">
        <f t="shared" si="2"/>
        <v>0.21428571428571427</v>
      </c>
      <c r="R16" s="2">
        <f t="shared" si="3"/>
        <v>0</v>
      </c>
      <c r="S16" s="2">
        <f t="shared" si="4"/>
        <v>0</v>
      </c>
      <c r="T16" s="2"/>
      <c r="U16" s="2">
        <f>29/569</f>
        <v>5.0966608084358524E-2</v>
      </c>
      <c r="V16" s="2"/>
      <c r="W16" s="3">
        <f t="shared" si="14"/>
        <v>1.0088652482269502</v>
      </c>
      <c r="X16" s="3">
        <f t="shared" si="14"/>
        <v>1.1738874152667256</v>
      </c>
      <c r="Y16" s="3">
        <f t="shared" si="14"/>
        <v>4.2044334975369457</v>
      </c>
      <c r="Z16" s="3">
        <f t="shared" si="15"/>
        <v>0</v>
      </c>
      <c r="AA16" s="3">
        <f t="shared" si="16"/>
        <v>0</v>
      </c>
      <c r="AB16" s="3">
        <f t="shared" si="6"/>
        <v>4.2044334975369457</v>
      </c>
      <c r="AC16" s="41">
        <f t="shared" si="9"/>
        <v>14</v>
      </c>
      <c r="AD16" s="41" t="str">
        <f t="shared" si="10"/>
        <v>5</v>
      </c>
      <c r="AE16" s="3">
        <f>IF(C16&gt;0,((I16*((3*29)+C16))/(4*C16*29))*(1-(C16-I16)/(569-29)),0)</f>
        <v>2.6718873128447717E-3</v>
      </c>
      <c r="AF16" s="3">
        <f>IF(D16&gt;0,((J16*((3*29)+D16))/(4*D16*29))*(1-(D16-J16)/(569-29)),0)</f>
        <v>8.7852441300717149E-2</v>
      </c>
      <c r="AG16" s="3">
        <f>IF(E16&gt;0,((K16*((3*29)+E16))/(4*E16*29))*(1-(E16-K16)/(569-29)),0)</f>
        <v>0.18277572523262178</v>
      </c>
      <c r="AH16" s="3">
        <f>IF(F16&gt;0,((L16*((3*29)+F16))/(4*F16*29))*(1-(F16-L16)/(569-29)),0)</f>
        <v>0</v>
      </c>
      <c r="AI16" s="3">
        <f>IF(G16&gt;0,((M16*((3*29)+G16))/(4*G16*29))*(1-(G16-M16)/(569-29)),0)</f>
        <v>0</v>
      </c>
      <c r="AJ16" s="2"/>
    </row>
    <row r="17" spans="1:71" x14ac:dyDescent="0.3">
      <c r="A17" s="31" t="s">
        <v>31</v>
      </c>
      <c r="B17" t="s">
        <v>29</v>
      </c>
      <c r="C17">
        <v>564</v>
      </c>
      <c r="D17">
        <v>424</v>
      </c>
      <c r="E17">
        <v>51</v>
      </c>
      <c r="F17">
        <v>0</v>
      </c>
      <c r="G17">
        <v>0</v>
      </c>
      <c r="I17">
        <v>27</v>
      </c>
      <c r="J17">
        <v>19</v>
      </c>
      <c r="K17">
        <v>2</v>
      </c>
      <c r="L17">
        <v>0</v>
      </c>
      <c r="M17">
        <v>0</v>
      </c>
      <c r="O17" s="2">
        <f t="shared" si="0"/>
        <v>4.7872340425531915E-2</v>
      </c>
      <c r="P17" s="2">
        <f t="shared" si="1"/>
        <v>4.4811320754716978E-2</v>
      </c>
      <c r="Q17" s="2">
        <f t="shared" si="2"/>
        <v>3.9215686274509803E-2</v>
      </c>
      <c r="R17" s="2">
        <f t="shared" si="3"/>
        <v>0</v>
      </c>
      <c r="S17" s="2">
        <f t="shared" si="4"/>
        <v>0</v>
      </c>
      <c r="T17" s="2"/>
      <c r="U17" s="2">
        <f>29/569</f>
        <v>5.0966608084358524E-2</v>
      </c>
      <c r="V17" s="2"/>
      <c r="W17" s="3">
        <f t="shared" si="14"/>
        <v>0.93928833455612615</v>
      </c>
      <c r="X17" s="3">
        <f t="shared" si="14"/>
        <v>0.87922901756668825</v>
      </c>
      <c r="Y17" s="3">
        <f t="shared" si="14"/>
        <v>0.76943881000676129</v>
      </c>
      <c r="Z17" s="3">
        <f t="shared" si="15"/>
        <v>0</v>
      </c>
      <c r="AA17" s="3">
        <f t="shared" si="16"/>
        <v>0</v>
      </c>
      <c r="AB17" s="3">
        <f t="shared" si="6"/>
        <v>0.93928833455612615</v>
      </c>
      <c r="AC17" s="41">
        <f t="shared" si="9"/>
        <v>564</v>
      </c>
      <c r="AD17" s="41" t="str">
        <f t="shared" si="10"/>
        <v>3</v>
      </c>
      <c r="AE17" s="3">
        <f>IF(C17&gt;0,((I17*((3*29)+C17))/(4*C17*29))*(1-(C17-I17)/(569-29)),0)</f>
        <v>1.4925715333822399E-3</v>
      </c>
      <c r="AF17" s="3">
        <f>IF(D17&gt;0,((J17*((3*29)+D17))/(4*D17*29))*(1-(D17-J17)/(569-29)),0)</f>
        <v>4.9350398503578398E-2</v>
      </c>
      <c r="AG17" s="3">
        <f>IF(E17&gt;0,((K17*((3*29)+E17))/(4*E17*29))*(1-(E17-K17)/(569-29)),0)</f>
        <v>4.2419803170310265E-2</v>
      </c>
      <c r="AH17" s="3">
        <f>IF(F17&gt;0,((L17*((3*29)+F17))/(4*F17*29))*(1-(F17-L17)/(569-29)),0)</f>
        <v>0</v>
      </c>
      <c r="AI17" s="3">
        <f>IF(G17&gt;0,((M17*((3*29)+G17))/(4*G17*29))*(1-(G17-M17)/(569-29)),0)</f>
        <v>0</v>
      </c>
      <c r="AJ17" s="2"/>
    </row>
    <row r="18" spans="1:71" s="1" customFormat="1" x14ac:dyDescent="0.3">
      <c r="A18" s="31" t="s">
        <v>31</v>
      </c>
      <c r="B18" s="1" t="s">
        <v>30</v>
      </c>
      <c r="C18" s="1">
        <v>557</v>
      </c>
      <c r="D18" s="1">
        <v>378</v>
      </c>
      <c r="E18" s="1">
        <v>0</v>
      </c>
      <c r="F18" s="1">
        <v>0</v>
      </c>
      <c r="G18" s="1">
        <v>0</v>
      </c>
      <c r="I18" s="1">
        <v>29</v>
      </c>
      <c r="J18" s="1">
        <v>22</v>
      </c>
      <c r="K18" s="1">
        <v>0</v>
      </c>
      <c r="L18" s="1">
        <v>0</v>
      </c>
      <c r="M18" s="1">
        <v>0</v>
      </c>
      <c r="O18" s="9">
        <f t="shared" si="0"/>
        <v>5.2064631956912029E-2</v>
      </c>
      <c r="P18" s="9">
        <f t="shared" si="1"/>
        <v>5.8201058201058198E-2</v>
      </c>
      <c r="Q18" s="9">
        <f t="shared" si="2"/>
        <v>0</v>
      </c>
      <c r="R18" s="9">
        <f t="shared" si="3"/>
        <v>0</v>
      </c>
      <c r="S18" s="9">
        <f t="shared" si="4"/>
        <v>0</v>
      </c>
      <c r="T18" s="9"/>
      <c r="U18" s="9">
        <f>29/569</f>
        <v>5.0966608084358524E-2</v>
      </c>
      <c r="V18" s="9"/>
      <c r="W18" s="10">
        <f t="shared" si="14"/>
        <v>1.0215439856373429</v>
      </c>
      <c r="X18" s="10">
        <f t="shared" si="14"/>
        <v>1.1419449005655902</v>
      </c>
      <c r="Y18" s="10">
        <f t="shared" si="14"/>
        <v>0</v>
      </c>
      <c r="Z18" s="10">
        <f t="shared" si="15"/>
        <v>0</v>
      </c>
      <c r="AA18" s="10">
        <f t="shared" si="16"/>
        <v>0</v>
      </c>
      <c r="AB18" s="10">
        <f t="shared" si="6"/>
        <v>1.1419449005655902</v>
      </c>
      <c r="AC18" s="42">
        <f t="shared" si="9"/>
        <v>378</v>
      </c>
      <c r="AD18" s="42" t="str">
        <f t="shared" si="10"/>
        <v>4</v>
      </c>
      <c r="AE18" s="10">
        <f>IF(C18&gt;0,((I18*((3*29)+C18))/(4*C18*29))*(1-(C18-I18)/(569-29)),0)</f>
        <v>6.4232994215040985E-3</v>
      </c>
      <c r="AF18" s="10">
        <f>IF(D18&gt;0,((J18*((3*29)+D18))/(4*D18*29))*(1-(D18-J18)/(569-29)),0)</f>
        <v>7.9496847696081424E-2</v>
      </c>
      <c r="AG18" s="10">
        <f>IF(E18&gt;0,((K18*((3*29)+E18))/(4*E18*29))*(1-(E18-K18)/(569-29)),0)</f>
        <v>0</v>
      </c>
      <c r="AH18" s="10">
        <f>IF(F18&gt;0,((L18*((3*29)+F18))/(4*F18*29))*(1-(F18-L18)/(569-29)),0)</f>
        <v>0</v>
      </c>
      <c r="AI18" s="10">
        <f>IF(G18&gt;0,((M18*((3*29)+G18))/(4*G18*29))*(1-(G18-M18)/(569-29)),0)</f>
        <v>0</v>
      </c>
      <c r="AJ18" s="9"/>
    </row>
    <row r="19" spans="1:71" x14ac:dyDescent="0.3">
      <c r="A19" s="31" t="s">
        <v>55</v>
      </c>
      <c r="B19" t="s">
        <v>27</v>
      </c>
      <c r="C19">
        <v>546</v>
      </c>
      <c r="D19">
        <v>246</v>
      </c>
      <c r="E19">
        <v>23</v>
      </c>
      <c r="F19">
        <v>0</v>
      </c>
      <c r="G19">
        <v>0</v>
      </c>
      <c r="I19">
        <v>29</v>
      </c>
      <c r="J19">
        <v>12</v>
      </c>
      <c r="K19">
        <v>2</v>
      </c>
      <c r="L19">
        <v>0</v>
      </c>
      <c r="M19">
        <v>0</v>
      </c>
      <c r="O19" s="27">
        <f t="shared" si="0"/>
        <v>5.3113553113553112E-2</v>
      </c>
      <c r="P19" s="27">
        <f t="shared" si="1"/>
        <v>4.878048780487805E-2</v>
      </c>
      <c r="Q19" s="27">
        <f t="shared" si="2"/>
        <v>8.6956521739130432E-2</v>
      </c>
      <c r="R19" s="27">
        <f t="shared" si="3"/>
        <v>0</v>
      </c>
      <c r="S19" s="27">
        <f t="shared" si="4"/>
        <v>0</v>
      </c>
      <c r="T19" s="27"/>
      <c r="U19" s="27">
        <f>32/569</f>
        <v>5.6239015817223195E-2</v>
      </c>
      <c r="V19" s="27"/>
      <c r="W19" s="28">
        <f t="shared" ref="W19:W54" si="17">O19/$U19</f>
        <v>0.94442536630036633</v>
      </c>
      <c r="X19" s="28">
        <f t="shared" ref="X19:X54" si="18">P19/$U19</f>
        <v>0.86737804878048785</v>
      </c>
      <c r="Y19" s="28">
        <f t="shared" ref="Y19:Y54" si="19">Q19/$U19</f>
        <v>1.5461956521739131</v>
      </c>
      <c r="Z19" s="28">
        <f t="shared" si="15"/>
        <v>0</v>
      </c>
      <c r="AA19" s="28">
        <f t="shared" si="16"/>
        <v>0</v>
      </c>
      <c r="AB19" s="28">
        <f t="shared" si="6"/>
        <v>1.5461956521739131</v>
      </c>
      <c r="AC19" s="39">
        <f t="shared" si="9"/>
        <v>23</v>
      </c>
      <c r="AD19" s="39" t="str">
        <f t="shared" si="10"/>
        <v>5</v>
      </c>
      <c r="AE19" s="28">
        <f>IF(C19&gt;0,((I19*((3*32)+C19))/(4*C19*32))*(1-(C19-I19)/(569-32)),0)</f>
        <v>9.9217007387398352E-3</v>
      </c>
      <c r="AF19" s="28">
        <f>IF(D19&gt;0,((J19*((3*32)+D19))/(4*D19*32))*(1-(D19-J19)/(569-32)),0)</f>
        <v>7.3541184085025219E-2</v>
      </c>
      <c r="AG19" s="28">
        <f>IF(E19&gt;0,((K19*((3*32)+E19))/(4*E19*32))*(1-(E19-K19)/(569-32)),0)</f>
        <v>7.768095700752975E-2</v>
      </c>
      <c r="AH19" s="28">
        <f>IF(F19&gt;0,((L19*((3*32)+F19))/(4*F19*32))*(1-(F19-L19)/(569-32)),0)</f>
        <v>0</v>
      </c>
      <c r="AI19" s="28">
        <f>IF(G19&gt;0,((M19*((3*32)+G19))/(4*G19*32))*(1-(G19-M19)/(569-32)),0)</f>
        <v>0</v>
      </c>
      <c r="AJ19" s="2"/>
      <c r="AR19" t="s">
        <v>27</v>
      </c>
      <c r="AT19" s="5"/>
    </row>
    <row r="20" spans="1:71" x14ac:dyDescent="0.3">
      <c r="A20" s="31" t="s">
        <v>55</v>
      </c>
      <c r="B20" t="s">
        <v>28</v>
      </c>
      <c r="C20">
        <v>27</v>
      </c>
      <c r="D20">
        <v>0</v>
      </c>
      <c r="E20">
        <v>0</v>
      </c>
      <c r="F20">
        <v>0</v>
      </c>
      <c r="G20">
        <v>0</v>
      </c>
      <c r="I20">
        <v>4</v>
      </c>
      <c r="J20">
        <v>0</v>
      </c>
      <c r="K20">
        <v>0</v>
      </c>
      <c r="L20">
        <v>0</v>
      </c>
      <c r="M20">
        <v>0</v>
      </c>
      <c r="O20" s="27">
        <f t="shared" si="0"/>
        <v>0.14814814814814814</v>
      </c>
      <c r="P20" s="27">
        <f t="shared" si="1"/>
        <v>0</v>
      </c>
      <c r="Q20" s="27">
        <f t="shared" si="2"/>
        <v>0</v>
      </c>
      <c r="R20" s="27">
        <f t="shared" si="3"/>
        <v>0</v>
      </c>
      <c r="S20" s="27">
        <f t="shared" si="4"/>
        <v>0</v>
      </c>
      <c r="T20" s="27"/>
      <c r="U20" s="27">
        <f>32/569</f>
        <v>5.6239015817223195E-2</v>
      </c>
      <c r="V20" s="27"/>
      <c r="W20" s="28">
        <f t="shared" si="17"/>
        <v>2.6342592592592591</v>
      </c>
      <c r="X20" s="28">
        <f t="shared" si="18"/>
        <v>0</v>
      </c>
      <c r="Y20" s="28">
        <f t="shared" si="19"/>
        <v>0</v>
      </c>
      <c r="Z20" s="28">
        <f t="shared" si="15"/>
        <v>0</v>
      </c>
      <c r="AA20" s="28">
        <f t="shared" si="16"/>
        <v>0</v>
      </c>
      <c r="AB20" s="28">
        <f t="shared" si="6"/>
        <v>2.6342592592592591</v>
      </c>
      <c r="AC20" s="39">
        <f t="shared" si="9"/>
        <v>27</v>
      </c>
      <c r="AD20" s="39" t="str">
        <f t="shared" si="10"/>
        <v>3</v>
      </c>
      <c r="AE20" s="28">
        <f>IF(C20&gt;0,((I20*((3*32)+C20))/(4*C20*32))*(1-(C20-I20)/(569-32)),0)</f>
        <v>0.13626370784192013</v>
      </c>
      <c r="AF20" s="28">
        <f>IF(D20&gt;0,((J20*((3*32)+D20))/(4*D20*32))*(1-(D20-J20)/(569-32)),0)</f>
        <v>0</v>
      </c>
      <c r="AG20" s="28">
        <f>IF(E20&gt;0,((K20*((3*32)+E20))/(4*E20*32))*(1-(E20-K20)/(569-32)),0)</f>
        <v>0</v>
      </c>
      <c r="AH20" s="28">
        <f>IF(F20&gt;0,((L20*((3*32)+F20))/(4*F20*32))*(1-(F20-L20)/(569-32)),0)</f>
        <v>0</v>
      </c>
      <c r="AI20" s="28">
        <f>IF(G20&gt;0,((M20*((3*32)+G20))/(4*G20*32))*(1-(G20-M20)/(569-32)),0)</f>
        <v>0</v>
      </c>
      <c r="AJ20" s="2"/>
      <c r="AR20" t="s">
        <v>28</v>
      </c>
    </row>
    <row r="21" spans="1:71" x14ac:dyDescent="0.3">
      <c r="A21" s="31" t="s">
        <v>55</v>
      </c>
      <c r="B21" t="s">
        <v>29</v>
      </c>
      <c r="C21">
        <v>547</v>
      </c>
      <c r="D21">
        <v>248</v>
      </c>
      <c r="E21">
        <v>16</v>
      </c>
      <c r="F21">
        <v>0</v>
      </c>
      <c r="G21">
        <v>0</v>
      </c>
      <c r="I21">
        <v>28</v>
      </c>
      <c r="J21">
        <v>12</v>
      </c>
      <c r="K21">
        <v>0</v>
      </c>
      <c r="L21">
        <v>0</v>
      </c>
      <c r="M21">
        <v>0</v>
      </c>
      <c r="O21" s="27">
        <f t="shared" si="0"/>
        <v>5.1188299817184646E-2</v>
      </c>
      <c r="P21" s="27">
        <f t="shared" si="1"/>
        <v>4.8387096774193547E-2</v>
      </c>
      <c r="Q21" s="27">
        <f t="shared" si="2"/>
        <v>0</v>
      </c>
      <c r="R21" s="27">
        <f t="shared" si="3"/>
        <v>0</v>
      </c>
      <c r="S21" s="27">
        <f t="shared" si="4"/>
        <v>0</v>
      </c>
      <c r="T21" s="27"/>
      <c r="U21" s="27">
        <f>32/569</f>
        <v>5.6239015817223195E-2</v>
      </c>
      <c r="V21" s="27"/>
      <c r="W21" s="28">
        <f t="shared" si="17"/>
        <v>0.91019195612431458</v>
      </c>
      <c r="X21" s="28">
        <f t="shared" si="18"/>
        <v>0.86038306451612911</v>
      </c>
      <c r="Y21" s="28">
        <f t="shared" si="19"/>
        <v>0</v>
      </c>
      <c r="Z21" s="28">
        <f t="shared" si="15"/>
        <v>0</v>
      </c>
      <c r="AA21" s="28">
        <f t="shared" si="16"/>
        <v>0</v>
      </c>
      <c r="AB21" s="28">
        <f t="shared" si="6"/>
        <v>0.91019195612431458</v>
      </c>
      <c r="AC21" s="39">
        <f t="shared" si="9"/>
        <v>547</v>
      </c>
      <c r="AD21" s="39" t="str">
        <f t="shared" si="10"/>
        <v>3</v>
      </c>
      <c r="AE21" s="28">
        <f>IF(C21&gt;0,((I21*((3*32)+C21))/(4*C21*32))*(1-(C21-I21)/(569-32)),0)</f>
        <v>8.6192589339515596E-3</v>
      </c>
      <c r="AF21" s="28">
        <f>IF(D21&gt;0,((J21*((3*32)+D21))/(4*D21*32))*(1-(D21-J21)/(569-32)),0)</f>
        <v>7.2890385655072984E-2</v>
      </c>
      <c r="AG21" s="28">
        <f>IF(E21&gt;0,((K21*((3*32)+E21))/(4*E21*32))*(1-(E21-K21)/(569-32)),0)</f>
        <v>0</v>
      </c>
      <c r="AH21" s="28">
        <f>IF(F21&gt;0,((L21*((3*32)+F21))/(4*F21*32))*(1-(F21-L21)/(569-32)),0)</f>
        <v>0</v>
      </c>
      <c r="AI21" s="28">
        <f>IF(G21&gt;0,((M21*((3*32)+G21))/(4*G21*32))*(1-(G21-M21)/(569-32)),0)</f>
        <v>0</v>
      </c>
      <c r="AJ21" s="2"/>
      <c r="AR21" t="s">
        <v>29</v>
      </c>
    </row>
    <row r="22" spans="1:71" s="1" customFormat="1" x14ac:dyDescent="0.3">
      <c r="A22" s="31" t="s">
        <v>55</v>
      </c>
      <c r="B22" s="1" t="s">
        <v>30</v>
      </c>
      <c r="C22" s="1">
        <v>115</v>
      </c>
      <c r="D22" s="1">
        <v>10</v>
      </c>
      <c r="E22" s="1">
        <v>0</v>
      </c>
      <c r="F22" s="1">
        <v>0</v>
      </c>
      <c r="G22" s="1">
        <v>0</v>
      </c>
      <c r="I22" s="1">
        <v>11</v>
      </c>
      <c r="J22" s="1">
        <v>0</v>
      </c>
      <c r="K22" s="1">
        <v>0</v>
      </c>
      <c r="L22" s="1">
        <v>0</v>
      </c>
      <c r="M22" s="1">
        <v>0</v>
      </c>
      <c r="O22" s="29">
        <f t="shared" si="0"/>
        <v>9.5652173913043481E-2</v>
      </c>
      <c r="P22" s="29">
        <f t="shared" si="1"/>
        <v>0</v>
      </c>
      <c r="Q22" s="29">
        <f t="shared" si="2"/>
        <v>0</v>
      </c>
      <c r="R22" s="29">
        <f t="shared" si="3"/>
        <v>0</v>
      </c>
      <c r="S22" s="29">
        <f t="shared" si="4"/>
        <v>0</v>
      </c>
      <c r="T22" s="29"/>
      <c r="U22" s="29">
        <f>32/569</f>
        <v>5.6239015817223195E-2</v>
      </c>
      <c r="V22" s="29"/>
      <c r="W22" s="30">
        <f t="shared" si="17"/>
        <v>1.7008152173913045</v>
      </c>
      <c r="X22" s="30">
        <f t="shared" si="18"/>
        <v>0</v>
      </c>
      <c r="Y22" s="30">
        <f t="shared" si="19"/>
        <v>0</v>
      </c>
      <c r="Z22" s="30">
        <f t="shared" si="15"/>
        <v>0</v>
      </c>
      <c r="AA22" s="30">
        <f t="shared" si="16"/>
        <v>0</v>
      </c>
      <c r="AB22" s="30">
        <f t="shared" si="6"/>
        <v>1.7008152173913045</v>
      </c>
      <c r="AC22" s="40">
        <f t="shared" si="9"/>
        <v>115</v>
      </c>
      <c r="AD22" s="40" t="str">
        <f t="shared" si="10"/>
        <v>3</v>
      </c>
      <c r="AE22" s="30">
        <f>IF(C22&gt;0,((I22*((3*32)+C22))/(4*C22*32))*(1-(C22-I22)/(569-32)),0)</f>
        <v>0.12713962938223625</v>
      </c>
      <c r="AF22" s="30">
        <f>IF(D22&gt;0,((J22*((3*32)+D22))/(4*D22*32))*(1-(D22-J22)/(569-32)),0)</f>
        <v>0</v>
      </c>
      <c r="AG22" s="30">
        <f>IF(E22&gt;0,((K22*((3*32)+E22))/(4*E22*32))*(1-(E22-K22)/(569-32)),0)</f>
        <v>0</v>
      </c>
      <c r="AH22" s="30">
        <f>IF(F22&gt;0,((L22*((3*32)+F22))/(4*F22*32))*(1-(F22-L22)/(569-32)),0)</f>
        <v>0</v>
      </c>
      <c r="AI22" s="30">
        <f>IF(G22&gt;0,((M22*((3*32)+G22))/(4*G22*32))*(1-(G22-M22)/(569-32)),0)</f>
        <v>0</v>
      </c>
      <c r="AJ22" s="9"/>
      <c r="AR22" s="1" t="s">
        <v>30</v>
      </c>
    </row>
    <row r="23" spans="1:71" x14ac:dyDescent="0.3">
      <c r="A23" s="31" t="s">
        <v>32</v>
      </c>
      <c r="B23" t="s">
        <v>27</v>
      </c>
      <c r="C23">
        <v>554</v>
      </c>
      <c r="D23">
        <v>191</v>
      </c>
      <c r="E23">
        <v>12</v>
      </c>
      <c r="F23">
        <v>0</v>
      </c>
      <c r="G23">
        <v>0</v>
      </c>
      <c r="I23">
        <v>40</v>
      </c>
      <c r="J23">
        <v>11</v>
      </c>
      <c r="K23">
        <v>0</v>
      </c>
      <c r="L23">
        <v>0</v>
      </c>
      <c r="M23">
        <v>0</v>
      </c>
      <c r="O23" s="2">
        <f t="shared" si="0"/>
        <v>7.2202166064981949E-2</v>
      </c>
      <c r="P23" s="2">
        <f t="shared" si="1"/>
        <v>5.7591623036649213E-2</v>
      </c>
      <c r="Q23" s="2">
        <f t="shared" si="2"/>
        <v>0</v>
      </c>
      <c r="R23" s="2">
        <f t="shared" si="3"/>
        <v>0</v>
      </c>
      <c r="S23" s="2">
        <f t="shared" si="4"/>
        <v>0</v>
      </c>
      <c r="T23" s="2"/>
      <c r="U23" s="2">
        <f>43/569</f>
        <v>7.5571177504393669E-2</v>
      </c>
      <c r="V23" s="2"/>
      <c r="W23" s="3">
        <f t="shared" si="17"/>
        <v>0.95541936025522634</v>
      </c>
      <c r="X23" s="3">
        <f t="shared" si="18"/>
        <v>0.76208450018263729</v>
      </c>
      <c r="Y23" s="3">
        <f t="shared" si="19"/>
        <v>0</v>
      </c>
      <c r="Z23" s="3">
        <f t="shared" si="15"/>
        <v>0</v>
      </c>
      <c r="AA23" s="3">
        <f t="shared" si="16"/>
        <v>0</v>
      </c>
      <c r="AB23" s="3">
        <f t="shared" si="6"/>
        <v>0.95541936025522634</v>
      </c>
      <c r="AC23" s="41">
        <f t="shared" si="9"/>
        <v>554</v>
      </c>
      <c r="AD23" s="41" t="str">
        <f t="shared" si="10"/>
        <v>3</v>
      </c>
      <c r="AE23" s="3">
        <f>IF(C23&gt;0,((I23*((3*43)+C23))/(4*C23*43))*(1-(C23-I23)/(569-43)),0)</f>
        <v>6.5409071654057762E-3</v>
      </c>
      <c r="AF23" s="3">
        <f>IF(D23&gt;0,((J23*((3*43)+D23))/(4*D23*43))*(1-(D23-J23)/(569-43)),0)</f>
        <v>7.0480861510940407E-2</v>
      </c>
      <c r="AG23" s="3">
        <f>IF(E23&gt;0,((K23*((3*43)+E23))/(4*E23*43))*(1-(E23-K23)/(569-43)),0)</f>
        <v>0</v>
      </c>
      <c r="AH23" s="3">
        <f>IF(F23&gt;0,((L23*((3*43)+F23))/(4*F23*43))*(1-(F23-L23)/(569-43)),0)</f>
        <v>0</v>
      </c>
      <c r="AI23" s="3">
        <f>IF(G23&gt;0,((M23*((3*43)+G23))/(4*G23*43))*(1-(G23-M23)/(569-43)),0)</f>
        <v>0</v>
      </c>
    </row>
    <row r="24" spans="1:71" x14ac:dyDescent="0.3">
      <c r="A24" s="31" t="s">
        <v>32</v>
      </c>
      <c r="B24" t="s">
        <v>28</v>
      </c>
      <c r="C24">
        <v>566</v>
      </c>
      <c r="D24">
        <v>493</v>
      </c>
      <c r="E24">
        <v>154</v>
      </c>
      <c r="F24">
        <v>2</v>
      </c>
      <c r="G24">
        <v>0</v>
      </c>
      <c r="I24">
        <v>43</v>
      </c>
      <c r="J24">
        <v>39</v>
      </c>
      <c r="K24">
        <v>20</v>
      </c>
      <c r="L24">
        <v>0</v>
      </c>
      <c r="M24">
        <v>0</v>
      </c>
      <c r="O24" s="2">
        <f t="shared" si="0"/>
        <v>7.5971731448763249E-2</v>
      </c>
      <c r="P24" s="2">
        <f t="shared" si="1"/>
        <v>7.9107505070993914E-2</v>
      </c>
      <c r="Q24" s="2">
        <f t="shared" si="2"/>
        <v>0.12987012987012986</v>
      </c>
      <c r="R24" s="2">
        <f t="shared" si="3"/>
        <v>0</v>
      </c>
      <c r="S24" s="2">
        <f t="shared" si="4"/>
        <v>0</v>
      </c>
      <c r="T24" s="2"/>
      <c r="U24" s="2">
        <f>43/569</f>
        <v>7.5571177504393669E-2</v>
      </c>
      <c r="V24" s="2"/>
      <c r="W24" s="3">
        <f t="shared" si="17"/>
        <v>1.0053003533568905</v>
      </c>
      <c r="X24" s="3">
        <f t="shared" si="18"/>
        <v>1.0467946601254776</v>
      </c>
      <c r="Y24" s="3">
        <f t="shared" si="19"/>
        <v>1.7185140440954394</v>
      </c>
      <c r="Z24" s="3">
        <f t="shared" si="15"/>
        <v>0</v>
      </c>
      <c r="AA24" s="3">
        <f t="shared" si="16"/>
        <v>0</v>
      </c>
      <c r="AB24" s="3">
        <f t="shared" si="6"/>
        <v>1.7185140440954394</v>
      </c>
      <c r="AC24" s="41">
        <f t="shared" si="9"/>
        <v>154</v>
      </c>
      <c r="AD24" s="41" t="str">
        <f t="shared" si="10"/>
        <v>5</v>
      </c>
      <c r="AE24" s="3">
        <f>IF(C24&gt;0,((I24*((3*43)+C24))/(4*C24*43))*(1-(C24-I24)/(569-43)),0)</f>
        <v>1.750829649733301E-3</v>
      </c>
      <c r="AF24" s="3">
        <f>IF(D24&gt;0,((J24*((3*43)+D24))/(4*D24*43))*(1-(D24-J24)/(569-43)),0)</f>
        <v>3.9158529789320343E-2</v>
      </c>
      <c r="AG24" s="3">
        <f>IF(E24&gt;0,((K24*((3*43)+E24))/(4*E24*43))*(1-(E24-K24)/(569-43)),0)</f>
        <v>0.15924565310010527</v>
      </c>
      <c r="AH24" s="3">
        <f>IF(F24&gt;0,((L24*((3*43)+F24))/(4*F24*43))*(1-(F24-L24)/(569-43)),0)</f>
        <v>0</v>
      </c>
      <c r="AI24" s="3">
        <f>IF(G24&gt;0,((M24*((3*43)+G24))/(4*G24*43))*(1-(G24-M24)/(569-43)),0)</f>
        <v>0</v>
      </c>
    </row>
    <row r="25" spans="1:71" x14ac:dyDescent="0.3">
      <c r="A25" s="31" t="s">
        <v>32</v>
      </c>
      <c r="B25" t="s">
        <v>29</v>
      </c>
      <c r="C25">
        <v>561</v>
      </c>
      <c r="D25">
        <v>349</v>
      </c>
      <c r="E25">
        <v>55</v>
      </c>
      <c r="F25">
        <v>3</v>
      </c>
      <c r="G25">
        <v>0</v>
      </c>
      <c r="I25">
        <v>43</v>
      </c>
      <c r="J25">
        <v>19</v>
      </c>
      <c r="K25">
        <v>4</v>
      </c>
      <c r="L25">
        <v>0</v>
      </c>
      <c r="M25">
        <v>0</v>
      </c>
      <c r="O25" s="2">
        <f t="shared" si="0"/>
        <v>7.6648841354723704E-2</v>
      </c>
      <c r="P25" s="2">
        <f t="shared" si="1"/>
        <v>5.4441260744985676E-2</v>
      </c>
      <c r="Q25" s="2">
        <f t="shared" si="2"/>
        <v>7.2727272727272724E-2</v>
      </c>
      <c r="R25" s="2">
        <f t="shared" si="3"/>
        <v>0</v>
      </c>
      <c r="S25" s="2">
        <f t="shared" si="4"/>
        <v>0</v>
      </c>
      <c r="T25" s="2"/>
      <c r="U25" s="2">
        <f>43/569</f>
        <v>7.5571177504393669E-2</v>
      </c>
      <c r="V25" s="2"/>
      <c r="W25" s="3">
        <f t="shared" si="17"/>
        <v>1.0142602495543671</v>
      </c>
      <c r="X25" s="3">
        <f t="shared" si="18"/>
        <v>0.72039714799760124</v>
      </c>
      <c r="Y25" s="3">
        <f t="shared" si="19"/>
        <v>0.96236786469344604</v>
      </c>
      <c r="Z25" s="3">
        <f t="shared" si="15"/>
        <v>0</v>
      </c>
      <c r="AA25" s="3">
        <f t="shared" si="16"/>
        <v>0</v>
      </c>
      <c r="AB25" s="3">
        <f t="shared" si="6"/>
        <v>1.0142602495543671</v>
      </c>
      <c r="AC25" s="41">
        <f t="shared" si="9"/>
        <v>561</v>
      </c>
      <c r="AD25" s="41" t="str">
        <f t="shared" si="10"/>
        <v>3</v>
      </c>
      <c r="AE25" s="3">
        <f>IF(C25&gt;0,((I25*((3*43)+C25))/(4*C25*43))*(1-(C25-I25)/(569-43)),0)</f>
        <v>4.6766027530957136E-3</v>
      </c>
      <c r="AF25" s="3">
        <f>IF(D25&gt;0,((J25*((3*43)+D25))/(4*D25*43))*(1-(D25-J25)/(569-43)),0)</f>
        <v>5.6376479315989672E-2</v>
      </c>
      <c r="AG25" s="3">
        <f>IF(E25&gt;0,((K25*((3*43)+E25))/(4*E25*43))*(1-(E25-K25)/(569-43)),0)</f>
        <v>7.0257799499995985E-2</v>
      </c>
      <c r="AH25" s="3">
        <f>IF(F25&gt;0,((L25*((3*43)+F25))/(4*F25*43))*(1-(F25-L25)/(569-43)),0)</f>
        <v>0</v>
      </c>
      <c r="AI25" s="3">
        <f>IF(G25&gt;0,((M25*((3*43)+G25))/(4*G25*43))*(1-(G25-M25)/(569-43)),0)</f>
        <v>0</v>
      </c>
      <c r="BE25" t="s">
        <v>27</v>
      </c>
      <c r="BI25" t="s">
        <v>28</v>
      </c>
      <c r="BM25" t="s">
        <v>29</v>
      </c>
      <c r="BQ25" t="s">
        <v>30</v>
      </c>
    </row>
    <row r="26" spans="1:71" s="1" customFormat="1" x14ac:dyDescent="0.3">
      <c r="A26" s="31" t="s">
        <v>32</v>
      </c>
      <c r="B26" s="1" t="s">
        <v>30</v>
      </c>
      <c r="C26" s="1">
        <v>566</v>
      </c>
      <c r="D26" s="1">
        <v>449</v>
      </c>
      <c r="E26" s="1">
        <v>6</v>
      </c>
      <c r="F26" s="1">
        <v>0</v>
      </c>
      <c r="G26" s="1">
        <v>0</v>
      </c>
      <c r="I26" s="1">
        <v>43</v>
      </c>
      <c r="J26" s="1">
        <v>41</v>
      </c>
      <c r="K26" s="1">
        <v>0</v>
      </c>
      <c r="L26" s="1">
        <v>0</v>
      </c>
      <c r="M26" s="1">
        <v>0</v>
      </c>
      <c r="O26" s="9">
        <f t="shared" si="0"/>
        <v>7.5971731448763249E-2</v>
      </c>
      <c r="P26" s="9">
        <f t="shared" si="1"/>
        <v>9.1314031180400893E-2</v>
      </c>
      <c r="Q26" s="9">
        <f t="shared" si="2"/>
        <v>0</v>
      </c>
      <c r="R26" s="9">
        <f t="shared" si="3"/>
        <v>0</v>
      </c>
      <c r="S26" s="9">
        <f t="shared" si="4"/>
        <v>0</v>
      </c>
      <c r="T26" s="9"/>
      <c r="U26" s="9">
        <f>43/569</f>
        <v>7.5571177504393669E-2</v>
      </c>
      <c r="V26" s="9"/>
      <c r="W26" s="10">
        <f t="shared" si="17"/>
        <v>1.0053003533568905</v>
      </c>
      <c r="X26" s="10">
        <f t="shared" si="18"/>
        <v>1.2083182265499561</v>
      </c>
      <c r="Y26" s="10">
        <f t="shared" si="19"/>
        <v>0</v>
      </c>
      <c r="Z26" s="10">
        <f t="shared" si="15"/>
        <v>0</v>
      </c>
      <c r="AA26" s="10">
        <f t="shared" si="16"/>
        <v>0</v>
      </c>
      <c r="AB26" s="10">
        <f t="shared" si="6"/>
        <v>1.2083182265499561</v>
      </c>
      <c r="AC26" s="42">
        <f t="shared" si="9"/>
        <v>449</v>
      </c>
      <c r="AD26" s="42" t="str">
        <f t="shared" si="10"/>
        <v>4</v>
      </c>
      <c r="AE26" s="10">
        <f>IF(C26&gt;0,((I26*((3*43)+C26))/(4*C26*43))*(1-(C26-I26)/(569-43)),0)</f>
        <v>1.750829649733301E-3</v>
      </c>
      <c r="AF26" s="10">
        <f>IF(D26&gt;0,((J26*((3*43)+D26))/(4*D26*43))*(1-(D26-J26)/(569-43)),0)</f>
        <v>6.8838780867318761E-2</v>
      </c>
      <c r="AG26" s="10">
        <f>IF(E26&gt;0,((K26*((3*43)+E26))/(4*E26*43))*(1-(E26-K26)/(569-43)),0)</f>
        <v>0</v>
      </c>
      <c r="AH26" s="10">
        <f>IF(F26&gt;0,((L26*((3*43)+F26))/(4*F26*43))*(1-(F26-L26)/(569-43)),0)</f>
        <v>0</v>
      </c>
      <c r="AI26" s="10">
        <f>IF(G26&gt;0,((M26*((3*43)+G26))/(4*G26*43))*(1-(G26-M26)/(569-43)),0)</f>
        <v>0</v>
      </c>
      <c r="AR26" s="1" t="s">
        <v>36</v>
      </c>
      <c r="AY26" s="1" t="s">
        <v>41</v>
      </c>
      <c r="BA26" s="1" t="s">
        <v>48</v>
      </c>
      <c r="BB26" s="1" t="s">
        <v>44</v>
      </c>
      <c r="BE26" s="1" t="s">
        <v>41</v>
      </c>
      <c r="BG26" s="1" t="s">
        <v>48</v>
      </c>
      <c r="BI26" s="1" t="s">
        <v>41</v>
      </c>
      <c r="BK26" s="1" t="s">
        <v>48</v>
      </c>
      <c r="BM26" s="1" t="s">
        <v>41</v>
      </c>
      <c r="BO26" s="1" t="s">
        <v>48</v>
      </c>
      <c r="BQ26" s="1" t="s">
        <v>41</v>
      </c>
      <c r="BS26" s="1" t="s">
        <v>48</v>
      </c>
    </row>
    <row r="27" spans="1:71" x14ac:dyDescent="0.3">
      <c r="A27" s="31" t="s">
        <v>33</v>
      </c>
      <c r="B27" t="s">
        <v>27</v>
      </c>
      <c r="C27">
        <v>563</v>
      </c>
      <c r="D27">
        <v>483</v>
      </c>
      <c r="E27">
        <v>153</v>
      </c>
      <c r="F27">
        <v>5</v>
      </c>
      <c r="G27">
        <v>0</v>
      </c>
      <c r="I27">
        <v>51</v>
      </c>
      <c r="J27">
        <v>41</v>
      </c>
      <c r="K27">
        <v>22</v>
      </c>
      <c r="L27">
        <v>2</v>
      </c>
      <c r="M27">
        <v>0</v>
      </c>
      <c r="O27" s="2">
        <f t="shared" si="0"/>
        <v>9.0586145648312605E-2</v>
      </c>
      <c r="P27" s="2">
        <f t="shared" si="1"/>
        <v>8.4886128364389232E-2</v>
      </c>
      <c r="Q27" s="2">
        <f t="shared" si="2"/>
        <v>0.1437908496732026</v>
      </c>
      <c r="R27" s="2">
        <f t="shared" si="3"/>
        <v>0.4</v>
      </c>
      <c r="S27" s="2">
        <f t="shared" si="4"/>
        <v>0</v>
      </c>
      <c r="T27" s="2"/>
      <c r="U27" s="2">
        <f>51/569</f>
        <v>8.9630931458699478E-2</v>
      </c>
      <c r="V27" s="2"/>
      <c r="W27" s="3">
        <f t="shared" si="17"/>
        <v>1.0106571936056836</v>
      </c>
      <c r="X27" s="3">
        <f t="shared" si="18"/>
        <v>0.94706288312426412</v>
      </c>
      <c r="Y27" s="3">
        <f t="shared" si="19"/>
        <v>1.6042547738049466</v>
      </c>
      <c r="Z27" s="3">
        <f t="shared" si="15"/>
        <v>4.4627450980392158</v>
      </c>
      <c r="AA27" s="3">
        <f t="shared" si="16"/>
        <v>0</v>
      </c>
      <c r="AB27" s="3">
        <f t="shared" si="6"/>
        <v>4.4627450980392158</v>
      </c>
      <c r="AC27" s="41">
        <f t="shared" si="9"/>
        <v>5</v>
      </c>
      <c r="AD27" s="41" t="str">
        <f t="shared" si="10"/>
        <v>6</v>
      </c>
      <c r="AE27" s="3">
        <f>IF(C27&gt;0,((I27*((3*51)+C27))/(4*C27*51))*(1-(C27-I27)/(569-51)),0)</f>
        <v>3.6826981764814725E-3</v>
      </c>
      <c r="AF27" s="3">
        <f>IF(D27&gt;0,((J27*((3*51)+D27))/(4*D27*51))*(1-(D27-J27)/(569-51)),0)</f>
        <v>3.8828222240717684E-2</v>
      </c>
      <c r="AG27" s="3">
        <f>IF(E27&gt;0,((K27*((3*51)+E27))/(4*E27*51))*(1-(E27-K27)/(569-51)),0)</f>
        <v>0.16114013172836703</v>
      </c>
      <c r="AH27" s="3">
        <f>IF(F27&gt;0,((L27*((3*51)+F27))/(4*F27*51))*(1-(F27-L27)/(569-51)),0)</f>
        <v>0.30800969036263154</v>
      </c>
      <c r="AI27" s="3">
        <f>IF(G27&gt;0,((M27*((3*51)+G27))/(4*G27*51))*(1-(G27-M27)/(569-51)),0)</f>
        <v>0</v>
      </c>
      <c r="AR27" s="17" t="s">
        <v>27</v>
      </c>
      <c r="AS27" s="24">
        <f>COUNTIF(W3, "&gt;1") + COUNTIF(W7, "&gt;1") + COUNTIF(W11, "&gt;1") + COUNTIF(W15, "&gt;1") + COUNTIF(W19, "&gt;1") + COUNTIF(W23, "&gt;1") + COUNTIF(W27, "&gt;1") + COUNTIF(W31, "&gt;1")</f>
        <v>4</v>
      </c>
      <c r="AT27" s="24">
        <f>COUNTIF(X3, "&gt;1") + COUNTIF(X7, "&gt;1") + COUNTIF(X11, "&gt;1") + COUNTIF(X15, "&gt;1") + COUNTIF(X19, "&gt;1") + COUNTIF(X23, "&gt;1") + COUNTIF(X27, "&gt;1") + COUNTIF(X31, "&gt;1")</f>
        <v>1</v>
      </c>
      <c r="AU27" s="7">
        <f>COUNTIF(Y3, "&gt;1") + COUNTIF(Y7, "&gt;1") + COUNTIF(Y11, "&gt;1") + COUNTIF(Y15, "&gt;1") + COUNTIF(Y19, "&gt;1") + COUNTIF(Y23, "&gt;1") + COUNTIF(Y27, "&gt;1") + COUNTIF(Y31, "&gt;1")</f>
        <v>4</v>
      </c>
      <c r="AV27" s="7">
        <f>COUNTIF(Z3, "&gt;1") + COUNTIF(Z7, "&gt;1") + COUNTIF(Z11, "&gt;1") + COUNTIF(Z15, "&gt;1") + COUNTIF(Z19, "&gt;1") + COUNTIF(Z23, "&gt;1") + COUNTIF(Z27, "&gt;1") + COUNTIF(Z31, "&gt;1")</f>
        <v>2</v>
      </c>
      <c r="AW27" s="18">
        <f>COUNTIF(AA3, "&gt;1") + COUNTIF(AA7, "&gt;1") + COUNTIF(AA11, "&gt;1") + COUNTIF(AA15, "&gt;1") + COUNTIF(AA19, "&gt;1") + COUNTIF(AA23, "&gt;1") + COUNTIF(AA27, "&gt;1") + COUNTIF(AA31, "&gt;1")</f>
        <v>0</v>
      </c>
      <c r="AX27" s="4"/>
      <c r="AY27" t="s">
        <v>26</v>
      </c>
      <c r="AZ27" s="5">
        <f>MAX(W3:AA6)</f>
        <v>4.3769230769230774</v>
      </c>
      <c r="BA27" s="5">
        <f>_xlfn.IFNA(VLOOKUP(AZ27, W3:AI6,8,0), _xlfn.IFNA(VLOOKUP(AZ27, X3:AI6,8,0), _xlfn.IFNA(VLOOKUP(AZ27, Y3:AI6,8,0), _xlfn.IFNA(VLOOKUP(AZ27, Z3:AI6,8,0), VLOOKUP(AZ27, AA3:AI6,8,0)))))</f>
        <v>0.11019435608251398</v>
      </c>
      <c r="BB27" t="s">
        <v>26</v>
      </c>
      <c r="BC27" s="5">
        <f>MAX(AE3:AI6)</f>
        <v>0.37809447496947496</v>
      </c>
      <c r="BE27" t="s">
        <v>26</v>
      </c>
      <c r="BF27" s="4">
        <f>MAX($W3:$AA3)</f>
        <v>1.2505494505494505</v>
      </c>
      <c r="BG27" s="5">
        <f>_xlfn.IFNA(VLOOKUP($BF27, $W3:$AI3,8,0), _xlfn.IFNA(VLOOKUP($BF27, $X3:$AI3,8,0), _xlfn.IFNA(VLOOKUP($BF27, $Y3:$AI3,8,0), _xlfn.IFNA(VLOOKUP($BF27, $Z3:$AI3,8,0), VLOOKUP($BF27, $AA3:$AI3,8,0)))))</f>
        <v>9.4914156138645928E-2</v>
      </c>
      <c r="BI27" t="s">
        <v>26</v>
      </c>
      <c r="BJ27" s="4">
        <f>MAX($W4:$AA4)</f>
        <v>0.95079227888216655</v>
      </c>
      <c r="BK27" s="5" t="str">
        <f>_xlfn.IFNA(VLOOKUP($BJ27, $W4:$AI4,8,0), _xlfn.IFNA(VLOOKUP($BJ27, $X4:$AI4,8,0), _xlfn.IFNA(VLOOKUP($BJ27, $Y4:$AI4,8,0), _xlfn.IFNA(VLOOKUP($BJ27, $Z4:$AI4,8,0), VLOOKUP($BJ27, $AA4:$AI4,8,0)))))</f>
        <v>3</v>
      </c>
      <c r="BM27" t="s">
        <v>26</v>
      </c>
      <c r="BN27" s="4">
        <f>MAX($W5:$AA5)</f>
        <v>1.1750129065565307</v>
      </c>
      <c r="BO27" s="5">
        <f>_xlfn.IFNA(VLOOKUP($BN27, $W5:$AI5,8,0), _xlfn.IFNA(VLOOKUP($BN27, $X5:$AI5,8,0), _xlfn.IFNA(VLOOKUP($BN27, $Y5:$AI5,8,0), _xlfn.IFNA(VLOOKUP($BN27, $Z5:$AI5,8,0), VLOOKUP($BN27, $AA5:$AI5,8,0)))))</f>
        <v>2.993202379167291E-2</v>
      </c>
      <c r="BQ27" t="s">
        <v>26</v>
      </c>
      <c r="BR27" s="4">
        <f>MAX($W6:$AA6)</f>
        <v>4.3769230769230774</v>
      </c>
      <c r="BS27" s="5">
        <f>_xlfn.IFNA(VLOOKUP($BR27, $W6:$AI6,8,0), _xlfn.IFNA(VLOOKUP($BR27, $X6:$AI6,8,0), _xlfn.IFNA(VLOOKUP($BR27, $Y6:$AI6,8,0), _xlfn.IFNA(VLOOKUP($BR27, $Z6:$AI6,8,0), VLOOKUP($BR27, $AA6:$AI6,8,0)))))</f>
        <v>0.11019435608251398</v>
      </c>
    </row>
    <row r="28" spans="1:71" x14ac:dyDescent="0.3">
      <c r="A28" s="31" t="s">
        <v>33</v>
      </c>
      <c r="B28" t="s">
        <v>28</v>
      </c>
      <c r="C28">
        <v>569</v>
      </c>
      <c r="D28">
        <v>551</v>
      </c>
      <c r="E28">
        <v>246</v>
      </c>
      <c r="F28">
        <v>10</v>
      </c>
      <c r="G28">
        <v>0</v>
      </c>
      <c r="I28">
        <v>51</v>
      </c>
      <c r="J28">
        <v>50</v>
      </c>
      <c r="K28">
        <v>17</v>
      </c>
      <c r="L28">
        <v>0</v>
      </c>
      <c r="M28">
        <v>0</v>
      </c>
      <c r="O28" s="2">
        <f t="shared" si="0"/>
        <v>8.9630931458699478E-2</v>
      </c>
      <c r="P28" s="2">
        <f t="shared" si="1"/>
        <v>9.0744101633393831E-2</v>
      </c>
      <c r="Q28" s="2">
        <f t="shared" si="2"/>
        <v>6.910569105691057E-2</v>
      </c>
      <c r="R28" s="2">
        <f t="shared" si="3"/>
        <v>0</v>
      </c>
      <c r="S28" s="2">
        <f t="shared" si="4"/>
        <v>0</v>
      </c>
      <c r="T28" s="2"/>
      <c r="U28" s="2">
        <f>51/569</f>
        <v>8.9630931458699478E-2</v>
      </c>
      <c r="V28" s="2"/>
      <c r="W28" s="3">
        <f t="shared" si="17"/>
        <v>1</v>
      </c>
      <c r="X28" s="3">
        <f t="shared" si="18"/>
        <v>1.0124194868510017</v>
      </c>
      <c r="Y28" s="3">
        <f t="shared" si="19"/>
        <v>0.77100271002710019</v>
      </c>
      <c r="Z28" s="3">
        <f t="shared" si="15"/>
        <v>0</v>
      </c>
      <c r="AA28" s="3">
        <f t="shared" si="16"/>
        <v>0</v>
      </c>
      <c r="AB28" s="3">
        <f t="shared" si="6"/>
        <v>1.0124194868510017</v>
      </c>
      <c r="AC28" s="41">
        <f t="shared" si="9"/>
        <v>551</v>
      </c>
      <c r="AD28" s="41" t="str">
        <f t="shared" si="10"/>
        <v>4</v>
      </c>
      <c r="AE28" s="3">
        <f>IF(C28&gt;0,((I28*((3*51)+C28))/(4*C28*51))*(1-(C28-I28)/(569-51)),0)</f>
        <v>0</v>
      </c>
      <c r="AF28" s="3">
        <f>IF(D28&gt;0,((J28*((3*51)+D28))/(4*D28*51))*(1-(D28-J28)/(569-51)),0)</f>
        <v>1.0277324251915918E-2</v>
      </c>
      <c r="AG28" s="3">
        <f>IF(E28&gt;0,((K28*((3*51)+E28))/(4*E28*51))*(1-(E28-K28)/(569-51)),0)</f>
        <v>7.5409250714128767E-2</v>
      </c>
      <c r="AH28" s="3">
        <f>IF(F28&gt;0,((L28*((3*51)+F28))/(4*F28*51))*(1-(F28-L28)/(569-51)),0)</f>
        <v>0</v>
      </c>
      <c r="AI28" s="3">
        <f>IF(G28&gt;0,((M28*((3*51)+G28))/(4*G28*51))*(1-(G28-M28)/(569-51)),0)</f>
        <v>0</v>
      </c>
      <c r="AR28" s="21" t="s">
        <v>28</v>
      </c>
      <c r="AS28" s="25">
        <f>COUNTIF(W4, "&gt;1") + COUNTIF(W8, "&gt;1") + COUNTIF(W12, "&gt;1") + COUNTIF(W16, "&gt;1") + COUNTIF(W20, "&gt;1") + COUNTIF(W24, "&gt;1") + COUNTIF(W28, "&gt;1") + COUNTIF(W32, "&gt;1")</f>
        <v>3</v>
      </c>
      <c r="AT28" s="25">
        <f>COUNTIF(X4, "&gt;1") + COUNTIF(X8, "&gt;1") + COUNTIF(X12, "&gt;1") + COUNTIF(X16, "&gt;1") + COUNTIF(X20, "&gt;1") + COUNTIF(X24, "&gt;1") + COUNTIF(X28, "&gt;1") + COUNTIF(X32, "&gt;1")</f>
        <v>5</v>
      </c>
      <c r="AU28" s="4">
        <f>COUNTIF(Y4, "&gt;1") + COUNTIF(Y8, "&gt;1") + COUNTIF(Y12, "&gt;1") + COUNTIF(Y16, "&gt;1") + COUNTIF(Y20, "&gt;1") + COUNTIF(Y24, "&gt;1") + COUNTIF(Y28, "&gt;1") + COUNTIF(Y32, "&gt;1")</f>
        <v>3</v>
      </c>
      <c r="AV28" s="4">
        <f>COUNTIF(Z4, "&gt;1") + COUNTIF(Z8, "&gt;1") + COUNTIF(Z12, "&gt;1") + COUNTIF(Z16, "&gt;1") + COUNTIF(Z20, "&gt;1") + COUNTIF(Z24, "&gt;1") + COUNTIF(Z28, "&gt;1") + COUNTIF(Z32, "&gt;1")</f>
        <v>0</v>
      </c>
      <c r="AW28" s="22">
        <f>COUNTIF(AA4, "&gt;1") + COUNTIF(AA8, "&gt;1") + COUNTIF(AA12, "&gt;1") + COUNTIF(AA16, "&gt;1") + COUNTIF(AA20, "&gt;1") + COUNTIF(AA24, "&gt;1") + COUNTIF(AA28, "&gt;1") + COUNTIF(AA32, "&gt;1")</f>
        <v>0</v>
      </c>
      <c r="AX28" s="4"/>
      <c r="AY28" t="s">
        <v>31</v>
      </c>
      <c r="AZ28" s="5">
        <f>MAX(W7:AA10)</f>
        <v>2.2054263565891472</v>
      </c>
      <c r="BA28" s="5">
        <f>_xlfn.IFNA(VLOOKUP(AZ28, W7:AI10,8,0), _xlfn.IFNA(VLOOKUP(AZ28, X7:AI10,8,0), _xlfn.IFNA(VLOOKUP(AZ28, Y7:AI10,8,0), _xlfn.IFNA(VLOOKUP(AZ28, Z7:AI10,8,0), VLOOKUP(AZ28, AA7:AI10,8,0)))))</f>
        <v>8.4802557319904631E-2</v>
      </c>
      <c r="BB28" t="s">
        <v>31</v>
      </c>
      <c r="BC28" s="5">
        <f>MAX(AE7:AI10)</f>
        <v>0.25185974288603208</v>
      </c>
      <c r="BE28" t="s">
        <v>31</v>
      </c>
      <c r="BF28" s="4">
        <f>MAX($W7:$AA7)</f>
        <v>2.2054263565891472</v>
      </c>
      <c r="BG28" s="5">
        <f>_xlfn.IFNA(VLOOKUP($BF28, $W7:$AI7,8,0), _xlfn.IFNA(VLOOKUP($BF28, $X7:$AI7,8,0), _xlfn.IFNA(VLOOKUP($BF28, $Y7:$AI7,8,0), _xlfn.IFNA(VLOOKUP($BF28, $Z7:$AI7,8,0), VLOOKUP($BF28, $AA7:$AI7,8,0)))))</f>
        <v>8.4802557319904631E-2</v>
      </c>
      <c r="BI28" t="s">
        <v>31</v>
      </c>
      <c r="BJ28" s="4">
        <f>MAX($W8:$AA8)</f>
        <v>1.4034531360112756</v>
      </c>
      <c r="BK28" s="5">
        <f>_xlfn.IFNA(VLOOKUP($BJ28, $W8:$AI8,8,0), _xlfn.IFNA(VLOOKUP($BJ28, $X8:$AI8,8,0), _xlfn.IFNA(VLOOKUP($BJ28, $Y8:$AI8,8,0), _xlfn.IFNA(VLOOKUP($BJ28, $Z8:$AI8,8,0), VLOOKUP($BJ28, $AA8:$AI8,8,0)))))</f>
        <v>0.10914369286642868</v>
      </c>
      <c r="BM28" t="s">
        <v>31</v>
      </c>
      <c r="BN28" s="4">
        <f>MAX($W9:$AA9)</f>
        <v>0.94518272425249172</v>
      </c>
      <c r="BO28" s="5">
        <f>_xlfn.IFNA(VLOOKUP($BN28, $W9:$AI9,8,0), _xlfn.IFNA(VLOOKUP($BN28, $X9:$AI9,8,0), _xlfn.IFNA(VLOOKUP($BN28, $Y9:$AI9,8,0), _xlfn.IFNA(VLOOKUP($BN28, $Z9:$AI9,8,0), VLOOKUP($BN28, $AA9:$AI9,8,0)))))</f>
        <v>0.11439779886443183</v>
      </c>
      <c r="BQ28" t="s">
        <v>31</v>
      </c>
      <c r="BR28" s="4">
        <f>MAX($W10:$AA10)</f>
        <v>1.0178890876565296</v>
      </c>
      <c r="BS28" s="5">
        <f>_xlfn.IFNA(VLOOKUP($BR28, $W10:$AI10,8,0), _xlfn.IFNA(VLOOKUP($BR28, $X10:$AI10,8,0), _xlfn.IFNA(VLOOKUP($BR28, $Y10:$AI10,8,0), _xlfn.IFNA(VLOOKUP($BR28, $Z10:$AI10,8,0), VLOOKUP($BR28, $AA10:$AI10,8,0)))))</f>
        <v>4.1299581494752588E-2</v>
      </c>
    </row>
    <row r="29" spans="1:71" x14ac:dyDescent="0.3">
      <c r="A29" s="31" t="s">
        <v>33</v>
      </c>
      <c r="B29" t="s">
        <v>29</v>
      </c>
      <c r="C29">
        <v>551</v>
      </c>
      <c r="D29">
        <v>402</v>
      </c>
      <c r="E29">
        <v>69</v>
      </c>
      <c r="F29">
        <v>0</v>
      </c>
      <c r="G29">
        <v>0</v>
      </c>
      <c r="I29">
        <v>47</v>
      </c>
      <c r="J29">
        <v>36</v>
      </c>
      <c r="K29">
        <v>4</v>
      </c>
      <c r="L29">
        <v>0</v>
      </c>
      <c r="M29">
        <v>0</v>
      </c>
      <c r="O29" s="2">
        <f t="shared" si="0"/>
        <v>8.5299455535390201E-2</v>
      </c>
      <c r="P29" s="2">
        <f t="shared" si="1"/>
        <v>8.9552238805970144E-2</v>
      </c>
      <c r="Q29" s="2">
        <f t="shared" si="2"/>
        <v>5.7971014492753624E-2</v>
      </c>
      <c r="R29" s="2">
        <f t="shared" si="3"/>
        <v>0</v>
      </c>
      <c r="S29" s="2">
        <f t="shared" si="4"/>
        <v>0</v>
      </c>
      <c r="T29" s="2"/>
      <c r="U29" s="2">
        <f>51/569</f>
        <v>8.9630931458699478E-2</v>
      </c>
      <c r="V29" s="2"/>
      <c r="W29" s="3">
        <f t="shared" si="17"/>
        <v>0.95167431763994159</v>
      </c>
      <c r="X29" s="3">
        <f t="shared" si="18"/>
        <v>0.99912203687445111</v>
      </c>
      <c r="Y29" s="3">
        <f t="shared" si="19"/>
        <v>0.64677465188974137</v>
      </c>
      <c r="Z29" s="3">
        <f t="shared" si="15"/>
        <v>0</v>
      </c>
      <c r="AA29" s="3">
        <f t="shared" si="16"/>
        <v>0</v>
      </c>
      <c r="AB29" s="3">
        <f t="shared" si="6"/>
        <v>0.99912203687445111</v>
      </c>
      <c r="AC29" s="41">
        <f t="shared" si="9"/>
        <v>402</v>
      </c>
      <c r="AD29" s="41" t="str">
        <f t="shared" si="10"/>
        <v>4</v>
      </c>
      <c r="AE29" s="3">
        <f>IF(C29&gt;0,((I29*((3*51)+C29))/(4*C29*51))*(1-(C29-I29)/(569-51)),0)</f>
        <v>7.9558580679537066E-3</v>
      </c>
      <c r="AF29" s="3">
        <f>IF(D29&gt;0,((J29*((3*51)+D29))/(4*D29*51))*(1-(D29-J29)/(569-51)),0)</f>
        <v>7.1491283080396331E-2</v>
      </c>
      <c r="AG29" s="3">
        <f>IF(E29&gt;0,((K29*((3*51)+E29))/(4*E29*51))*(1-(E29-K29)/(569-51)),0)</f>
        <v>5.5169894044574355E-2</v>
      </c>
      <c r="AH29" s="3">
        <f>IF(F29&gt;0,((L29*((3*51)+F29))/(4*F29*51))*(1-(F29-L29)/(569-51)),0)</f>
        <v>0</v>
      </c>
      <c r="AI29" s="3">
        <f>IF(G29&gt;0,((M29*((3*51)+G29))/(4*G29*51))*(1-(G29-M29)/(569-51)),0)</f>
        <v>0</v>
      </c>
      <c r="AR29" s="21" t="s">
        <v>29</v>
      </c>
      <c r="AS29" s="25">
        <f>COUNTIF(W5, "&gt;1") + COUNTIF(W9, "&gt;1") + COUNTIF(W13, "&gt;1") + COUNTIF(W17, "&gt;1") + COUNTIF(W21, "&gt;1") + COUNTIF(W25, "&gt;1") + COUNTIF(W29, "&gt;1") + COUNTIF(W33, "&gt;1")</f>
        <v>3</v>
      </c>
      <c r="AT29" s="25">
        <f>COUNTIF(X5, "&gt;1") + COUNTIF(X9, "&gt;1") + COUNTIF(X13, "&gt;1") + COUNTIF(X17, "&gt;1") + COUNTIF(X21, "&gt;1") + COUNTIF(X25, "&gt;1") + COUNTIF(X29, "&gt;1") + COUNTIF(X33, "&gt;1")</f>
        <v>2</v>
      </c>
      <c r="AU29" s="4">
        <f>COUNTIF(Y5, "&gt;1") + COUNTIF(Y9, "&gt;1") + COUNTIF(Y13, "&gt;1") + COUNTIF(Y17, "&gt;1") + COUNTIF(Y21, "&gt;1") + COUNTIF(Y25, "&gt;1") + COUNTIF(Y29, "&gt;1") + COUNTIF(Y33, "&gt;1")</f>
        <v>3</v>
      </c>
      <c r="AV29" s="4">
        <f>COUNTIF(Z5, "&gt;1") + COUNTIF(Z9, "&gt;1") + COUNTIF(Z13, "&gt;1") + COUNTIF(Z17, "&gt;1") + COUNTIF(Z21, "&gt;1") + COUNTIF(Z25, "&gt;1") + COUNTIF(Z29, "&gt;1") + COUNTIF(Z33, "&gt;1")</f>
        <v>0</v>
      </c>
      <c r="AW29" s="22">
        <f>COUNTIF(AA5, "&gt;1") + COUNTIF(AA9, "&gt;1") + COUNTIF(AA13, "&gt;1") + COUNTIF(AA17, "&gt;1") + COUNTIF(AA21, "&gt;1") + COUNTIF(AA25, "&gt;1") + COUNTIF(AA29, "&gt;1") + COUNTIF(AA33, "&gt;1")</f>
        <v>0</v>
      </c>
      <c r="AX29" s="4"/>
      <c r="AY29" t="s">
        <v>32</v>
      </c>
      <c r="AZ29" s="5">
        <f>MAX(W11:AA14)</f>
        <v>1.4702842377260983</v>
      </c>
      <c r="BA29" s="5">
        <f>_xlfn.IFNA(VLOOKUP(AZ29, W11:AI14,8,0), _xlfn.IFNA(VLOOKUP(AZ29, X11:AI14,8,0), _xlfn.IFNA(VLOOKUP(AZ29, Y11:AI14,8,0), _xlfn.IFNA(VLOOKUP(AZ29, Z11:AI14,8,0), VLOOKUP(AZ29, AA11:AI14,8,0)))))</f>
        <v>0.12752980413001516</v>
      </c>
      <c r="BB29" t="s">
        <v>32</v>
      </c>
      <c r="BC29" s="5">
        <f>MAX(AE11:AI14)</f>
        <v>0.17891248174362431</v>
      </c>
      <c r="BE29" t="s">
        <v>32</v>
      </c>
      <c r="BF29" s="4">
        <f>MAX($W11:$AA11)</f>
        <v>0.99428312551236153</v>
      </c>
      <c r="BG29" s="5" t="str">
        <f>_xlfn.IFNA(VLOOKUP($BF29, $W11:$AI11,8,0), _xlfn.IFNA(VLOOKUP($BF29, $X11:$AI11,8,0), _xlfn.IFNA(VLOOKUP($BF29, $Y11:$AI11,8,0), _xlfn.IFNA(VLOOKUP($BF29, $Z11:$AI11,8,0), VLOOKUP($BF29, $AA11:$AI11,8,0)))))</f>
        <v>3</v>
      </c>
      <c r="BI29" t="s">
        <v>32</v>
      </c>
      <c r="BJ29" s="4">
        <f>MAX($W12:$AA12)</f>
        <v>0.63012181616832774</v>
      </c>
      <c r="BK29" s="5" t="str">
        <f>_xlfn.IFNA(VLOOKUP($BJ29, $W12:$AI12,8,0), _xlfn.IFNA(VLOOKUP($BJ29, $X12:$AI12,8,0), _xlfn.IFNA(VLOOKUP($BJ29, $Y12:$AI12,8,0), _xlfn.IFNA(VLOOKUP($BJ29, $Z12:$AI12,8,0), VLOOKUP($BJ29, $AA12:$AI12,8,0)))))</f>
        <v>3</v>
      </c>
      <c r="BM29" t="s">
        <v>32</v>
      </c>
      <c r="BN29" s="4">
        <f>MAX($W13:$AA13)</f>
        <v>1.4702842377260983</v>
      </c>
      <c r="BO29" s="5">
        <f>_xlfn.IFNA(VLOOKUP($BN29, $W13:$AI13,8,0), _xlfn.IFNA(VLOOKUP($BN29, $X13:$AI13,8,0), _xlfn.IFNA(VLOOKUP($BN29, $Y13:$AI13,8,0), _xlfn.IFNA(VLOOKUP($BN29, $Z13:$AI13,8,0), VLOOKUP($BN29, $AA13:$AI13,8,0)))))</f>
        <v>0.12752980413001516</v>
      </c>
      <c r="BQ29" t="s">
        <v>32</v>
      </c>
      <c r="BR29" s="4">
        <f>MAX($W14:$AA14)</f>
        <v>0.99244186046511629</v>
      </c>
      <c r="BS29" s="5" t="str">
        <f>_xlfn.IFNA(VLOOKUP($BR29, $W14:$AI14,8,0), _xlfn.IFNA(VLOOKUP($BR29, $X14:$AI14,8,0), _xlfn.IFNA(VLOOKUP($BR29, $Y14:$AI14,8,0), _xlfn.IFNA(VLOOKUP($BR29, $Z14:$AI14,8,0), VLOOKUP($BR29, $AA14:$AI14,8,0)))))</f>
        <v>3</v>
      </c>
    </row>
    <row r="30" spans="1:71" s="1" customFormat="1" x14ac:dyDescent="0.3">
      <c r="A30" s="31" t="s">
        <v>33</v>
      </c>
      <c r="B30" s="1" t="s">
        <v>30</v>
      </c>
      <c r="C30" s="1">
        <v>47</v>
      </c>
      <c r="D30" s="1">
        <v>14</v>
      </c>
      <c r="E30" s="1">
        <v>1</v>
      </c>
      <c r="F30" s="1">
        <v>0</v>
      </c>
      <c r="G30" s="1">
        <v>0</v>
      </c>
      <c r="I30" s="1">
        <v>4</v>
      </c>
      <c r="J30" s="1">
        <v>1</v>
      </c>
      <c r="K30" s="1">
        <v>0</v>
      </c>
      <c r="L30" s="1">
        <v>0</v>
      </c>
      <c r="M30" s="1">
        <v>0</v>
      </c>
      <c r="O30" s="9">
        <f t="shared" si="0"/>
        <v>8.5106382978723402E-2</v>
      </c>
      <c r="P30" s="9">
        <f t="shared" si="1"/>
        <v>7.1428571428571425E-2</v>
      </c>
      <c r="Q30" s="9">
        <f t="shared" si="2"/>
        <v>0</v>
      </c>
      <c r="R30" s="9">
        <f t="shared" si="3"/>
        <v>0</v>
      </c>
      <c r="S30" s="9">
        <f t="shared" si="4"/>
        <v>0</v>
      </c>
      <c r="T30" s="9"/>
      <c r="U30" s="9">
        <f>51/569</f>
        <v>8.9630931458699478E-2</v>
      </c>
      <c r="V30" s="9"/>
      <c r="W30" s="10">
        <f t="shared" si="17"/>
        <v>0.94952023362536497</v>
      </c>
      <c r="X30" s="10">
        <f t="shared" si="18"/>
        <v>0.79691876750700275</v>
      </c>
      <c r="Y30" s="10">
        <f t="shared" si="19"/>
        <v>0</v>
      </c>
      <c r="Z30" s="10">
        <f t="shared" si="15"/>
        <v>0</v>
      </c>
      <c r="AA30" s="10">
        <f t="shared" si="16"/>
        <v>0</v>
      </c>
      <c r="AB30" s="10">
        <f t="shared" si="6"/>
        <v>0.94952023362536497</v>
      </c>
      <c r="AC30" s="42">
        <f t="shared" si="9"/>
        <v>47</v>
      </c>
      <c r="AD30" s="42" t="str">
        <f t="shared" si="10"/>
        <v>3</v>
      </c>
      <c r="AE30" s="10">
        <f>IF(C30&gt;0,((I30*((3*51)+C30))/(4*C30*51))*(1-(C30-I30)/(569-51)),0)</f>
        <v>7.6511340591440713E-2</v>
      </c>
      <c r="AF30" s="10">
        <f>IF(D30&gt;0,((J30*((3*51)+D30))/(4*D30*51))*(1-(D30-J30)/(569-51)),0)</f>
        <v>5.7005910472297028E-2</v>
      </c>
      <c r="AG30" s="10">
        <f>IF(E30&gt;0,((K30*((3*51)+E30))/(4*E30*51))*(1-(E30-K30)/(569-51)),0)</f>
        <v>0</v>
      </c>
      <c r="AH30" s="10">
        <f>IF(F30&gt;0,((L30*((3*51)+F30))/(4*F30*51))*(1-(F30-L30)/(569-51)),0)</f>
        <v>0</v>
      </c>
      <c r="AI30" s="10">
        <f>IF(G30&gt;0,((M30*((3*51)+G30))/(4*G30*51))*(1-(G30-M30)/(569-51)),0)</f>
        <v>0</v>
      </c>
      <c r="AR30" s="19" t="s">
        <v>30</v>
      </c>
      <c r="AS30" s="16">
        <f>COUNTIF(W6, "&gt;1") + COUNTIF(W10, "&gt;1") + COUNTIF(W14, "&gt;1") + COUNTIF(W18, "&gt;1") + COUNTIF(W22, "&gt;1") + COUNTIF(W26, "&gt;1") + COUNTIF(W30, "&gt;1") + COUNTIF(W34, "&gt;1")</f>
        <v>4</v>
      </c>
      <c r="AT30" s="16">
        <f>COUNTIF(X6, "&gt;1") + COUNTIF(X10, "&gt;1") + COUNTIF(X14, "&gt;1") + COUNTIF(X18, "&gt;1") + COUNTIF(X22, "&gt;1") + COUNTIF(X26, "&gt;1") + COUNTIF(X30, "&gt;1") + COUNTIF(X34, "&gt;1")</f>
        <v>5</v>
      </c>
      <c r="AU30" s="13">
        <f>COUNTIF(Y6, "&gt;1") + COUNTIF(Y10, "&gt;1") + COUNTIF(Y14, "&gt;1") + COUNTIF(Y18, "&gt;1") + COUNTIF(Y22, "&gt;1") + COUNTIF(Y26, "&gt;1") + COUNTIF(Y30, "&gt;1") + COUNTIF(Y34, "&gt;1")</f>
        <v>1</v>
      </c>
      <c r="AV30" s="13">
        <f>COUNTIF(Z6, "&gt;1") + COUNTIF(Z10, "&gt;1") + COUNTIF(Z14, "&gt;1") + COUNTIF(Z18, "&gt;1") + COUNTIF(Z22, "&gt;1") + COUNTIF(Z26, "&gt;1") + COUNTIF(Z30, "&gt;1") + COUNTIF(Z34, "&gt;1")</f>
        <v>0</v>
      </c>
      <c r="AW30" s="20">
        <f>COUNTIF(AA6, "&gt;1") + COUNTIF(AA10, "&gt;1") + COUNTIF(AA14, "&gt;1") + COUNTIF(AA18, "&gt;1") + COUNTIF(AA22, "&gt;1") + COUNTIF(AA26, "&gt;1") + COUNTIF(AA30, "&gt;1") + COUNTIF(AA34, "&gt;1")</f>
        <v>0</v>
      </c>
      <c r="AX30" s="13"/>
      <c r="AY30" s="1" t="s">
        <v>33</v>
      </c>
      <c r="AZ30" s="14">
        <f>MAX(W15:AA18)</f>
        <v>4.2044334975369457</v>
      </c>
      <c r="BA30" s="14">
        <f>_xlfn.IFNA(VLOOKUP(AZ30, W15:AI18,8,0), _xlfn.IFNA(VLOOKUP(AZ30, X15:AI18,8,0), _xlfn.IFNA(VLOOKUP(AZ30, Y15:AI18,8,0), _xlfn.IFNA(VLOOKUP(AZ30, Z15:AI18,8,0), VLOOKUP(AZ30, AA15:AI18,8,0)))))</f>
        <v>8.7852441300717149E-2</v>
      </c>
      <c r="BB30" s="1" t="s">
        <v>33</v>
      </c>
      <c r="BC30" s="14">
        <f>MAX(AE15:AI18)</f>
        <v>0.18277572523262178</v>
      </c>
      <c r="BE30" s="1" t="s">
        <v>33</v>
      </c>
      <c r="BF30" s="4">
        <f>MAX($W15:$AA15)</f>
        <v>0.93928833455612615</v>
      </c>
      <c r="BG30" s="14" t="str">
        <f>_xlfn.IFNA(VLOOKUP($BF30, $W15:$AI15,8,0), _xlfn.IFNA(VLOOKUP($BF30, $X15:$AI15,8,0), _xlfn.IFNA(VLOOKUP($BF30, $Y15:$AI15,8,0), _xlfn.IFNA(VLOOKUP($BF30, $Z15:$AI15,8,0), VLOOKUP($BF30, $AA15:$AI15,8,0)))))</f>
        <v>3</v>
      </c>
      <c r="BI30" s="1" t="s">
        <v>33</v>
      </c>
      <c r="BJ30" s="4">
        <f>MAX($W16:$AA16)</f>
        <v>4.2044334975369457</v>
      </c>
      <c r="BK30" s="5">
        <f>_xlfn.IFNA(VLOOKUP($BJ30, $W16:$AI16,8,0), _xlfn.IFNA(VLOOKUP($BJ30, $X16:$AI16,8,0), _xlfn.IFNA(VLOOKUP($BJ30, $Y16:$AI16,8,0), _xlfn.IFNA(VLOOKUP($BJ30, $Z16:$AI16,8,0), VLOOKUP($BJ30, $AA16:$AI16,8,0)))))</f>
        <v>8.7852441300717149E-2</v>
      </c>
      <c r="BM30" s="1" t="s">
        <v>33</v>
      </c>
      <c r="BN30" s="13">
        <f>MAX($W17:$AA17)</f>
        <v>0.93928833455612615</v>
      </c>
      <c r="BO30" s="14" t="str">
        <f>_xlfn.IFNA(VLOOKUP($BN30, $W17:$AI17,8,0), _xlfn.IFNA(VLOOKUP($BN30, $X17:$AI17,8,0), _xlfn.IFNA(VLOOKUP($BN30, $Y17:$AI17,8,0), _xlfn.IFNA(VLOOKUP($BN30, $Z17:$AI17,8,0), VLOOKUP($BN30, $AA17:$AI17,8,0)))))</f>
        <v>3</v>
      </c>
      <c r="BQ30" s="1" t="s">
        <v>33</v>
      </c>
      <c r="BR30" s="13">
        <f>MAX($W18:$AA18)</f>
        <v>1.1419449005655902</v>
      </c>
      <c r="BS30" s="14">
        <f>_xlfn.IFNA(VLOOKUP($BR30, $W18:$AI18,8,0), _xlfn.IFNA(VLOOKUP($BR30, $X18:$AI18,8,0), _xlfn.IFNA(VLOOKUP($BR30, $Y18:$AI18,8,0), _xlfn.IFNA(VLOOKUP($BR30, $Z18:$AI18,8,0), VLOOKUP($BR30, $AA18:$AI18,8,0)))))</f>
        <v>6.4232994215040985E-3</v>
      </c>
    </row>
    <row r="31" spans="1:71" x14ac:dyDescent="0.3">
      <c r="A31" s="31" t="s">
        <v>34</v>
      </c>
      <c r="B31" t="s">
        <v>27</v>
      </c>
      <c r="C31">
        <v>559</v>
      </c>
      <c r="D31">
        <v>330</v>
      </c>
      <c r="E31">
        <v>21</v>
      </c>
      <c r="F31">
        <v>0</v>
      </c>
      <c r="G31">
        <v>0</v>
      </c>
      <c r="I31">
        <v>68</v>
      </c>
      <c r="J31">
        <v>42</v>
      </c>
      <c r="K31">
        <v>3</v>
      </c>
      <c r="L31">
        <v>0</v>
      </c>
      <c r="M31">
        <v>0</v>
      </c>
      <c r="O31" s="2">
        <f t="shared" si="0"/>
        <v>0.12164579606440072</v>
      </c>
      <c r="P31" s="2">
        <f t="shared" si="1"/>
        <v>0.12727272727272726</v>
      </c>
      <c r="Q31" s="2">
        <f t="shared" si="2"/>
        <v>0.14285714285714285</v>
      </c>
      <c r="R31" s="2">
        <f t="shared" si="3"/>
        <v>0</v>
      </c>
      <c r="S31" s="2">
        <f t="shared" si="4"/>
        <v>0</v>
      </c>
      <c r="T31" s="2"/>
      <c r="U31" s="2">
        <f>69/569</f>
        <v>0.12126537785588752</v>
      </c>
      <c r="V31" s="2"/>
      <c r="W31" s="3">
        <f t="shared" si="17"/>
        <v>1.0031370718933914</v>
      </c>
      <c r="X31" s="3">
        <f t="shared" si="18"/>
        <v>1.0495388669301711</v>
      </c>
      <c r="Y31" s="3">
        <f t="shared" si="19"/>
        <v>1.1780538302277432</v>
      </c>
      <c r="Z31" s="3">
        <f t="shared" si="15"/>
        <v>0</v>
      </c>
      <c r="AA31" s="3">
        <f t="shared" si="16"/>
        <v>0</v>
      </c>
      <c r="AB31" s="3">
        <f t="shared" si="6"/>
        <v>1.1780538302277432</v>
      </c>
      <c r="AC31" s="41">
        <f t="shared" si="9"/>
        <v>21</v>
      </c>
      <c r="AD31" s="41" t="str">
        <f t="shared" si="10"/>
        <v>5</v>
      </c>
      <c r="AE31" s="3">
        <f>IF(C31&gt;0,((I31*((3*69)+C31))/(4*C31*69))*(1-(C31-I31)/(569-69)),0)</f>
        <v>6.0770008555650675E-3</v>
      </c>
      <c r="AF31" s="3">
        <f>IF(D31&gt;0,((J31*((3*69)+D31))/(4*D31*69))*(1-(D31-J31)/(569-69)),0)</f>
        <v>0.10499446640316207</v>
      </c>
      <c r="AG31" s="3">
        <f>IF(E31&gt;0,((K31*((3*69)+E31))/(4*E31*69))*(1-(E31-K31)/(569-69)),0)</f>
        <v>0.1137639751552795</v>
      </c>
      <c r="AH31" s="3">
        <f>IF(F31&gt;0,((L31*((3*69)+F31))/(4*F31*69))*(1-(F31-L31)/(569-69)),0)</f>
        <v>0</v>
      </c>
      <c r="AI31" s="3">
        <f>IF(G31&gt;0,((M31*((3*69)+G31))/(4*G31*69))*(1-(G31-M31)/(569-69)),0)</f>
        <v>0</v>
      </c>
      <c r="AY31" t="s">
        <v>34</v>
      </c>
      <c r="AZ31" s="5">
        <f>MAX(W19:AA22)</f>
        <v>2.6342592592592591</v>
      </c>
      <c r="BA31" s="5" t="str">
        <f>_xlfn.IFNA(VLOOKUP(AZ31, W19:AI22,8,0), _xlfn.IFNA(VLOOKUP(AZ31, X19:AI22,8,0), _xlfn.IFNA(VLOOKUP(AZ31, Y19:AI22,8,0), _xlfn.IFNA(VLOOKUP(AZ31, Z19:AI22,8,0), VLOOKUP(AZ31, AA19:AI22,8,0)))))</f>
        <v>3</v>
      </c>
      <c r="BB31" t="s">
        <v>34</v>
      </c>
      <c r="BC31" s="5">
        <f>MAX(AE19:AI22)</f>
        <v>0.13626370784192013</v>
      </c>
      <c r="BE31" t="s">
        <v>34</v>
      </c>
      <c r="BF31" s="4">
        <f>MAX($W19:$AA19)</f>
        <v>1.5461956521739131</v>
      </c>
      <c r="BG31" s="5">
        <f>_xlfn.IFNA(VLOOKUP($BF31, $W19:$AI19,8,0), _xlfn.IFNA(VLOOKUP($BF31, $X19:$AI19,8,0), _xlfn.IFNA(VLOOKUP($BF31, $Y19:$AI19,8,0), _xlfn.IFNA(VLOOKUP($BF31, $Z19:$AI19,8,0), VLOOKUP($BF31, $AA19:$AI19,8,0)))))</f>
        <v>7.3541184085025219E-2</v>
      </c>
      <c r="BI31" t="s">
        <v>34</v>
      </c>
      <c r="BJ31" s="4">
        <f>MAX($W20:$AA20)</f>
        <v>2.6342592592592591</v>
      </c>
      <c r="BK31" s="5" t="str">
        <f>_xlfn.IFNA(VLOOKUP($BJ31, $W20:$AI20,8,0), _xlfn.IFNA(VLOOKUP($BJ31, $X20:$AI20,8,0), _xlfn.IFNA(VLOOKUP($BJ31, $Y20:$AI20,8,0), _xlfn.IFNA(VLOOKUP($BJ31, $Z20:$AI20,8,0), VLOOKUP($BJ31, $AA20:$AI20,8,0)))))</f>
        <v>3</v>
      </c>
      <c r="BM31" t="s">
        <v>34</v>
      </c>
      <c r="BN31" s="4">
        <f>MAX($W21:$AA21)</f>
        <v>0.91019195612431458</v>
      </c>
      <c r="BO31" s="5" t="str">
        <f>_xlfn.IFNA(VLOOKUP($BN31, $W21:$AI21,8,0), _xlfn.IFNA(VLOOKUP($BN31, $X21:$AI21,8,0), _xlfn.IFNA(VLOOKUP($BN31, $Y21:$AI21,8,0), _xlfn.IFNA(VLOOKUP($BN31, $Z21:$AI21,8,0), VLOOKUP($BN31, $AA21:$AI21,8,0)))))</f>
        <v>3</v>
      </c>
      <c r="BQ31" t="s">
        <v>34</v>
      </c>
      <c r="BR31" s="4">
        <f>MAX($W22:$AA22)</f>
        <v>1.7008152173913045</v>
      </c>
      <c r="BS31" s="5" t="str">
        <f>_xlfn.IFNA(VLOOKUP($BR31, $W22:$AI22,8,0), _xlfn.IFNA(VLOOKUP($BR31, $X22:$AI22,8,0), _xlfn.IFNA(VLOOKUP($BR31, $Y22:$AI22,8,0), _xlfn.IFNA(VLOOKUP($BR31, $Z22:$AI22,8,0), VLOOKUP($BR31, $AA22:$AI22,8,0)))))</f>
        <v>3</v>
      </c>
    </row>
    <row r="32" spans="1:71" x14ac:dyDescent="0.3">
      <c r="A32" s="31" t="s">
        <v>34</v>
      </c>
      <c r="B32" t="s">
        <v>28</v>
      </c>
      <c r="C32">
        <v>378</v>
      </c>
      <c r="D32">
        <v>30</v>
      </c>
      <c r="E32">
        <v>1</v>
      </c>
      <c r="F32">
        <v>0</v>
      </c>
      <c r="G32">
        <v>0</v>
      </c>
      <c r="I32">
        <v>36</v>
      </c>
      <c r="J32">
        <v>5</v>
      </c>
      <c r="K32">
        <v>1</v>
      </c>
      <c r="L32">
        <v>0</v>
      </c>
      <c r="M32">
        <v>0</v>
      </c>
      <c r="O32" s="2">
        <f t="shared" si="0"/>
        <v>9.5238095238095233E-2</v>
      </c>
      <c r="P32" s="2">
        <f t="shared" si="1"/>
        <v>0.16666666666666666</v>
      </c>
      <c r="Q32" s="2">
        <f t="shared" si="2"/>
        <v>1</v>
      </c>
      <c r="R32" s="2">
        <f t="shared" si="3"/>
        <v>0</v>
      </c>
      <c r="S32" s="2">
        <f t="shared" si="4"/>
        <v>0</v>
      </c>
      <c r="T32" s="2"/>
      <c r="U32" s="2">
        <f>69/569</f>
        <v>0.12126537785588752</v>
      </c>
      <c r="V32" s="2"/>
      <c r="W32" s="3">
        <f t="shared" si="17"/>
        <v>0.78536922015182886</v>
      </c>
      <c r="X32" s="3">
        <f t="shared" si="18"/>
        <v>1.3743961352657004</v>
      </c>
      <c r="Y32" s="3">
        <f t="shared" si="19"/>
        <v>8.2463768115942031</v>
      </c>
      <c r="Z32" s="3">
        <f t="shared" si="15"/>
        <v>0</v>
      </c>
      <c r="AA32" s="3">
        <f t="shared" si="16"/>
        <v>0</v>
      </c>
      <c r="AB32" s="3">
        <f t="shared" si="6"/>
        <v>8.2463768115942031</v>
      </c>
      <c r="AC32" s="41">
        <f t="shared" si="9"/>
        <v>1</v>
      </c>
      <c r="AD32" s="41" t="str">
        <f t="shared" si="10"/>
        <v>5</v>
      </c>
      <c r="AE32" s="3">
        <f>IF(C32&gt;0,((I32*((3*69)+C32))/(4*C32*69))*(1-(C32-I32)/(569-69)),0)</f>
        <v>6.3788819875776379E-2</v>
      </c>
      <c r="AF32" s="3">
        <f>IF(D32&gt;0,((J32*((3*69)+D32))/(4*D32*69))*(1-(D32-J32)/(569-69)),0)</f>
        <v>0.13596014492753622</v>
      </c>
      <c r="AG32" s="3">
        <f>IF(E32&gt;0,((K32*((3*69)+E32))/(4*E32*69))*(1-(E32-K32)/(569-69)),0)</f>
        <v>0.75362318840579712</v>
      </c>
      <c r="AH32" s="3">
        <f>IF(F32&gt;0,((L32*((3*69)+F32))/(4*F32*69))*(1-(F32-L32)/(569-69)),0)</f>
        <v>0</v>
      </c>
      <c r="AI32" s="3">
        <f>IF(G32&gt;0,((M32*((3*69)+G32))/(4*G32*69))*(1-(G32-M32)/(569-69)),0)</f>
        <v>0</v>
      </c>
      <c r="AR32" t="s">
        <v>39</v>
      </c>
      <c r="AY32" t="s">
        <v>35</v>
      </c>
      <c r="AZ32" s="5">
        <f>MAX(W23:AA26)</f>
        <v>1.7185140440954394</v>
      </c>
      <c r="BA32" s="5">
        <f>_xlfn.IFNA(VLOOKUP(AZ32, W23:AI26,8,0), _xlfn.IFNA(VLOOKUP(AZ32, X23:AI26,8,0), _xlfn.IFNA(VLOOKUP(AZ32, Y23:AI26,8,0), _xlfn.IFNA(VLOOKUP(AZ32, Z23:AI26,8,0), VLOOKUP(AZ32, AA23:AI26,8,0)))))</f>
        <v>3.9158529789320343E-2</v>
      </c>
      <c r="BB32" t="s">
        <v>35</v>
      </c>
      <c r="BC32" s="5">
        <f>MAX(AE23:AI26)</f>
        <v>0.15924565310010527</v>
      </c>
      <c r="BE32" t="s">
        <v>35</v>
      </c>
      <c r="BF32" s="4">
        <f>MAX($W23:$AA23)</f>
        <v>0.95541936025522634</v>
      </c>
      <c r="BG32" s="5" t="str">
        <f>_xlfn.IFNA(VLOOKUP($BF32, $W23:$AI23,8,0), _xlfn.IFNA(VLOOKUP($BF32, $X23:$AI23,8,0), _xlfn.IFNA(VLOOKUP($BF32, $Y23:$AI23,8,0), _xlfn.IFNA(VLOOKUP($BF32, $Z23:$AI23,8,0), VLOOKUP($BF32, $AA23:$AI23,8,0)))))</f>
        <v>3</v>
      </c>
      <c r="BI32" t="s">
        <v>35</v>
      </c>
      <c r="BJ32" s="4">
        <f>MAX($W24:$AA24)</f>
        <v>1.7185140440954394</v>
      </c>
      <c r="BK32" s="5">
        <f>_xlfn.IFNA(VLOOKUP($BJ32, $W24:$AI24,8,0), _xlfn.IFNA(VLOOKUP($BJ32, $X24:$AI24,8,0), _xlfn.IFNA(VLOOKUP($BJ32, $Y24:$AI24,8,0), _xlfn.IFNA(VLOOKUP($BJ32, $Z24:$AI24,8,0), VLOOKUP($BJ32, $AA24:$AI24,8,0)))))</f>
        <v>3.9158529789320343E-2</v>
      </c>
      <c r="BM32" t="s">
        <v>35</v>
      </c>
      <c r="BN32" s="4">
        <f>MAX($W25:$AA25)</f>
        <v>1.0142602495543671</v>
      </c>
      <c r="BO32" s="5" t="str">
        <f>_xlfn.IFNA(VLOOKUP($BN32, $W25:$AI25,8,0), _xlfn.IFNA(VLOOKUP($BN32, $X25:$AI25,8,0), _xlfn.IFNA(VLOOKUP($BN32, $Y25:$AI25,8,0), _xlfn.IFNA(VLOOKUP($BN32, $Z25:$AI25,8,0), VLOOKUP($BN32, $AA25:$AI25,8,0)))))</f>
        <v>3</v>
      </c>
      <c r="BQ32" t="s">
        <v>35</v>
      </c>
      <c r="BR32" s="4">
        <f>MAX($W26:$AA26)</f>
        <v>1.2083182265499561</v>
      </c>
      <c r="BS32" s="5">
        <f>_xlfn.IFNA(VLOOKUP($BR32, $W26:$AI26,8,0), _xlfn.IFNA(VLOOKUP($BR32, $X26:$AI26,8,0), _xlfn.IFNA(VLOOKUP($BR32, $Y26:$AI26,8,0), _xlfn.IFNA(VLOOKUP($BR32, $Z26:$AI26,8,0), VLOOKUP($BR32, $AA26:$AI26,8,0)))))</f>
        <v>1.750829649733301E-3</v>
      </c>
    </row>
    <row r="33" spans="1:71" x14ac:dyDescent="0.3">
      <c r="A33" s="31" t="s">
        <v>34</v>
      </c>
      <c r="B33" t="s">
        <v>29</v>
      </c>
      <c r="C33">
        <v>563</v>
      </c>
      <c r="D33">
        <v>444</v>
      </c>
      <c r="E33">
        <v>67</v>
      </c>
      <c r="F33">
        <v>1</v>
      </c>
      <c r="G33">
        <v>0</v>
      </c>
      <c r="I33">
        <v>69</v>
      </c>
      <c r="J33">
        <v>55</v>
      </c>
      <c r="K33">
        <v>19</v>
      </c>
      <c r="L33">
        <v>0</v>
      </c>
      <c r="M33">
        <v>0</v>
      </c>
      <c r="O33" s="2">
        <f t="shared" si="0"/>
        <v>0.12255772646536411</v>
      </c>
      <c r="P33" s="2">
        <f t="shared" si="1"/>
        <v>0.12387387387387387</v>
      </c>
      <c r="Q33" s="2">
        <f t="shared" si="2"/>
        <v>0.28358208955223879</v>
      </c>
      <c r="R33" s="2">
        <f t="shared" si="3"/>
        <v>0</v>
      </c>
      <c r="S33" s="2">
        <f t="shared" si="4"/>
        <v>0</v>
      </c>
      <c r="T33" s="2"/>
      <c r="U33" s="2">
        <f>69/569</f>
        <v>0.12126537785588752</v>
      </c>
      <c r="V33" s="2"/>
      <c r="W33" s="3">
        <f t="shared" si="17"/>
        <v>1.0106571936056838</v>
      </c>
      <c r="X33" s="3">
        <f t="shared" si="18"/>
        <v>1.0215106410758585</v>
      </c>
      <c r="Y33" s="3">
        <f t="shared" si="19"/>
        <v>2.3385247674670127</v>
      </c>
      <c r="Z33" s="3">
        <f t="shared" si="15"/>
        <v>0</v>
      </c>
      <c r="AA33" s="3">
        <f t="shared" si="16"/>
        <v>0</v>
      </c>
      <c r="AB33" s="3">
        <f t="shared" si="6"/>
        <v>2.3385247674670127</v>
      </c>
      <c r="AC33" s="41">
        <f t="shared" si="9"/>
        <v>67</v>
      </c>
      <c r="AD33" s="41" t="str">
        <f t="shared" si="10"/>
        <v>5</v>
      </c>
      <c r="AE33" s="3">
        <f>IF(C33&gt;0,((I33*((3*69)+C33))/(4*C33*69))*(1-(C33-I33)/(569-69)),0)</f>
        <v>4.1030195381882807E-3</v>
      </c>
      <c r="AF33" s="3">
        <f>IF(D33&gt;0,((J33*((3*69)+D33))/(4*D33*69))*(1-(D33-J33)/(569-69)),0)</f>
        <v>6.4864130434782605E-2</v>
      </c>
      <c r="AG33" s="3">
        <f>IF(E33&gt;0,((K33*((3*69)+E33))/(4*E33*69))*(1-(E33-K33)/(569-69)),0)</f>
        <v>0.25450054077438888</v>
      </c>
      <c r="AH33" s="3">
        <f>IF(F33&gt;0,((L33*((3*69)+F33))/(4*F33*69))*(1-(F33-L33)/(569-69)),0)</f>
        <v>0</v>
      </c>
      <c r="AI33" s="3">
        <f>IF(G33&gt;0,((M33*((3*69)+G33))/(4*G33*69))*(1-(G33-M33)/(569-69)),0)</f>
        <v>0</v>
      </c>
      <c r="AR33" s="17" t="s">
        <v>27</v>
      </c>
      <c r="AS33" s="7">
        <f>COUNTIF(W3, "&gt;2") + COUNTIF(W7, "&gt;2") + COUNTIF(W11, "&gt;2") + COUNTIF(W15, "&gt;2") + COUNTIF(W19, "&gt;2") + COUNTIF(W23, "&gt;2") + COUNTIF(W27, "&gt;2") + COUNTIF(W31, "&gt;2")</f>
        <v>0</v>
      </c>
      <c r="AT33" s="7">
        <f>COUNTIF(X3, "&gt;2") + COUNTIF(X7, "&gt;2") + COUNTIF(X11, "&gt;2") + COUNTIF(X15, "&gt;2") + COUNTIF(X19, "&gt;2") + COUNTIF(X23, "&gt;2") + COUNTIF(X27, "&gt;2") + COUNTIF(X31, "&gt;2")</f>
        <v>0</v>
      </c>
      <c r="AU33" s="7">
        <f>COUNTIF(Y3, "&gt;2") + COUNTIF(Y7, "&gt;2") + COUNTIF(Y11, "&gt;2") + COUNTIF(Y15, "&gt;2") + COUNTIF(Y19, "&gt;2") + COUNTIF(Y23, "&gt;2") + COUNTIF(Y27, "&gt;2") + COUNTIF(Y31, "&gt;2")</f>
        <v>1</v>
      </c>
      <c r="AV33" s="7">
        <f>COUNTIF(Z3, "&gt;2") + COUNTIF(Z7, "&gt;2") + COUNTIF(Z11, "&gt;2") + COUNTIF(Z15, "&gt;2") + COUNTIF(Z19, "&gt;2") + COUNTIF(Z23, "&gt;2") + COUNTIF(Z27, "&gt;2") + COUNTIF(Z31, "&gt;2")</f>
        <v>1</v>
      </c>
      <c r="AW33" s="18">
        <f>COUNTIF(AA3, "&gt;2") + COUNTIF(AA7, "&gt;2") + COUNTIF(AA11, "&gt;2") + COUNTIF(AA15, "&gt;2") + COUNTIF(AA19, "&gt;2") + COUNTIF(AA23, "&gt;2") + COUNTIF(AA27, "&gt;2") + COUNTIF(AA31, "&gt;2")</f>
        <v>0</v>
      </c>
      <c r="AX33" s="4"/>
      <c r="AY33" t="s">
        <v>37</v>
      </c>
      <c r="AZ33" s="5">
        <f>MAX(W27:AA30)</f>
        <v>4.4627450980392158</v>
      </c>
      <c r="BA33" s="5">
        <f>_xlfn.IFNA(VLOOKUP(AZ33, W27:AI30,8,0), _xlfn.IFNA(VLOOKUP(AZ33, X27:AI30,8,0), _xlfn.IFNA(VLOOKUP(AZ33, Y27:AI30,8,0), _xlfn.IFNA(VLOOKUP(AZ33, Z27:AI30,8,0), VLOOKUP(AZ33, AA27:AI30,8,0)))))</f>
        <v>0.16114013172836703</v>
      </c>
      <c r="BB33" t="s">
        <v>37</v>
      </c>
      <c r="BC33" s="5">
        <f>MAX(AE27:AI30)</f>
        <v>0.30800969036263154</v>
      </c>
      <c r="BE33" t="s">
        <v>37</v>
      </c>
      <c r="BF33" s="4">
        <f>MAX($W27:$AA27)</f>
        <v>4.4627450980392158</v>
      </c>
      <c r="BG33" s="5">
        <f>_xlfn.IFNA(VLOOKUP($BF33, $W27:$AI27,8,0), _xlfn.IFNA(VLOOKUP($BF33, $X27:$AI27,8,0), _xlfn.IFNA(VLOOKUP($BF33, $Y27:$AI27,8,0), _xlfn.IFNA(VLOOKUP($BF33, $Z27:$AI27,8,0), VLOOKUP($BF33, $AA27:$AI27,8,0)))))</f>
        <v>0.16114013172836703</v>
      </c>
      <c r="BI33" t="s">
        <v>37</v>
      </c>
      <c r="BJ33" s="4">
        <f>MAX($W28:$AA28)</f>
        <v>1.0124194868510017</v>
      </c>
      <c r="BK33" s="5">
        <f>_xlfn.IFNA(VLOOKUP($BJ33, $W28:$AI28,8,0), _xlfn.IFNA(VLOOKUP($BJ33, $X28:$AI28,8,0), _xlfn.IFNA(VLOOKUP($BJ33, $Y28:$AI28,8,0), _xlfn.IFNA(VLOOKUP($BJ33, $Z28:$AI28,8,0), VLOOKUP($BJ33, $AA28:$AI28,8,0)))))</f>
        <v>0</v>
      </c>
      <c r="BM33" t="s">
        <v>37</v>
      </c>
      <c r="BN33" s="4">
        <f>MAX($W29:$AA29)</f>
        <v>0.99912203687445111</v>
      </c>
      <c r="BO33" s="5">
        <f>_xlfn.IFNA(VLOOKUP($BN33, $W29:$AI29,8,0), _xlfn.IFNA(VLOOKUP($BN33, $X29:$AI29,8,0), _xlfn.IFNA(VLOOKUP($BN33, $Y29:$AI29,8,0), _xlfn.IFNA(VLOOKUP($BN33, $Z29:$AI29,8,0), VLOOKUP($BN33, $AA29:$AI29,8,0)))))</f>
        <v>7.9558580679537066E-3</v>
      </c>
      <c r="BQ33" t="s">
        <v>37</v>
      </c>
      <c r="BR33" s="4">
        <f>MAX($W30:$AA30)</f>
        <v>0.94952023362536497</v>
      </c>
      <c r="BS33" s="5" t="str">
        <f>_xlfn.IFNA(VLOOKUP($BR33, $W30:$AI30,8,0), _xlfn.IFNA(VLOOKUP($BR33, $X30:$AI30,8,0), _xlfn.IFNA(VLOOKUP($BR33, $Y30:$AI30,8,0), _xlfn.IFNA(VLOOKUP($BR33, $Z30:$AI30,8,0), VLOOKUP($BR33, $AA30:$AI30,8,0)))))</f>
        <v>3</v>
      </c>
    </row>
    <row r="34" spans="1:71" s="1" customFormat="1" x14ac:dyDescent="0.3">
      <c r="A34" s="31" t="s">
        <v>34</v>
      </c>
      <c r="B34" s="1" t="s">
        <v>30</v>
      </c>
      <c r="C34" s="1">
        <v>503</v>
      </c>
      <c r="D34" s="1">
        <v>26</v>
      </c>
      <c r="E34" s="1">
        <v>0</v>
      </c>
      <c r="F34" s="1">
        <v>0</v>
      </c>
      <c r="G34" s="1">
        <v>0</v>
      </c>
      <c r="I34" s="1">
        <v>41</v>
      </c>
      <c r="J34" s="1">
        <v>5</v>
      </c>
      <c r="K34" s="1">
        <v>0</v>
      </c>
      <c r="L34" s="1">
        <v>0</v>
      </c>
      <c r="M34" s="1">
        <v>0</v>
      </c>
      <c r="O34" s="9">
        <f t="shared" si="0"/>
        <v>8.1510934393638171E-2</v>
      </c>
      <c r="P34" s="9">
        <f t="shared" si="1"/>
        <v>0.19230769230769232</v>
      </c>
      <c r="Q34" s="9">
        <f t="shared" si="2"/>
        <v>0</v>
      </c>
      <c r="R34" s="9">
        <f t="shared" si="3"/>
        <v>0</v>
      </c>
      <c r="S34" s="9">
        <f t="shared" si="4"/>
        <v>0</v>
      </c>
      <c r="T34" s="9"/>
      <c r="U34" s="9">
        <f>69/569</f>
        <v>0.12126537785588752</v>
      </c>
      <c r="V34" s="9"/>
      <c r="W34" s="10">
        <f t="shared" si="17"/>
        <v>0.67216987927507421</v>
      </c>
      <c r="X34" s="10">
        <f t="shared" si="18"/>
        <v>1.5858416945373468</v>
      </c>
      <c r="Y34" s="10">
        <f t="shared" si="19"/>
        <v>0</v>
      </c>
      <c r="Z34" s="10">
        <f t="shared" si="15"/>
        <v>0</v>
      </c>
      <c r="AA34" s="10">
        <f t="shared" si="16"/>
        <v>0</v>
      </c>
      <c r="AB34" s="10">
        <f t="shared" si="6"/>
        <v>1.5858416945373468</v>
      </c>
      <c r="AC34" s="42">
        <f t="shared" si="9"/>
        <v>26</v>
      </c>
      <c r="AD34" s="42" t="str">
        <f t="shared" si="10"/>
        <v>4</v>
      </c>
      <c r="AE34" s="10">
        <f>IF(C34&gt;0,((I34*((3*69)+C34))/(4*C34*69))*(1-(C34-I34)/(569-69)),0)</f>
        <v>1.5935978332901134E-2</v>
      </c>
      <c r="AF34" s="10">
        <f>IF(D34&gt;0,((J34*((3*69)+D34))/(4*D34*69))*(1-(D34-J34)/(569-69)),0)</f>
        <v>0.15552814938684503</v>
      </c>
      <c r="AG34" s="10">
        <f>IF(E34&gt;0,((K34*((3*69)+E34))/(4*E34*69))*(1-(E34-K34)/(569-69)),0)</f>
        <v>0</v>
      </c>
      <c r="AH34" s="10">
        <f>IF(F34&gt;0,((L34*((3*69)+F34))/(4*F34*69))*(1-(F34-L34)/(569-69)),0)</f>
        <v>0</v>
      </c>
      <c r="AI34" s="10">
        <f>IF(G34&gt;0,((M34*((3*69)+G34))/(4*G34*69))*(1-(G34-M34)/(569-69)),0)</f>
        <v>0</v>
      </c>
      <c r="AR34" s="21" t="s">
        <v>28</v>
      </c>
      <c r="AS34" s="4">
        <f>COUNTIF(W4, "&gt;2") + COUNTIF(W8, "&gt;2") + COUNTIF(W12, "&gt;2") + COUNTIF(W16, "&gt;2") + COUNTIF(W20, "&gt;2") + COUNTIF(W24, "&gt;2") + COUNTIF(W28, "&gt;2") + COUNTIF(W32, "&gt;2")</f>
        <v>1</v>
      </c>
      <c r="AT34" s="4">
        <f>COUNTIF(X4, "&gt;2") + COUNTIF(X8, "&gt;2") + COUNTIF(X12, "&gt;2") + COUNTIF(X16, "&gt;2") + COUNTIF(X20, "&gt;2") + COUNTIF(X24, "&gt;2") + COUNTIF(X28, "&gt;2") + COUNTIF(X32, "&gt;2")</f>
        <v>0</v>
      </c>
      <c r="AU34" s="4">
        <f>COUNTIF(Y4, "&gt;2") + COUNTIF(Y8, "&gt;2") + COUNTIF(Y12, "&gt;2") + COUNTIF(Y16, "&gt;2") + COUNTIF(Y20, "&gt;2") + COUNTIF(Y24, "&gt;2") + COUNTIF(Y28, "&gt;2") + COUNTIF(Y32, "&gt;2")</f>
        <v>2</v>
      </c>
      <c r="AV34" s="4">
        <f>COUNTIF(Z4, "&gt;2") + COUNTIF(Z8, "&gt;2") + COUNTIF(Z12, "&gt;2") + COUNTIF(Z16, "&gt;2") + COUNTIF(Z20, "&gt;2") + COUNTIF(Z24, "&gt;2") + COUNTIF(Z28, "&gt;2") + COUNTIF(Z32, "&gt;2")</f>
        <v>0</v>
      </c>
      <c r="AW34" s="22">
        <f>COUNTIF(AA4, "&gt;2") + COUNTIF(AA8, "&gt;2") + COUNTIF(AA12, "&gt;2") + COUNTIF(AA16, "&gt;2") + COUNTIF(AA20, "&gt;2") + COUNTIF(AA24, "&gt;2") + COUNTIF(AA28, "&gt;2") + COUNTIF(AA32, "&gt;2")</f>
        <v>0</v>
      </c>
      <c r="AX34" s="13"/>
      <c r="AY34" s="1" t="s">
        <v>38</v>
      </c>
      <c r="AZ34" s="14">
        <f>MAX(W31:AA34)</f>
        <v>8.2463768115942031</v>
      </c>
      <c r="BA34" s="14">
        <f>_xlfn.IFNA(VLOOKUP(AZ34, W31:AI34,8,0), _xlfn.IFNA(VLOOKUP(AZ34, X31:AI34,8,0), _xlfn.IFNA(VLOOKUP(AZ34, Y31:AI34,8,0), _xlfn.IFNA(VLOOKUP(AZ34, Z31:AI34,8,0), VLOOKUP(AZ34, AA31:AI34,8,0)))))</f>
        <v>0.13596014492753622</v>
      </c>
      <c r="BB34" s="1" t="s">
        <v>38</v>
      </c>
      <c r="BC34" s="14">
        <f>MAX(AE31:AI34)</f>
        <v>0.75362318840579712</v>
      </c>
      <c r="BE34" s="1" t="s">
        <v>38</v>
      </c>
      <c r="BF34" s="4">
        <f>MAX($W31:$AA31)</f>
        <v>1.1780538302277432</v>
      </c>
      <c r="BG34" s="14">
        <f>_xlfn.IFNA(VLOOKUP($BF34, $W31:$AI31,8,0), _xlfn.IFNA(VLOOKUP($BF34, $X31:$AI31,8,0), _xlfn.IFNA(VLOOKUP($BF34, $Y31:$AI31,8,0), _xlfn.IFNA(VLOOKUP($BF34, $Z31:$AI31,8,0), VLOOKUP($BF34, $AA31:$AI31,8,0)))))</f>
        <v>0.10499446640316207</v>
      </c>
      <c r="BI34" s="1" t="s">
        <v>38</v>
      </c>
      <c r="BJ34" s="4">
        <f>MAX($W32:$AA32)</f>
        <v>8.2463768115942031</v>
      </c>
      <c r="BK34" s="5">
        <f>_xlfn.IFNA(VLOOKUP($BJ34, $W32:$AI32,8,0), _xlfn.IFNA(VLOOKUP($BJ34, $X32:$AI32,8,0), _xlfn.IFNA(VLOOKUP($BJ34, $Y32:$AI32,8,0), _xlfn.IFNA(VLOOKUP($BJ34, $Z32:$AI32,8,0), VLOOKUP($BJ34, $AA32:$AI32,8,0)))))</f>
        <v>0.13596014492753622</v>
      </c>
      <c r="BM34" s="1" t="s">
        <v>38</v>
      </c>
      <c r="BN34" s="13">
        <f>MAX($W33:$AA33)</f>
        <v>2.3385247674670127</v>
      </c>
      <c r="BO34" s="14">
        <f>_xlfn.IFNA(VLOOKUP($BN34, $W33:$AI33,8,0), _xlfn.IFNA(VLOOKUP($BN34, $X33:$AI33,8,0), _xlfn.IFNA(VLOOKUP($BN34, $Y33:$AI33,8,0), _xlfn.IFNA(VLOOKUP($BN34, $Z33:$AI33,8,0), VLOOKUP($BN34, $AA33:$AI33,8,0)))))</f>
        <v>6.4864130434782605E-2</v>
      </c>
      <c r="BQ34" s="1" t="s">
        <v>38</v>
      </c>
      <c r="BR34" s="13">
        <f>MAX($W34:$AA34)</f>
        <v>1.5858416945373468</v>
      </c>
      <c r="BS34" s="14">
        <f>_xlfn.IFNA(VLOOKUP($BR34, $W34:$AI34,8,0), _xlfn.IFNA(VLOOKUP($BR34, $X34:$AI34,8,0), _xlfn.IFNA(VLOOKUP($BR34, $Y34:$AI34,8,0), _xlfn.IFNA(VLOOKUP($BR34, $Z34:$AI34,8,0), VLOOKUP($BR34, $AA34:$AI34,8,0)))))</f>
        <v>1.5935978332901134E-2</v>
      </c>
    </row>
    <row r="35" spans="1:71" x14ac:dyDescent="0.3">
      <c r="A35" s="31" t="s">
        <v>56</v>
      </c>
      <c r="B35" t="s">
        <v>27</v>
      </c>
      <c r="C35">
        <v>552</v>
      </c>
      <c r="D35">
        <v>160</v>
      </c>
      <c r="E35">
        <v>3</v>
      </c>
      <c r="F35">
        <v>0</v>
      </c>
      <c r="G35">
        <v>0</v>
      </c>
      <c r="I35">
        <v>53</v>
      </c>
      <c r="J35">
        <v>10</v>
      </c>
      <c r="K35">
        <v>1</v>
      </c>
      <c r="L35">
        <v>0</v>
      </c>
      <c r="M35">
        <v>0</v>
      </c>
      <c r="O35" s="27">
        <f t="shared" ref="O35:O54" si="20">IF(I35&gt;0, I35/C35, 0)</f>
        <v>9.6014492753623185E-2</v>
      </c>
      <c r="P35" s="27">
        <f t="shared" ref="P35:P54" si="21">IF(J35&gt;0, J35/D35, 0)</f>
        <v>6.25E-2</v>
      </c>
      <c r="Q35" s="27">
        <f t="shared" ref="Q35:Q54" si="22">IF(K35&gt;0, K35/E35, 0)</f>
        <v>0.33333333333333331</v>
      </c>
      <c r="R35" s="27">
        <f t="shared" ref="R35:R54" si="23">IF(L35&gt;0, L35/F35, 0)</f>
        <v>0</v>
      </c>
      <c r="S35" s="27">
        <f t="shared" ref="S35:S54" si="24">IF(M35&gt;0, M35/G35, 0)</f>
        <v>0</v>
      </c>
      <c r="T35" s="27"/>
      <c r="U35" s="27">
        <f>53/569</f>
        <v>9.3145869947275917E-2</v>
      </c>
      <c r="V35" s="27"/>
      <c r="W35" s="28">
        <f t="shared" si="17"/>
        <v>1.0307971014492754</v>
      </c>
      <c r="X35" s="28">
        <f t="shared" si="18"/>
        <v>0.67099056603773588</v>
      </c>
      <c r="Y35" s="28">
        <f t="shared" si="19"/>
        <v>3.5786163522012577</v>
      </c>
      <c r="Z35" s="28">
        <f t="shared" si="15"/>
        <v>0</v>
      </c>
      <c r="AA35" s="28">
        <f t="shared" si="16"/>
        <v>0</v>
      </c>
      <c r="AB35" s="28">
        <f t="shared" ref="AB35:AB54" si="25">MAX(W35:AA35)</f>
        <v>3.5786163522012577</v>
      </c>
      <c r="AC35" s="39">
        <f t="shared" si="9"/>
        <v>3</v>
      </c>
      <c r="AD35" s="39" t="str">
        <f t="shared" si="10"/>
        <v>5</v>
      </c>
      <c r="AE35" s="28">
        <f>IF(C35&gt;0,((I35*((3*53)+C35))/(4*C35*53))*(1-(C35-I35)/(569-53)),0)</f>
        <v>1.0608885237613734E-2</v>
      </c>
      <c r="AF35" s="28">
        <f>IF(D35&gt;0,((J35*((3*53)+D35))/(4*D35*53))*(1-(D35-J35)/(569-53)),0)</f>
        <v>6.6706203378674847E-2</v>
      </c>
      <c r="AG35" s="28">
        <f>IF(E35&gt;0,((K35*((3*53)+E35))/(4*E35*53))*(1-(E35-K35)/(569-53)),0)</f>
        <v>0.25372970601140848</v>
      </c>
      <c r="AH35" s="28">
        <f>IF(F35&gt;0,((L35*((3*53)+F35))/(4*F35*53))*(1-(F35-L35)/(569-53)),0)</f>
        <v>0</v>
      </c>
      <c r="AI35" s="28">
        <f>IF(G35&gt;0,((M35*((3*53)+G35))/(4*G35*53))*(1-(G35-M35)/(569-53)),0)</f>
        <v>0</v>
      </c>
      <c r="AR35" s="21" t="s">
        <v>29</v>
      </c>
      <c r="AS35" s="4">
        <f>COUNTIF(W5, "&gt;2") + COUNTIF(W9, "&gt;2") + COUNTIF(W13, "&gt;2") + COUNTIF(W17, "&gt;2") + COUNTIF(W21, "&gt;2") + COUNTIF(W25, "&gt;2") + COUNTIF(W29, "&gt;2") + COUNTIF(W33, "&gt;2")</f>
        <v>0</v>
      </c>
      <c r="AT35" s="4">
        <f>COUNTIF(X5, "&gt;2") + COUNTIF(X9, "&gt;2") + COUNTIF(X13, "&gt;2") + COUNTIF(X17, "&gt;2") + COUNTIF(X21, "&gt;2") + COUNTIF(X25, "&gt;2") + COUNTIF(X29, "&gt;2") + COUNTIF(X33, "&gt;2")</f>
        <v>0</v>
      </c>
      <c r="AU35" s="4">
        <f>COUNTIF(Y5, "&gt;2") + COUNTIF(Y9, "&gt;2") + COUNTIF(Y13, "&gt;2") + COUNTIF(Y17, "&gt;2") + COUNTIF(Y21, "&gt;2") + COUNTIF(Y25, "&gt;2") + COUNTIF(Y29, "&gt;2") + COUNTIF(Y33, "&gt;2")</f>
        <v>1</v>
      </c>
      <c r="AV35" s="4">
        <f>COUNTIF(Z5, "&gt;2") + COUNTIF(Z9, "&gt;2") + COUNTIF(Z13, "&gt;2") + COUNTIF(Z17, "&gt;2") + COUNTIF(Z21, "&gt;2") + COUNTIF(Z25, "&gt;2") + COUNTIF(Z29, "&gt;2") + COUNTIF(Z33, "&gt;2")</f>
        <v>0</v>
      </c>
      <c r="AW35" s="22">
        <f>COUNTIF(AA5, "&gt;2") + COUNTIF(AA9, "&gt;2") + COUNTIF(AA13, "&gt;2") + COUNTIF(AA17, "&gt;2") + COUNTIF(AA21, "&gt;2") + COUNTIF(AA25, "&gt;2") + COUNTIF(AA29, "&gt;2") + COUNTIF(AA33, "&gt;2")</f>
        <v>0</v>
      </c>
      <c r="AX35" s="4"/>
    </row>
    <row r="36" spans="1:71" x14ac:dyDescent="0.3">
      <c r="A36" s="31" t="s">
        <v>56</v>
      </c>
      <c r="B36" t="s">
        <v>28</v>
      </c>
      <c r="C36">
        <v>4</v>
      </c>
      <c r="D36">
        <v>0</v>
      </c>
      <c r="E36">
        <v>0</v>
      </c>
      <c r="F36">
        <v>0</v>
      </c>
      <c r="G36">
        <v>0</v>
      </c>
      <c r="I36">
        <v>2</v>
      </c>
      <c r="J36">
        <v>0</v>
      </c>
      <c r="K36">
        <v>0</v>
      </c>
      <c r="L36">
        <v>0</v>
      </c>
      <c r="M36">
        <v>0</v>
      </c>
      <c r="O36" s="27">
        <f t="shared" si="20"/>
        <v>0.5</v>
      </c>
      <c r="P36" s="27">
        <f t="shared" si="21"/>
        <v>0</v>
      </c>
      <c r="Q36" s="27">
        <f t="shared" si="22"/>
        <v>0</v>
      </c>
      <c r="R36" s="27">
        <f t="shared" si="23"/>
        <v>0</v>
      </c>
      <c r="S36" s="27">
        <f t="shared" si="24"/>
        <v>0</v>
      </c>
      <c r="T36" s="27"/>
      <c r="U36" s="27">
        <f>53/569</f>
        <v>9.3145869947275917E-2</v>
      </c>
      <c r="V36" s="27"/>
      <c r="W36" s="28">
        <f t="shared" si="17"/>
        <v>5.367924528301887</v>
      </c>
      <c r="X36" s="28">
        <f t="shared" si="18"/>
        <v>0</v>
      </c>
      <c r="Y36" s="28">
        <f t="shared" si="19"/>
        <v>0</v>
      </c>
      <c r="Z36" s="28">
        <f t="shared" si="15"/>
        <v>0</v>
      </c>
      <c r="AA36" s="28">
        <f t="shared" si="16"/>
        <v>0</v>
      </c>
      <c r="AB36" s="28">
        <f t="shared" si="25"/>
        <v>5.367924528301887</v>
      </c>
      <c r="AC36" s="39">
        <f t="shared" si="9"/>
        <v>4</v>
      </c>
      <c r="AD36" s="39" t="str">
        <f t="shared" si="10"/>
        <v>3</v>
      </c>
      <c r="AE36" s="28">
        <f>IF(C36&gt;0,((I36*((3*53)+C36))/(4*C36*53))*(1-(C36-I36)/(569-53)),0)</f>
        <v>0.38294390814684803</v>
      </c>
      <c r="AF36" s="28">
        <f>IF(D36&gt;0,((J36*((3*53)+D36))/(4*D36*53))*(1-(D36-J36)/(569-53)),0)</f>
        <v>0</v>
      </c>
      <c r="AG36" s="28">
        <f>IF(E36&gt;0,((K36*((3*53)+E36))/(4*E36*53))*(1-(E36-K36)/(569-53)),0)</f>
        <v>0</v>
      </c>
      <c r="AH36" s="28">
        <f>IF(F36&gt;0,((L36*((3*53)+F36))/(4*F36*53))*(1-(F36-L36)/(569-53)),0)</f>
        <v>0</v>
      </c>
      <c r="AI36" s="28">
        <f>IF(G36&gt;0,((M36*((3*53)+G36))/(4*G36*53))*(1-(G36-M36)/(569-53)),0)</f>
        <v>0</v>
      </c>
      <c r="AR36" s="21" t="s">
        <v>30</v>
      </c>
      <c r="AS36" s="4">
        <f>COUNTIF(W6, "&gt;2") + COUNTIF(W10, "&gt;2") + COUNTIF(W14, "&gt;2") + COUNTIF(W18, "&gt;2") + COUNTIF(W22, "&gt;2") + COUNTIF(W26, "&gt;2") + COUNTIF(W30, "&gt;2") + COUNTIF(W34, "&gt;2")</f>
        <v>0</v>
      </c>
      <c r="AT36" s="4">
        <f>COUNTIF(X6, "&gt;2") + COUNTIF(X10, "&gt;2") + COUNTIF(X14, "&gt;2") + COUNTIF(X18, "&gt;2") + COUNTIF(X22, "&gt;2") + COUNTIF(X26, "&gt;2") + COUNTIF(X30, "&gt;2") + COUNTIF(X34, "&gt;2")</f>
        <v>0</v>
      </c>
      <c r="AU36" s="4">
        <f>COUNTIF(Y6, "&gt;2") + COUNTIF(Y10, "&gt;2") + COUNTIF(Y14, "&gt;2") + COUNTIF(Y18, "&gt;2") + COUNTIF(Y22, "&gt;2") + COUNTIF(Y26, "&gt;2") + COUNTIF(Y30, "&gt;2") + COUNTIF(Y34, "&gt;2")</f>
        <v>1</v>
      </c>
      <c r="AV36" s="4">
        <f>COUNTIF(Z6, "&gt;2") + COUNTIF(Z10, "&gt;2") + COUNTIF(Z14, "&gt;2") + COUNTIF(Z18, "&gt;2") + COUNTIF(Z22, "&gt;2") + COUNTIF(Z26, "&gt;2") + COUNTIF(Z30, "&gt;2") + COUNTIF(Z34, "&gt;2")</f>
        <v>0</v>
      </c>
      <c r="AW36" s="22">
        <f>COUNTIF(AA6, "&gt;2") + COUNTIF(AA10, "&gt;2") + COUNTIF(AA14, "&gt;2") + COUNTIF(AA18, "&gt;2") + COUNTIF(AA22, "&gt;2") + COUNTIF(AA26, "&gt;2") + COUNTIF(AA30, "&gt;2") + COUNTIF(AA34, "&gt;2")</f>
        <v>0</v>
      </c>
      <c r="AX36" s="4"/>
      <c r="AY36" t="s">
        <v>42</v>
      </c>
      <c r="AZ36">
        <f>COUNTIF(AZ27:AZ34, "&gt;1.5")</f>
        <v>7</v>
      </c>
      <c r="BE36" t="s">
        <v>42</v>
      </c>
      <c r="BF36">
        <f>COUNTIF(BF27:BF34, "&gt;1.5")</f>
        <v>3</v>
      </c>
      <c r="BI36" t="s">
        <v>42</v>
      </c>
      <c r="BJ36">
        <f>COUNTIF(BJ27:BJ34, "&gt;1.5")</f>
        <v>4</v>
      </c>
      <c r="BM36" t="s">
        <v>42</v>
      </c>
      <c r="BN36">
        <f>COUNTIF(BN27:BN34, "&gt;1.5")</f>
        <v>1</v>
      </c>
      <c r="BQ36" t="s">
        <v>42</v>
      </c>
      <c r="BR36">
        <f>COUNTIF(BR27:BR34, "&gt;1.5")</f>
        <v>3</v>
      </c>
    </row>
    <row r="37" spans="1:71" x14ac:dyDescent="0.3">
      <c r="A37" s="31" t="s">
        <v>56</v>
      </c>
      <c r="B37" t="s">
        <v>29</v>
      </c>
      <c r="C37">
        <v>566</v>
      </c>
      <c r="D37">
        <v>447</v>
      </c>
      <c r="E37">
        <v>54</v>
      </c>
      <c r="F37">
        <v>1</v>
      </c>
      <c r="G37">
        <v>0</v>
      </c>
      <c r="I37">
        <v>53</v>
      </c>
      <c r="J37">
        <v>42</v>
      </c>
      <c r="K37">
        <v>6</v>
      </c>
      <c r="L37">
        <v>1</v>
      </c>
      <c r="M37">
        <v>0</v>
      </c>
      <c r="O37" s="27">
        <f t="shared" si="20"/>
        <v>9.3639575971731448E-2</v>
      </c>
      <c r="P37" s="27">
        <f t="shared" si="21"/>
        <v>9.3959731543624164E-2</v>
      </c>
      <c r="Q37" s="27">
        <f t="shared" si="22"/>
        <v>0.1111111111111111</v>
      </c>
      <c r="R37" s="27">
        <f t="shared" si="23"/>
        <v>1</v>
      </c>
      <c r="S37" s="27">
        <f t="shared" si="24"/>
        <v>0</v>
      </c>
      <c r="T37" s="27"/>
      <c r="U37" s="27">
        <f>53/569</f>
        <v>9.3145869947275917E-2</v>
      </c>
      <c r="V37" s="27"/>
      <c r="W37" s="28">
        <f t="shared" si="17"/>
        <v>1.0053003533568905</v>
      </c>
      <c r="X37" s="28">
        <f t="shared" si="18"/>
        <v>1.0087374952513615</v>
      </c>
      <c r="Y37" s="28">
        <f t="shared" si="19"/>
        <v>1.1928721174004193</v>
      </c>
      <c r="Z37" s="28">
        <f t="shared" si="15"/>
        <v>10.735849056603774</v>
      </c>
      <c r="AA37" s="28">
        <f t="shared" si="16"/>
        <v>0</v>
      </c>
      <c r="AB37" s="28">
        <f t="shared" si="25"/>
        <v>10.735849056603774</v>
      </c>
      <c r="AC37" s="39">
        <f t="shared" si="9"/>
        <v>1</v>
      </c>
      <c r="AD37" s="39" t="str">
        <f t="shared" si="10"/>
        <v>6</v>
      </c>
      <c r="AE37" s="28">
        <f>IF(C37&gt;0,((I37*((3*53)+C37))/(4*C37*53))*(1-(C37-I37)/(569-53)),0)</f>
        <v>1.8618004766209253E-3</v>
      </c>
      <c r="AF37" s="28">
        <f>IF(D37&gt;0,((J37*((3*53)+D37))/(4*D37*53))*(1-(D37-J37)/(569-53)),0)</f>
        <v>5.777657691616777E-2</v>
      </c>
      <c r="AG37" s="28">
        <f>IF(E37&gt;0,((K37*((3*53)+E37))/(4*E37*53))*(1-(E37-K37)/(569-53)),0)</f>
        <v>0.10125054848617816</v>
      </c>
      <c r="AH37" s="28">
        <f>IF(F37&gt;0,((L37*((3*53)+F37))/(4*F37*53))*(1-(F37-L37)/(569-53)),0)</f>
        <v>0.75471698113207553</v>
      </c>
      <c r="AI37" s="28">
        <f>IF(G37&gt;0,((M37*((3*53)+G37))/(4*G37*53))*(1-(G37-M37)/(569-53)),0)</f>
        <v>0</v>
      </c>
      <c r="AR37" s="19"/>
      <c r="AS37" s="1"/>
      <c r="AT37" s="1"/>
      <c r="AU37" s="1"/>
      <c r="AV37" s="1"/>
      <c r="AW37" s="23"/>
      <c r="AY37" t="s">
        <v>43</v>
      </c>
      <c r="AZ37">
        <f>COUNTIF(AZ27:AZ34, "&gt;2")</f>
        <v>6</v>
      </c>
      <c r="BE37" t="s">
        <v>43</v>
      </c>
      <c r="BF37">
        <f>COUNTIF(BF27:BF34, "&gt;2")</f>
        <v>2</v>
      </c>
      <c r="BI37" t="s">
        <v>43</v>
      </c>
      <c r="BJ37">
        <f>COUNTIF(BJ27:BJ34, "&gt;2")</f>
        <v>3</v>
      </c>
      <c r="BM37" t="s">
        <v>43</v>
      </c>
      <c r="BN37">
        <f>COUNTIF(BN27:BN34, "&gt;2")</f>
        <v>1</v>
      </c>
      <c r="BQ37" t="s">
        <v>43</v>
      </c>
      <c r="BR37">
        <f>COUNTIF(BR27:BR34, "&gt;2")</f>
        <v>1</v>
      </c>
    </row>
    <row r="38" spans="1:71" x14ac:dyDescent="0.3">
      <c r="A38" s="31" t="s">
        <v>56</v>
      </c>
      <c r="B38" s="1" t="s">
        <v>30</v>
      </c>
      <c r="C38" s="1">
        <v>541</v>
      </c>
      <c r="D38" s="1">
        <v>308</v>
      </c>
      <c r="E38" s="1">
        <v>18</v>
      </c>
      <c r="F38" s="1">
        <v>0</v>
      </c>
      <c r="G38" s="1">
        <v>0</v>
      </c>
      <c r="H38" s="1"/>
      <c r="I38" s="1">
        <v>52</v>
      </c>
      <c r="J38" s="1">
        <v>31</v>
      </c>
      <c r="K38" s="1">
        <v>1</v>
      </c>
      <c r="L38" s="1">
        <v>0</v>
      </c>
      <c r="M38" s="1">
        <v>0</v>
      </c>
      <c r="N38" s="1"/>
      <c r="O38" s="29">
        <f t="shared" si="20"/>
        <v>9.6118299445471345E-2</v>
      </c>
      <c r="P38" s="29">
        <f t="shared" si="21"/>
        <v>0.10064935064935066</v>
      </c>
      <c r="Q38" s="29">
        <f t="shared" si="22"/>
        <v>5.5555555555555552E-2</v>
      </c>
      <c r="R38" s="29">
        <f t="shared" si="23"/>
        <v>0</v>
      </c>
      <c r="S38" s="29">
        <f t="shared" si="24"/>
        <v>0</v>
      </c>
      <c r="T38" s="29"/>
      <c r="U38" s="29">
        <f>53/569</f>
        <v>9.3145869947275917E-2</v>
      </c>
      <c r="V38" s="29"/>
      <c r="W38" s="30">
        <f t="shared" si="17"/>
        <v>1.0319115544240227</v>
      </c>
      <c r="X38" s="30">
        <f t="shared" si="18"/>
        <v>1.0805562362166137</v>
      </c>
      <c r="Y38" s="30">
        <f t="shared" si="19"/>
        <v>0.59643605870020966</v>
      </c>
      <c r="Z38" s="30">
        <f t="shared" si="15"/>
        <v>0</v>
      </c>
      <c r="AA38" s="30">
        <f t="shared" si="16"/>
        <v>0</v>
      </c>
      <c r="AB38" s="30">
        <f t="shared" si="25"/>
        <v>1.0805562362166137</v>
      </c>
      <c r="AC38" s="40">
        <f t="shared" si="9"/>
        <v>308</v>
      </c>
      <c r="AD38" s="40" t="str">
        <f t="shared" si="10"/>
        <v>4</v>
      </c>
      <c r="AE38" s="30">
        <f>IF(C38&gt;0,((I38*((3*53)+C38))/(4*C38*53))*(1-(C38-I38)/(569-53)),0)</f>
        <v>1.6606660994582859E-2</v>
      </c>
      <c r="AF38" s="30">
        <f>IF(D38&gt;0,((J38*((3*53)+D38))/(4*D38*53))*(1-(D38-J38)/(569-53)),0)</f>
        <v>0.10269284750279706</v>
      </c>
      <c r="AG38" s="30">
        <f>IF(E38&gt;0,((K38*((3*53)+E38))/(4*E38*53))*(1-(E38-K38)/(569-53)),0)</f>
        <v>4.4855504363512252E-2</v>
      </c>
      <c r="AH38" s="30">
        <f>IF(F38&gt;0,((L38*((3*53)+F38))/(4*F38*53))*(1-(F38-L38)/(569-53)),0)</f>
        <v>0</v>
      </c>
      <c r="AI38" s="30">
        <f>IF(G38&gt;0,((M38*((3*53)+G38))/(4*G38*53))*(1-(G38-M38)/(569-53)),0)</f>
        <v>0</v>
      </c>
    </row>
    <row r="39" spans="1:71" x14ac:dyDescent="0.3">
      <c r="A39" s="31" t="s">
        <v>57</v>
      </c>
      <c r="B39" t="s">
        <v>27</v>
      </c>
      <c r="C39">
        <v>555</v>
      </c>
      <c r="D39">
        <v>208</v>
      </c>
      <c r="E39">
        <v>19</v>
      </c>
      <c r="F39">
        <v>0</v>
      </c>
      <c r="G39">
        <v>0</v>
      </c>
      <c r="I39">
        <v>53</v>
      </c>
      <c r="J39">
        <v>17</v>
      </c>
      <c r="K39">
        <v>4</v>
      </c>
      <c r="L39">
        <v>0</v>
      </c>
      <c r="M39">
        <v>0</v>
      </c>
      <c r="O39" s="27">
        <f t="shared" si="20"/>
        <v>9.5495495495495492E-2</v>
      </c>
      <c r="P39" s="27">
        <f t="shared" si="21"/>
        <v>8.1730769230769232E-2</v>
      </c>
      <c r="Q39" s="27">
        <f t="shared" si="22"/>
        <v>0.21052631578947367</v>
      </c>
      <c r="R39" s="27">
        <f t="shared" si="23"/>
        <v>0</v>
      </c>
      <c r="S39" s="27">
        <f t="shared" si="24"/>
        <v>0</v>
      </c>
      <c r="T39" s="27"/>
      <c r="U39" s="27">
        <f>57/569</f>
        <v>0.10017574692442882</v>
      </c>
      <c r="V39" s="27"/>
      <c r="W39" s="28">
        <f t="shared" si="17"/>
        <v>0.95327959538485851</v>
      </c>
      <c r="X39" s="28">
        <f t="shared" si="18"/>
        <v>0.81587381916329282</v>
      </c>
      <c r="Y39" s="28">
        <f t="shared" si="19"/>
        <v>2.1015697137580793</v>
      </c>
      <c r="Z39" s="28">
        <f t="shared" si="15"/>
        <v>0</v>
      </c>
      <c r="AA39" s="28">
        <f t="shared" si="16"/>
        <v>0</v>
      </c>
      <c r="AB39" s="28">
        <f t="shared" si="25"/>
        <v>2.1015697137580793</v>
      </c>
      <c r="AC39" s="39">
        <f t="shared" si="9"/>
        <v>19</v>
      </c>
      <c r="AD39" s="39" t="str">
        <f t="shared" si="10"/>
        <v>5</v>
      </c>
      <c r="AE39" s="28">
        <f>IF(C39&gt;0,((I39*((3*57)+C39))/(4*C39*57))*(1-(C39-I39)/(569-57)),0)</f>
        <v>5.9390187885253673E-3</v>
      </c>
      <c r="AF39" s="28">
        <f>IF(D39&gt;0,((J39*((3*57)+D39))/(4*D39*57))*(1-(D39-J39)/(569-57)),0)</f>
        <v>8.5177525817623972E-2</v>
      </c>
      <c r="AG39" s="28">
        <f>IF(E39&gt;0,((K39*((3*57)+E39))/(4*E39*57))*(1-(E39-K39)/(569-57)),0)</f>
        <v>0.17029879385964911</v>
      </c>
      <c r="AH39" s="28">
        <f>IF(F39&gt;0,((L39*((3*57)+F39))/(4*F39*57))*(1-(F39-L39)/(569-57)),0)</f>
        <v>0</v>
      </c>
      <c r="AI39" s="28">
        <f>IF(G39&gt;0,((M39*((3*57)+G39))/(4*G39*57))*(1-(G39-M39)/(569-57)),0)</f>
        <v>0</v>
      </c>
      <c r="AY39" s="1" t="s">
        <v>45</v>
      </c>
      <c r="AZ39" s="1"/>
      <c r="BB39" t="s">
        <v>52</v>
      </c>
    </row>
    <row r="40" spans="1:71" x14ac:dyDescent="0.3">
      <c r="A40" s="31" t="s">
        <v>57</v>
      </c>
      <c r="B40" t="s">
        <v>28</v>
      </c>
      <c r="C40">
        <v>368</v>
      </c>
      <c r="D40">
        <v>34</v>
      </c>
      <c r="E40">
        <v>1</v>
      </c>
      <c r="F40">
        <v>0</v>
      </c>
      <c r="G40">
        <v>0</v>
      </c>
      <c r="I40">
        <v>27</v>
      </c>
      <c r="J40">
        <v>3</v>
      </c>
      <c r="K40">
        <v>0</v>
      </c>
      <c r="L40">
        <v>0</v>
      </c>
      <c r="M40">
        <v>0</v>
      </c>
      <c r="O40" s="27">
        <f t="shared" si="20"/>
        <v>7.3369565217391311E-2</v>
      </c>
      <c r="P40" s="27">
        <f t="shared" si="21"/>
        <v>8.8235294117647065E-2</v>
      </c>
      <c r="Q40" s="27">
        <f t="shared" si="22"/>
        <v>0</v>
      </c>
      <c r="R40" s="27">
        <f t="shared" si="23"/>
        <v>0</v>
      </c>
      <c r="S40" s="27">
        <f t="shared" si="24"/>
        <v>0</v>
      </c>
      <c r="T40" s="27"/>
      <c r="U40" s="27">
        <f>57/569</f>
        <v>0.10017574692442882</v>
      </c>
      <c r="V40" s="27"/>
      <c r="W40" s="28">
        <f t="shared" si="17"/>
        <v>0.732408466819222</v>
      </c>
      <c r="X40" s="28">
        <f t="shared" si="18"/>
        <v>0.88080495356037158</v>
      </c>
      <c r="Y40" s="28">
        <f t="shared" si="19"/>
        <v>0</v>
      </c>
      <c r="Z40" s="28">
        <f t="shared" si="15"/>
        <v>0</v>
      </c>
      <c r="AA40" s="28">
        <f t="shared" si="16"/>
        <v>0</v>
      </c>
      <c r="AB40" s="28">
        <f t="shared" si="25"/>
        <v>0.88080495356037158</v>
      </c>
      <c r="AC40" s="39">
        <f t="shared" si="9"/>
        <v>34</v>
      </c>
      <c r="AD40" s="39" t="str">
        <f t="shared" si="10"/>
        <v>4</v>
      </c>
      <c r="AE40" s="28">
        <f>IF(C40&gt;0,((I40*((3*57)+C40))/(4*C40*57))*(1-(C40-I40)/(569-57)),0)</f>
        <v>5.7928997537364128E-2</v>
      </c>
      <c r="AF40" s="28">
        <f>IF(D40&gt;0,((J40*((3*57)+D40))/(4*D40*57))*(1-(D40-J40)/(569-57)),0)</f>
        <v>7.4530917424535603E-2</v>
      </c>
      <c r="AG40" s="28">
        <f>IF(E40&gt;0,((K40*((3*57)+E40))/(4*E40*57))*(1-(E40-K40)/(569-57)),0)</f>
        <v>0</v>
      </c>
      <c r="AH40" s="28">
        <f>IF(F40&gt;0,((L40*((3*57)+F40))/(4*F40*57))*(1-(F40-L40)/(569-57)),0)</f>
        <v>0</v>
      </c>
      <c r="AI40" s="28">
        <f>IF(G40&gt;0,((M40*((3*57)+G40))/(4*G40*57))*(1-(G40-M40)/(569-57)),0)</f>
        <v>0</v>
      </c>
      <c r="AY40" t="s">
        <v>26</v>
      </c>
      <c r="AZ40" t="str">
        <f>IF(COUNTIF(W3:AA3,AZ27), B3, IF(COUNTIF(W4:AA4,AZ27), B4, IF(COUNTIF(W5:AA5,AZ27), B5, B6)))</f>
        <v>dU</v>
      </c>
      <c r="BB40" t="str">
        <f>ROUND(AZ27, 2) &amp; " (" &amp; ROUND(BA27, 2) &amp; ")"</f>
        <v>4.38 (0.11)</v>
      </c>
    </row>
    <row r="41" spans="1:71" x14ac:dyDescent="0.3">
      <c r="A41" s="31" t="s">
        <v>57</v>
      </c>
      <c r="B41" t="s">
        <v>29</v>
      </c>
      <c r="C41">
        <v>558</v>
      </c>
      <c r="D41">
        <v>329</v>
      </c>
      <c r="E41">
        <v>5</v>
      </c>
      <c r="F41">
        <v>0</v>
      </c>
      <c r="G41">
        <v>0</v>
      </c>
      <c r="I41">
        <v>51</v>
      </c>
      <c r="J41">
        <v>21</v>
      </c>
      <c r="K41">
        <v>0</v>
      </c>
      <c r="L41">
        <v>0</v>
      </c>
      <c r="M41">
        <v>0</v>
      </c>
      <c r="O41" s="27">
        <f t="shared" si="20"/>
        <v>9.1397849462365593E-2</v>
      </c>
      <c r="P41" s="27">
        <f t="shared" si="21"/>
        <v>6.3829787234042548E-2</v>
      </c>
      <c r="Q41" s="27">
        <f t="shared" si="22"/>
        <v>0</v>
      </c>
      <c r="R41" s="27">
        <f t="shared" si="23"/>
        <v>0</v>
      </c>
      <c r="S41" s="27">
        <f t="shared" si="24"/>
        <v>0</v>
      </c>
      <c r="T41" s="27"/>
      <c r="U41" s="27">
        <f>57/569</f>
        <v>0.10017574692442882</v>
      </c>
      <c r="V41" s="27"/>
      <c r="W41" s="28">
        <f t="shared" si="17"/>
        <v>0.91237502358045652</v>
      </c>
      <c r="X41" s="28">
        <f t="shared" si="18"/>
        <v>0.6371780515117581</v>
      </c>
      <c r="Y41" s="28">
        <f t="shared" si="19"/>
        <v>0</v>
      </c>
      <c r="Z41" s="28">
        <f t="shared" si="15"/>
        <v>0</v>
      </c>
      <c r="AA41" s="28">
        <f t="shared" si="16"/>
        <v>0</v>
      </c>
      <c r="AB41" s="28">
        <f t="shared" si="25"/>
        <v>0.91237502358045652</v>
      </c>
      <c r="AC41" s="39">
        <f t="shared" si="9"/>
        <v>558</v>
      </c>
      <c r="AD41" s="39" t="str">
        <f t="shared" si="10"/>
        <v>3</v>
      </c>
      <c r="AE41" s="28">
        <f>IF(C41&gt;0,((I41*((3*57)+C41))/(4*C41*57))*(1-(C41-I41)/(569-57)),0)</f>
        <v>2.8538339611629882E-3</v>
      </c>
      <c r="AF41" s="28">
        <f>IF(D41&gt;0,((J41*((3*57)+D41))/(4*D41*57))*(1-(D41-J41)/(569-57)),0)</f>
        <v>5.5772326427771551E-2</v>
      </c>
      <c r="AG41" s="28">
        <f>IF(E41&gt;0,((K41*((3*57)+E41))/(4*E41*57))*(1-(E41-K41)/(569-57)),0)</f>
        <v>0</v>
      </c>
      <c r="AH41" s="28">
        <f>IF(F41&gt;0,((L41*((3*57)+F41))/(4*F41*57))*(1-(F41-L41)/(569-57)),0)</f>
        <v>0</v>
      </c>
      <c r="AI41" s="28">
        <f>IF(G41&gt;0,((M41*((3*57)+G41))/(4*G41*57))*(1-(G41-M41)/(569-57)),0)</f>
        <v>0</v>
      </c>
      <c r="AY41" t="s">
        <v>31</v>
      </c>
      <c r="AZ41" t="str">
        <f>IF(COUNTIF(W7:AA7,AZ28), B7, IF(COUNTIF(W8:AA8,AZ28), B8, IF(COUNTIF(W9:AA9,AZ28), B9, B10)))</f>
        <v>dE(class)</v>
      </c>
      <c r="BB41" t="str">
        <f t="shared" ref="BB41:BB43" si="26">ROUND(AZ28, 2) &amp; " (" &amp; ROUND(BA28, 2) &amp; ")"</f>
        <v>2.21 (0.08)</v>
      </c>
    </row>
    <row r="42" spans="1:71" x14ac:dyDescent="0.3">
      <c r="A42" s="33" t="s">
        <v>57</v>
      </c>
      <c r="B42" s="1" t="s">
        <v>30</v>
      </c>
      <c r="C42" s="1">
        <v>40</v>
      </c>
      <c r="D42" s="1">
        <v>5</v>
      </c>
      <c r="E42" s="1">
        <v>0</v>
      </c>
      <c r="F42" s="1">
        <v>0</v>
      </c>
      <c r="G42" s="1">
        <v>0</v>
      </c>
      <c r="H42" s="1"/>
      <c r="I42" s="1">
        <v>2</v>
      </c>
      <c r="J42" s="1">
        <v>0</v>
      </c>
      <c r="K42" s="1">
        <v>0</v>
      </c>
      <c r="L42" s="1">
        <v>0</v>
      </c>
      <c r="M42" s="1">
        <v>0</v>
      </c>
      <c r="N42" s="1"/>
      <c r="O42" s="29">
        <f t="shared" si="20"/>
        <v>0.05</v>
      </c>
      <c r="P42" s="29">
        <f t="shared" si="21"/>
        <v>0</v>
      </c>
      <c r="Q42" s="29">
        <f t="shared" si="22"/>
        <v>0</v>
      </c>
      <c r="R42" s="29">
        <f t="shared" si="23"/>
        <v>0</v>
      </c>
      <c r="S42" s="29">
        <f t="shared" si="24"/>
        <v>0</v>
      </c>
      <c r="T42" s="29"/>
      <c r="U42" s="29">
        <f>57/569</f>
        <v>0.10017574692442882</v>
      </c>
      <c r="V42" s="29"/>
      <c r="W42" s="30">
        <f t="shared" si="17"/>
        <v>0.49912280701754391</v>
      </c>
      <c r="X42" s="30">
        <f t="shared" si="18"/>
        <v>0</v>
      </c>
      <c r="Y42" s="30">
        <f t="shared" si="19"/>
        <v>0</v>
      </c>
      <c r="Z42" s="30">
        <f t="shared" si="15"/>
        <v>0</v>
      </c>
      <c r="AA42" s="30">
        <f t="shared" si="16"/>
        <v>0</v>
      </c>
      <c r="AB42" s="30">
        <f t="shared" si="25"/>
        <v>0.49912280701754391</v>
      </c>
      <c r="AC42" s="40">
        <f t="shared" si="9"/>
        <v>40</v>
      </c>
      <c r="AD42" s="40" t="str">
        <f t="shared" si="10"/>
        <v>3</v>
      </c>
      <c r="AE42" s="30">
        <f>IF(C42&gt;0,((I42*((3*57)+C42))/(4*C42*57))*(1-(C42-I42)/(569-57)),0)</f>
        <v>4.2837685032894736E-2</v>
      </c>
      <c r="AF42" s="30">
        <f>IF(D42&gt;0,((J42*((3*57)+D42))/(4*D42*57))*(1-(D42-J42)/(569-57)),0)</f>
        <v>0</v>
      </c>
      <c r="AG42" s="30">
        <f>IF(E42&gt;0,((K42*((3*57)+E42))/(4*E42*57))*(1-(E42-K42)/(569-57)),0)</f>
        <v>0</v>
      </c>
      <c r="AH42" s="30">
        <f>IF(F42&gt;0,((L42*((3*57)+F42))/(4*F42*57))*(1-(F42-L42)/(569-57)),0)</f>
        <v>0</v>
      </c>
      <c r="AI42" s="30">
        <f>IF(G42&gt;0,((M42*((3*57)+G42))/(4*G42*57))*(1-(G42-M42)/(569-57)),0)</f>
        <v>0</v>
      </c>
      <c r="AY42" t="s">
        <v>32</v>
      </c>
      <c r="AZ42" t="str">
        <f>IF(COUNTIF(W11:AA11,AZ29), B11, IF(COUNTIF(W12:AA12,AZ29), B12, IF(COUNTIF(W13:AA13,AZ29), B13, B14)))</f>
        <v>dU(class)</v>
      </c>
      <c r="BB42" t="str">
        <f t="shared" si="26"/>
        <v>1.47 (0.13)</v>
      </c>
    </row>
    <row r="43" spans="1:71" x14ac:dyDescent="0.3">
      <c r="A43" s="31" t="s">
        <v>35</v>
      </c>
      <c r="B43" t="s">
        <v>27</v>
      </c>
      <c r="C43">
        <v>444</v>
      </c>
      <c r="D43">
        <v>67</v>
      </c>
      <c r="E43">
        <v>4</v>
      </c>
      <c r="F43">
        <v>0</v>
      </c>
      <c r="G43">
        <v>0</v>
      </c>
      <c r="I43">
        <v>31</v>
      </c>
      <c r="J43">
        <v>4</v>
      </c>
      <c r="K43">
        <v>0</v>
      </c>
      <c r="L43">
        <v>0</v>
      </c>
      <c r="M43">
        <v>0</v>
      </c>
      <c r="O43" s="2">
        <f t="shared" si="20"/>
        <v>6.9819819819819814E-2</v>
      </c>
      <c r="P43" s="2">
        <f t="shared" si="21"/>
        <v>5.9701492537313432E-2</v>
      </c>
      <c r="Q43" s="2">
        <f t="shared" si="22"/>
        <v>0</v>
      </c>
      <c r="R43" s="2">
        <f t="shared" si="23"/>
        <v>0</v>
      </c>
      <c r="S43" s="2">
        <f t="shared" si="24"/>
        <v>0</v>
      </c>
      <c r="T43" s="2"/>
      <c r="U43" s="2">
        <f>39/569</f>
        <v>6.8541300527240778E-2</v>
      </c>
      <c r="V43" s="2"/>
      <c r="W43" s="3">
        <f t="shared" si="17"/>
        <v>1.0186532686532686</v>
      </c>
      <c r="X43" s="3">
        <f t="shared" si="18"/>
        <v>0.8710294680443933</v>
      </c>
      <c r="Y43" s="3">
        <f t="shared" si="19"/>
        <v>0</v>
      </c>
      <c r="Z43" s="3">
        <f t="shared" si="15"/>
        <v>0</v>
      </c>
      <c r="AA43" s="3">
        <f t="shared" si="16"/>
        <v>0</v>
      </c>
      <c r="AB43" s="3">
        <f t="shared" si="25"/>
        <v>1.0186532686532686</v>
      </c>
      <c r="AC43" s="41">
        <f t="shared" si="9"/>
        <v>444</v>
      </c>
      <c r="AD43" s="41" t="str">
        <f t="shared" si="10"/>
        <v>3</v>
      </c>
      <c r="AE43" s="3">
        <f>IF(C43&gt;0,((I43*((3*39)+C43))/(4*C43*39))*(1-(C43-I43)/(569-39)),0)</f>
        <v>5.5427715451300347E-2</v>
      </c>
      <c r="AF43" s="3">
        <f>IF(D43&gt;0,((J43*((3*39)+D43))/(4*D43*39))*(1-(D43-J43)/(569-39)),0)</f>
        <v>6.2046805161420762E-2</v>
      </c>
      <c r="AG43" s="3">
        <f>IF(E43&gt;0,((K43*((3*39)+E43))/(4*E43*39))*(1-(E43-K43)/(569-39)),0)</f>
        <v>0</v>
      </c>
      <c r="AH43" s="3">
        <f>IF(F43&gt;0,((L43*((3*39)+F43))/(4*F43*39))*(1-(F43-L43)/(569-39)),0)</f>
        <v>0</v>
      </c>
      <c r="AI43" s="3">
        <f>IF(G43&gt;0,((M43*((3*39)+G43))/(4*G43*39))*(1-(G43-M43)/(569-39)),0)</f>
        <v>0</v>
      </c>
      <c r="AY43" t="s">
        <v>33</v>
      </c>
      <c r="AZ43" t="str">
        <f>IF(COUNTIF(W15:AA15,AZ30), B15, IF(COUNTIF(W16:AA16,AZ30), B16, IF(COUNTIF(W17:AA17,AZ30), B17, B18)))</f>
        <v>dE</v>
      </c>
      <c r="BB43" t="str">
        <f t="shared" si="26"/>
        <v>4.2 (0.09)</v>
      </c>
    </row>
    <row r="44" spans="1:71" x14ac:dyDescent="0.3">
      <c r="A44" s="31" t="s">
        <v>35</v>
      </c>
      <c r="B44" t="s">
        <v>28</v>
      </c>
      <c r="C44">
        <v>43</v>
      </c>
      <c r="D44">
        <v>9</v>
      </c>
      <c r="E44">
        <v>0</v>
      </c>
      <c r="F44">
        <v>0</v>
      </c>
      <c r="G44">
        <v>0</v>
      </c>
      <c r="I44">
        <v>2</v>
      </c>
      <c r="J44">
        <v>0</v>
      </c>
      <c r="K44">
        <v>0</v>
      </c>
      <c r="L44">
        <v>0</v>
      </c>
      <c r="M44">
        <v>0</v>
      </c>
      <c r="O44" s="2">
        <f t="shared" si="20"/>
        <v>4.6511627906976744E-2</v>
      </c>
      <c r="P44" s="2">
        <f t="shared" si="21"/>
        <v>0</v>
      </c>
      <c r="Q44" s="2">
        <f t="shared" si="22"/>
        <v>0</v>
      </c>
      <c r="R44" s="2">
        <f t="shared" si="23"/>
        <v>0</v>
      </c>
      <c r="S44" s="2">
        <f t="shared" si="24"/>
        <v>0</v>
      </c>
      <c r="T44" s="2"/>
      <c r="U44" s="2">
        <f>39/569</f>
        <v>6.8541300527240778E-2</v>
      </c>
      <c r="V44" s="2"/>
      <c r="W44" s="3">
        <f t="shared" si="17"/>
        <v>0.67859272510435298</v>
      </c>
      <c r="X44" s="3">
        <f t="shared" si="18"/>
        <v>0</v>
      </c>
      <c r="Y44" s="3">
        <f t="shared" si="19"/>
        <v>0</v>
      </c>
      <c r="Z44" s="3">
        <f t="shared" si="15"/>
        <v>0</v>
      </c>
      <c r="AA44" s="3">
        <f t="shared" si="16"/>
        <v>0</v>
      </c>
      <c r="AB44" s="3">
        <f t="shared" si="25"/>
        <v>0.67859272510435298</v>
      </c>
      <c r="AC44" s="41">
        <f t="shared" si="9"/>
        <v>43</v>
      </c>
      <c r="AD44" s="41" t="str">
        <f t="shared" si="10"/>
        <v>3</v>
      </c>
      <c r="AE44" s="3">
        <f>IF(C44&gt;0,((I44*((3*39)+C44))/(4*C44*39))*(1-(C44-I44)/(569-39)),0)</f>
        <v>4.4013906234178286E-2</v>
      </c>
      <c r="AF44" s="3">
        <f>IF(D44&gt;0,((J44*((3*39)+D44))/(4*D44*39))*(1-(D44-J44)/(569-39)),0)</f>
        <v>0</v>
      </c>
      <c r="AG44" s="3">
        <f>IF(E44&gt;0,((K44*((3*39)+E44))/(4*E44*39))*(1-(E44-K44)/(569-39)),0)</f>
        <v>0</v>
      </c>
      <c r="AH44" s="3">
        <f>IF(F44&gt;0,((L44*((3*39)+F44))/(4*F44*39))*(1-(F44-L44)/(569-39)),0)</f>
        <v>0</v>
      </c>
      <c r="AI44" s="3">
        <f>IF(G44&gt;0,((M44*((3*39)+G44))/(4*G44*39))*(1-(G44-M44)/(569-39)),0)</f>
        <v>0</v>
      </c>
      <c r="AY44" t="s">
        <v>34</v>
      </c>
      <c r="AZ44" t="str">
        <f>IF(COUNTIF(W19:AA19,AZ31), B19, IF(COUNTIF(W20:AA20,AZ31), B20, IF(COUNTIF(W21:AA21,AZ31), B21, B22)))</f>
        <v>dE</v>
      </c>
      <c r="BB44" t="str">
        <f>ROUND(AZ31, 2) &amp; " (" &amp; ROUND(BA31, 2) &amp; ")"</f>
        <v>2.63 (3)</v>
      </c>
    </row>
    <row r="45" spans="1:71" x14ac:dyDescent="0.3">
      <c r="A45" s="31" t="s">
        <v>35</v>
      </c>
      <c r="B45" t="s">
        <v>29</v>
      </c>
      <c r="C45">
        <v>544</v>
      </c>
      <c r="D45">
        <v>273</v>
      </c>
      <c r="E45">
        <v>9</v>
      </c>
      <c r="F45">
        <v>0</v>
      </c>
      <c r="G45">
        <v>0</v>
      </c>
      <c r="I45">
        <v>38</v>
      </c>
      <c r="J45">
        <v>25</v>
      </c>
      <c r="K45">
        <v>0</v>
      </c>
      <c r="L45">
        <v>0</v>
      </c>
      <c r="M45">
        <v>0</v>
      </c>
      <c r="O45" s="2">
        <f t="shared" si="20"/>
        <v>6.985294117647059E-2</v>
      </c>
      <c r="P45" s="2">
        <f t="shared" si="21"/>
        <v>9.1575091575091569E-2</v>
      </c>
      <c r="Q45" s="2">
        <f t="shared" si="22"/>
        <v>0</v>
      </c>
      <c r="R45" s="2">
        <f t="shared" si="23"/>
        <v>0</v>
      </c>
      <c r="S45" s="2">
        <f t="shared" si="24"/>
        <v>0</v>
      </c>
      <c r="T45" s="2"/>
      <c r="U45" s="2">
        <f>39/569</f>
        <v>6.8541300527240778E-2</v>
      </c>
      <c r="V45" s="2"/>
      <c r="W45" s="3">
        <f t="shared" si="17"/>
        <v>1.0191365007541477</v>
      </c>
      <c r="X45" s="3">
        <f t="shared" si="18"/>
        <v>1.3360571052878742</v>
      </c>
      <c r="Y45" s="3">
        <f t="shared" si="19"/>
        <v>0</v>
      </c>
      <c r="Z45" s="3">
        <f t="shared" si="15"/>
        <v>0</v>
      </c>
      <c r="AA45" s="3">
        <f t="shared" si="16"/>
        <v>0</v>
      </c>
      <c r="AB45" s="3">
        <f t="shared" si="25"/>
        <v>1.3360571052878742</v>
      </c>
      <c r="AC45" s="41">
        <f t="shared" si="9"/>
        <v>273</v>
      </c>
      <c r="AD45" s="41" t="str">
        <f t="shared" si="10"/>
        <v>4</v>
      </c>
      <c r="AE45" s="3">
        <f>IF(C45&gt;0,((I45*((3*39)+C45))/(4*C45*39))*(1-(C45-I45)/(569-39)),0)</f>
        <v>1.3402842994962859E-2</v>
      </c>
      <c r="AF45" s="3">
        <f>IF(D45&gt;0,((J45*((3*39)+D45))/(4*D45*39))*(1-(D45-J45)/(569-39)),0)</f>
        <v>0.1218121501140369</v>
      </c>
      <c r="AG45" s="3">
        <f>IF(E45&gt;0,((K45*((3*39)+E45))/(4*E45*39))*(1-(E45-K45)/(569-39)),0)</f>
        <v>0</v>
      </c>
      <c r="AH45" s="3">
        <f>IF(F45&gt;0,((L45*((3*39)+F45))/(4*F45*39))*(1-(F45-L45)/(569-39)),0)</f>
        <v>0</v>
      </c>
      <c r="AI45" s="3">
        <f>IF(G45&gt;0,((M45*((3*39)+G45))/(4*G45*39))*(1-(G45-M45)/(569-39)),0)</f>
        <v>0</v>
      </c>
      <c r="AY45" t="s">
        <v>35</v>
      </c>
      <c r="AZ45" t="str">
        <f>IF(COUNTIF(W23:AA23,AZ32), B23, IF(COUNTIF(W24:AA24,AZ32), B24, IF(COUNTIF(W25:AA25,AZ32), B25, B26)))</f>
        <v>dE</v>
      </c>
      <c r="BB45" t="str">
        <f t="shared" ref="BB45:BB47" si="27">ROUND(AZ32, 2) &amp; " (" &amp; ROUND(BA32, 2) &amp; ")"</f>
        <v>1.72 (0.04)</v>
      </c>
    </row>
    <row r="46" spans="1:71" x14ac:dyDescent="0.3">
      <c r="A46" s="31" t="s">
        <v>35</v>
      </c>
      <c r="B46" s="1" t="s">
        <v>30</v>
      </c>
      <c r="C46" s="1">
        <v>499</v>
      </c>
      <c r="D46" s="1">
        <v>21</v>
      </c>
      <c r="E46" s="1">
        <v>0</v>
      </c>
      <c r="F46" s="1">
        <v>0</v>
      </c>
      <c r="G46" s="1">
        <v>0</v>
      </c>
      <c r="H46" s="1"/>
      <c r="I46" s="1">
        <v>37</v>
      </c>
      <c r="J46" s="1">
        <v>0</v>
      </c>
      <c r="K46" s="1">
        <v>0</v>
      </c>
      <c r="L46" s="1">
        <v>0</v>
      </c>
      <c r="M46" s="1">
        <v>0</v>
      </c>
      <c r="N46" s="1"/>
      <c r="O46" s="9">
        <f t="shared" si="20"/>
        <v>7.4148296593186377E-2</v>
      </c>
      <c r="P46" s="9">
        <f t="shared" si="21"/>
        <v>0</v>
      </c>
      <c r="Q46" s="9">
        <f t="shared" si="22"/>
        <v>0</v>
      </c>
      <c r="R46" s="9">
        <f t="shared" si="23"/>
        <v>0</v>
      </c>
      <c r="S46" s="9">
        <f t="shared" si="24"/>
        <v>0</v>
      </c>
      <c r="T46" s="9"/>
      <c r="U46" s="9">
        <f>39/569</f>
        <v>6.8541300527240778E-2</v>
      </c>
      <c r="V46" s="9"/>
      <c r="W46" s="10">
        <f t="shared" si="17"/>
        <v>1.0818046349108472</v>
      </c>
      <c r="X46" s="10">
        <f t="shared" si="18"/>
        <v>0</v>
      </c>
      <c r="Y46" s="10">
        <f t="shared" si="19"/>
        <v>0</v>
      </c>
      <c r="Z46" s="10">
        <f t="shared" si="15"/>
        <v>0</v>
      </c>
      <c r="AA46" s="10">
        <f t="shared" si="16"/>
        <v>0</v>
      </c>
      <c r="AB46" s="10">
        <f t="shared" si="25"/>
        <v>1.0818046349108472</v>
      </c>
      <c r="AC46" s="42">
        <f t="shared" si="9"/>
        <v>499</v>
      </c>
      <c r="AD46" s="42" t="str">
        <f t="shared" si="10"/>
        <v>3</v>
      </c>
      <c r="AE46" s="10">
        <f>IF(C46&gt;0,((I46*((3*39)+C46))/(4*C46*39))*(1-(C46-I46)/(569-39)),0)</f>
        <v>3.7565600480108735E-2</v>
      </c>
      <c r="AF46" s="10">
        <f>IF(D46&gt;0,((J46*((3*39)+D46))/(4*D46*39))*(1-(D46-J46)/(569-39)),0)</f>
        <v>0</v>
      </c>
      <c r="AG46" s="10">
        <f>IF(E46&gt;0,((K46*((3*39)+E46))/(4*E46*39))*(1-(E46-K46)/(569-39)),0)</f>
        <v>0</v>
      </c>
      <c r="AH46" s="10">
        <f>IF(F46&gt;0,((L46*((3*39)+F46))/(4*F46*39))*(1-(F46-L46)/(569-39)),0)</f>
        <v>0</v>
      </c>
      <c r="AI46" s="10">
        <f>IF(G46&gt;0,((M46*((3*39)+G46))/(4*G46*39))*(1-(G46-M46)/(569-39)),0)</f>
        <v>0</v>
      </c>
      <c r="AY46" t="s">
        <v>37</v>
      </c>
      <c r="AZ46" t="str">
        <f>IF(COUNTIF(W27:AA27,AZ33), B27, IF(COUNTIF(W28:AA28,AZ33), B28, IF(COUNTIF(W29:AA29,AZ33), B29, B30)))</f>
        <v>dE(class)</v>
      </c>
      <c r="BB46" t="str">
        <f t="shared" si="27"/>
        <v>4.46 (0.16)</v>
      </c>
    </row>
    <row r="47" spans="1:71" x14ac:dyDescent="0.3">
      <c r="A47" s="31" t="s">
        <v>37</v>
      </c>
      <c r="B47" t="s">
        <v>27</v>
      </c>
      <c r="C47">
        <v>494</v>
      </c>
      <c r="D47">
        <v>103</v>
      </c>
      <c r="E47">
        <v>6</v>
      </c>
      <c r="F47">
        <v>0</v>
      </c>
      <c r="G47">
        <v>0</v>
      </c>
      <c r="I47">
        <v>53</v>
      </c>
      <c r="J47">
        <v>7</v>
      </c>
      <c r="K47">
        <v>0</v>
      </c>
      <c r="L47">
        <v>0</v>
      </c>
      <c r="M47">
        <v>0</v>
      </c>
      <c r="O47" s="2">
        <f t="shared" si="20"/>
        <v>0.10728744939271255</v>
      </c>
      <c r="P47" s="2">
        <f t="shared" si="21"/>
        <v>6.7961165048543687E-2</v>
      </c>
      <c r="Q47" s="2">
        <f t="shared" si="22"/>
        <v>0</v>
      </c>
      <c r="R47" s="2">
        <f t="shared" si="23"/>
        <v>0</v>
      </c>
      <c r="S47" s="2">
        <f t="shared" si="24"/>
        <v>0</v>
      </c>
      <c r="T47" s="2"/>
      <c r="U47" s="2">
        <f>56/569</f>
        <v>9.8418277680140595E-2</v>
      </c>
      <c r="V47" s="2"/>
      <c r="W47" s="3">
        <f t="shared" si="17"/>
        <v>1.0901171197223829</v>
      </c>
      <c r="X47" s="3">
        <f t="shared" si="18"/>
        <v>0.69053398058252424</v>
      </c>
      <c r="Y47" s="3">
        <f t="shared" si="19"/>
        <v>0</v>
      </c>
      <c r="Z47" s="3">
        <f t="shared" si="15"/>
        <v>0</v>
      </c>
      <c r="AA47" s="3">
        <f t="shared" si="16"/>
        <v>0</v>
      </c>
      <c r="AB47" s="3">
        <f t="shared" si="25"/>
        <v>1.0901171197223829</v>
      </c>
      <c r="AC47" s="41">
        <f t="shared" si="9"/>
        <v>494</v>
      </c>
      <c r="AD47" s="41" t="str">
        <f t="shared" si="10"/>
        <v>3</v>
      </c>
      <c r="AE47" s="3">
        <f>IF(C47&gt;0,((I47*((3*56)+C47))/(4*C47*56))*(1-(C47-I47)/(569-56)),0)</f>
        <v>4.4501435775674003E-2</v>
      </c>
      <c r="AF47" s="3">
        <f>IF(D47&gt;0,((J47*((3*56)+D47))/(4*D47*56))*(1-(D47-J47)/(569-56)),0)</f>
        <v>6.683451144041333E-2</v>
      </c>
      <c r="AG47" s="3">
        <f>IF(E47&gt;0,((K47*((3*56)+E47))/(4*E47*56))*(1-(E47-K47)/(569-56)),0)</f>
        <v>0</v>
      </c>
      <c r="AH47" s="3">
        <f>IF(F47&gt;0,((L47*((3*56)+F47))/(4*F47*56))*(1-(F47-L47)/(569-56)),0)</f>
        <v>0</v>
      </c>
      <c r="AI47" s="3">
        <f>IF(G47&gt;0,((M47*((3*56)+G47))/(4*G47*56))*(1-(G47-M47)/(569-56)),0)</f>
        <v>0</v>
      </c>
      <c r="AY47" t="s">
        <v>38</v>
      </c>
      <c r="AZ47" t="str">
        <f>IF(COUNTIF(W31:AA31,AZ34), B31, IF(COUNTIF(W32:AA32,AZ34), B32, IF(COUNTIF(W33:AA33,AZ34), B33, B34)))</f>
        <v>dE</v>
      </c>
      <c r="BB47" t="str">
        <f t="shared" si="27"/>
        <v>8.25 (0.14)</v>
      </c>
    </row>
    <row r="48" spans="1:71" x14ac:dyDescent="0.3">
      <c r="A48" s="31" t="s">
        <v>37</v>
      </c>
      <c r="B48" t="s">
        <v>28</v>
      </c>
      <c r="C48">
        <v>513</v>
      </c>
      <c r="D48">
        <v>151</v>
      </c>
      <c r="E48">
        <v>8</v>
      </c>
      <c r="F48">
        <v>1</v>
      </c>
      <c r="G48">
        <v>0</v>
      </c>
      <c r="I48">
        <v>56</v>
      </c>
      <c r="J48">
        <v>22</v>
      </c>
      <c r="K48">
        <v>0</v>
      </c>
      <c r="L48">
        <v>0</v>
      </c>
      <c r="M48">
        <v>0</v>
      </c>
      <c r="O48" s="2">
        <f t="shared" si="20"/>
        <v>0.10916179337231968</v>
      </c>
      <c r="P48" s="2">
        <f t="shared" si="21"/>
        <v>0.14569536423841059</v>
      </c>
      <c r="Q48" s="2">
        <f t="shared" si="22"/>
        <v>0</v>
      </c>
      <c r="R48" s="2">
        <f t="shared" si="23"/>
        <v>0</v>
      </c>
      <c r="S48" s="2">
        <f t="shared" si="24"/>
        <v>0</v>
      </c>
      <c r="T48" s="2"/>
      <c r="U48" s="2">
        <f>56/569</f>
        <v>9.8418277680140595E-2</v>
      </c>
      <c r="V48" s="2"/>
      <c r="W48" s="3">
        <f t="shared" si="17"/>
        <v>1.1091617933723197</v>
      </c>
      <c r="X48" s="3">
        <f t="shared" si="18"/>
        <v>1.4803689687795647</v>
      </c>
      <c r="Y48" s="3">
        <f t="shared" si="19"/>
        <v>0</v>
      </c>
      <c r="Z48" s="3">
        <f t="shared" si="15"/>
        <v>0</v>
      </c>
      <c r="AA48" s="3">
        <f t="shared" si="16"/>
        <v>0</v>
      </c>
      <c r="AB48" s="3">
        <f t="shared" si="25"/>
        <v>1.4803689687795647</v>
      </c>
      <c r="AC48" s="41">
        <f t="shared" si="9"/>
        <v>151</v>
      </c>
      <c r="AD48" s="41" t="str">
        <f t="shared" si="10"/>
        <v>4</v>
      </c>
      <c r="AE48" s="3">
        <f>IF(C48&gt;0,((I48*((3*56)+C48))/(4*C48*56))*(1-(C48-I48)/(569-56)),0)</f>
        <v>3.6227671192275684E-2</v>
      </c>
      <c r="AF48" s="3">
        <f>IF(D48&gt;0,((J48*((3*56)+D48))/(4*D48*56))*(1-(D48-J48)/(569-56)),0)</f>
        <v>0.15531101484395313</v>
      </c>
      <c r="AG48" s="3">
        <f>IF(E48&gt;0,((K48*((3*56)+E48))/(4*E48*56))*(1-(E48-K48)/(569-56)),0)</f>
        <v>0</v>
      </c>
      <c r="AH48" s="3">
        <f>IF(F48&gt;0,((L48*((3*56)+F48))/(4*F48*56))*(1-(F48-L48)/(569-56)),0)</f>
        <v>0</v>
      </c>
      <c r="AI48" s="3">
        <f>IF(G48&gt;0,((M48*((3*56)+G48))/(4*G48*56))*(1-(G48-M48)/(569-56)),0)</f>
        <v>0</v>
      </c>
    </row>
    <row r="49" spans="1:53" x14ac:dyDescent="0.3">
      <c r="A49" s="31" t="s">
        <v>37</v>
      </c>
      <c r="B49" t="s">
        <v>29</v>
      </c>
      <c r="C49">
        <v>511</v>
      </c>
      <c r="D49">
        <v>250</v>
      </c>
      <c r="E49">
        <v>22</v>
      </c>
      <c r="F49">
        <v>0</v>
      </c>
      <c r="G49">
        <v>0</v>
      </c>
      <c r="I49">
        <v>56</v>
      </c>
      <c r="J49">
        <v>25</v>
      </c>
      <c r="K49">
        <v>1</v>
      </c>
      <c r="L49">
        <v>0</v>
      </c>
      <c r="M49">
        <v>0</v>
      </c>
      <c r="O49" s="2">
        <f t="shared" si="20"/>
        <v>0.1095890410958904</v>
      </c>
      <c r="P49" s="2">
        <f t="shared" si="21"/>
        <v>0.1</v>
      </c>
      <c r="Q49" s="2">
        <f t="shared" si="22"/>
        <v>4.5454545454545456E-2</v>
      </c>
      <c r="R49" s="2">
        <f t="shared" si="23"/>
        <v>0</v>
      </c>
      <c r="S49" s="2">
        <f t="shared" si="24"/>
        <v>0</v>
      </c>
      <c r="T49" s="2"/>
      <c r="U49" s="2">
        <f>56/569</f>
        <v>9.8418277680140595E-2</v>
      </c>
      <c r="V49" s="2"/>
      <c r="W49" s="3">
        <f t="shared" si="17"/>
        <v>1.1135029354207435</v>
      </c>
      <c r="X49" s="3">
        <f t="shared" si="18"/>
        <v>1.0160714285714287</v>
      </c>
      <c r="Y49" s="3">
        <f t="shared" si="19"/>
        <v>0.4618506493506494</v>
      </c>
      <c r="Z49" s="3">
        <f t="shared" si="15"/>
        <v>0</v>
      </c>
      <c r="AA49" s="3">
        <f t="shared" si="16"/>
        <v>0</v>
      </c>
      <c r="AB49" s="26">
        <f t="shared" si="25"/>
        <v>1.1135029354207435</v>
      </c>
      <c r="AC49" s="43">
        <f t="shared" si="9"/>
        <v>511</v>
      </c>
      <c r="AD49" s="43" t="str">
        <f t="shared" si="10"/>
        <v>3</v>
      </c>
      <c r="AE49" s="3">
        <f>IF(C49&gt;0,((I49*((3*56)+C49))/(4*C49*56))*(1-(C49-I49)/(569-56)),0)</f>
        <v>3.7557745200138853E-2</v>
      </c>
      <c r="AF49" s="3">
        <f>IF(D49&gt;0,((J49*((3*56)+D49))/(4*D49*56))*(1-(D49-J49)/(569-56)),0)</f>
        <v>0.10476190476190476</v>
      </c>
      <c r="AG49" s="3">
        <f>IF(E49&gt;0,((K49*((3*56)+E49))/(4*E49*56))*(1-(E49-K49)/(569-56)),0)</f>
        <v>3.6976911976911976E-2</v>
      </c>
      <c r="AH49" s="3">
        <f>IF(F49&gt;0,((L49*((3*56)+F49))/(4*F49*56))*(1-(F49-L49)/(569-56)),0)</f>
        <v>0</v>
      </c>
      <c r="AI49" s="3">
        <f>IF(G49&gt;0,((M49*((3*56)+G49))/(4*G49*56))*(1-(G49-M49)/(569-56)),0)</f>
        <v>0</v>
      </c>
      <c r="AY49" t="s">
        <v>46</v>
      </c>
      <c r="AZ49" t="s">
        <v>47</v>
      </c>
    </row>
    <row r="50" spans="1:53" x14ac:dyDescent="0.3">
      <c r="A50" s="31" t="s">
        <v>37</v>
      </c>
      <c r="B50" s="1" t="s">
        <v>30</v>
      </c>
      <c r="C50" s="1">
        <v>32</v>
      </c>
      <c r="D50" s="1">
        <v>4</v>
      </c>
      <c r="E50" s="1">
        <v>1</v>
      </c>
      <c r="F50" s="1">
        <v>0</v>
      </c>
      <c r="G50" s="1">
        <v>0</v>
      </c>
      <c r="H50" s="1"/>
      <c r="I50" s="1">
        <v>3</v>
      </c>
      <c r="J50" s="1">
        <v>1</v>
      </c>
      <c r="K50" s="1">
        <v>1</v>
      </c>
      <c r="L50" s="1">
        <v>0</v>
      </c>
      <c r="M50" s="1">
        <v>0</v>
      </c>
      <c r="N50" s="1"/>
      <c r="O50" s="9">
        <f t="shared" si="20"/>
        <v>9.375E-2</v>
      </c>
      <c r="P50" s="9">
        <f t="shared" si="21"/>
        <v>0.25</v>
      </c>
      <c r="Q50" s="9">
        <f t="shared" si="22"/>
        <v>1</v>
      </c>
      <c r="R50" s="9">
        <f t="shared" si="23"/>
        <v>0</v>
      </c>
      <c r="S50" s="9">
        <f t="shared" si="24"/>
        <v>0</v>
      </c>
      <c r="T50" s="9"/>
      <c r="U50" s="9">
        <f>56/569</f>
        <v>9.8418277680140595E-2</v>
      </c>
      <c r="V50" s="9"/>
      <c r="W50" s="10">
        <f t="shared" si="17"/>
        <v>0.9525669642857143</v>
      </c>
      <c r="X50" s="10">
        <f t="shared" si="18"/>
        <v>2.5401785714285716</v>
      </c>
      <c r="Y50" s="10">
        <f t="shared" si="19"/>
        <v>10.160714285714286</v>
      </c>
      <c r="Z50" s="10">
        <f t="shared" si="15"/>
        <v>0</v>
      </c>
      <c r="AA50" s="10">
        <f t="shared" si="16"/>
        <v>0</v>
      </c>
      <c r="AB50" s="10">
        <f t="shared" si="25"/>
        <v>10.160714285714286</v>
      </c>
      <c r="AC50" s="42">
        <f t="shared" si="9"/>
        <v>1</v>
      </c>
      <c r="AD50" s="42" t="str">
        <f t="shared" si="10"/>
        <v>5</v>
      </c>
      <c r="AE50" s="10">
        <f>IF(C50&gt;0,((I50*((3*56)+C50))/(4*C50*56))*(1-(C50-I50)/(569-56)),0)</f>
        <v>7.8973475355054293E-2</v>
      </c>
      <c r="AF50" s="10">
        <f>IF(D50&gt;0,((J50*((3*56)+D50))/(4*D50*56))*(1-(D50-J50)/(569-56)),0)</f>
        <v>0.1908416875522139</v>
      </c>
      <c r="AG50" s="10">
        <f>IF(E50&gt;0,((K50*((3*56)+E50))/(4*E50*56))*(1-(E50-K50)/(569-56)),0)</f>
        <v>0.7544642857142857</v>
      </c>
      <c r="AH50" s="10">
        <f>IF(F50&gt;0,((L50*((3*56)+F50))/(4*F50*56))*(1-(F50-L50)/(569-56)),0)</f>
        <v>0</v>
      </c>
      <c r="AI50" s="10">
        <f>IF(G50&gt;0,((M50*((3*56)+G50))/(4*G50*56))*(1-(G50-M50)/(569-56)),0)</f>
        <v>0</v>
      </c>
      <c r="AY50" t="s">
        <v>27</v>
      </c>
      <c r="AZ50">
        <f>COUNTIF(AZ$40:AZ$47, AY50)</f>
        <v>2</v>
      </c>
    </row>
    <row r="51" spans="1:53" x14ac:dyDescent="0.3">
      <c r="A51" s="31" t="s">
        <v>38</v>
      </c>
      <c r="B51" t="s">
        <v>27</v>
      </c>
      <c r="C51">
        <v>469</v>
      </c>
      <c r="D51">
        <v>9</v>
      </c>
      <c r="E51">
        <v>0</v>
      </c>
      <c r="F51">
        <v>0</v>
      </c>
      <c r="G51">
        <v>0</v>
      </c>
      <c r="I51">
        <v>46</v>
      </c>
      <c r="J51">
        <v>0</v>
      </c>
      <c r="K51">
        <v>0</v>
      </c>
      <c r="L51">
        <v>0</v>
      </c>
      <c r="M51">
        <v>0</v>
      </c>
      <c r="O51" s="2">
        <f t="shared" si="20"/>
        <v>9.8081023454157784E-2</v>
      </c>
      <c r="P51" s="2">
        <f t="shared" si="21"/>
        <v>0</v>
      </c>
      <c r="Q51" s="2">
        <f t="shared" si="22"/>
        <v>0</v>
      </c>
      <c r="R51" s="2">
        <f t="shared" si="23"/>
        <v>0</v>
      </c>
      <c r="S51" s="2">
        <f t="shared" si="24"/>
        <v>0</v>
      </c>
      <c r="T51" s="2"/>
      <c r="U51" s="2">
        <f>53/569</f>
        <v>9.3145869947275917E-2</v>
      </c>
      <c r="V51" s="2"/>
      <c r="W51" s="3">
        <f t="shared" si="17"/>
        <v>1.0529830631210526</v>
      </c>
      <c r="X51" s="3">
        <f t="shared" si="18"/>
        <v>0</v>
      </c>
      <c r="Y51" s="3">
        <f t="shared" si="19"/>
        <v>0</v>
      </c>
      <c r="Z51" s="3">
        <f t="shared" si="15"/>
        <v>0</v>
      </c>
      <c r="AA51" s="3">
        <f t="shared" si="16"/>
        <v>0</v>
      </c>
      <c r="AB51" s="3">
        <f t="shared" si="25"/>
        <v>1.0529830631210526</v>
      </c>
      <c r="AC51" s="41">
        <f t="shared" si="9"/>
        <v>469</v>
      </c>
      <c r="AD51" s="41" t="str">
        <f t="shared" si="10"/>
        <v>3</v>
      </c>
      <c r="AE51" s="3">
        <f>IF(C51&gt;0,((I51*((3*53)+C51))/(4*C51*53))*(1-(C51-I51)/(569-53)),0)</f>
        <v>5.2365109823539473E-2</v>
      </c>
      <c r="AF51" s="3">
        <f>IF(D51&gt;0,((J51*((3*53)+D51))/(4*D51*53))*(1-(D51-J51)/(569-53)),0)</f>
        <v>0</v>
      </c>
      <c r="AG51" s="3">
        <f>IF(E51&gt;0,((K51*((3*53)+E51))/(4*E51*53))*(1-(E51-K51)/(569-53)),0)</f>
        <v>0</v>
      </c>
      <c r="AH51" s="3">
        <f>IF(F51&gt;0,((L51*((3*53)+F51))/(4*F51*53))*(1-(F51-L51)/(569-53)),0)</f>
        <v>0</v>
      </c>
      <c r="AI51" s="3">
        <f>IF(G51&gt;0,((M51*((3*53)+G51))/(4*G51*53))*(1-(G51-M51)/(569-53)),0)</f>
        <v>0</v>
      </c>
      <c r="AY51" t="s">
        <v>28</v>
      </c>
      <c r="AZ51">
        <f t="shared" ref="AZ51:AZ53" si="28">COUNTIF(AZ$40:AZ$47, AY51)</f>
        <v>4</v>
      </c>
    </row>
    <row r="52" spans="1:53" x14ac:dyDescent="0.3">
      <c r="A52" s="31" t="s">
        <v>38</v>
      </c>
      <c r="B52" t="s">
        <v>28</v>
      </c>
      <c r="C52">
        <v>209</v>
      </c>
      <c r="D52">
        <v>1</v>
      </c>
      <c r="E52">
        <v>0</v>
      </c>
      <c r="F52">
        <v>0</v>
      </c>
      <c r="G52">
        <v>0</v>
      </c>
      <c r="I52">
        <v>17</v>
      </c>
      <c r="J52">
        <v>0</v>
      </c>
      <c r="K52">
        <v>0</v>
      </c>
      <c r="L52">
        <v>0</v>
      </c>
      <c r="M52">
        <v>0</v>
      </c>
      <c r="O52" s="2">
        <f t="shared" si="20"/>
        <v>8.1339712918660281E-2</v>
      </c>
      <c r="P52" s="2">
        <f t="shared" si="21"/>
        <v>0</v>
      </c>
      <c r="Q52" s="2">
        <f t="shared" si="22"/>
        <v>0</v>
      </c>
      <c r="R52" s="2">
        <f t="shared" si="23"/>
        <v>0</v>
      </c>
      <c r="S52" s="2">
        <f t="shared" si="24"/>
        <v>0</v>
      </c>
      <c r="T52" s="2"/>
      <c r="U52" s="2">
        <f>53/569</f>
        <v>9.3145869947275917E-2</v>
      </c>
      <c r="V52" s="2"/>
      <c r="W52" s="3">
        <f t="shared" si="17"/>
        <v>0.87325088020222086</v>
      </c>
      <c r="X52" s="3">
        <f t="shared" si="18"/>
        <v>0</v>
      </c>
      <c r="Y52" s="3">
        <f t="shared" si="19"/>
        <v>0</v>
      </c>
      <c r="Z52" s="3">
        <f t="shared" si="15"/>
        <v>0</v>
      </c>
      <c r="AA52" s="3">
        <f t="shared" si="16"/>
        <v>0</v>
      </c>
      <c r="AB52" s="3">
        <f t="shared" si="25"/>
        <v>0.87325088020222086</v>
      </c>
      <c r="AC52" s="41">
        <f t="shared" si="9"/>
        <v>209</v>
      </c>
      <c r="AD52" s="41" t="str">
        <f t="shared" si="10"/>
        <v>3</v>
      </c>
      <c r="AE52" s="3">
        <f>IF(C52&gt;0,((I52*((3*53)+C52))/(4*C52*53))*(1-(C52-I52)/(569-53)),0)</f>
        <v>8.8656361075011916E-2</v>
      </c>
      <c r="AF52" s="3">
        <f>IF(D52&gt;0,((J52*((3*53)+D52))/(4*D52*53))*(1-(D52-J52)/(569-53)),0)</f>
        <v>0</v>
      </c>
      <c r="AG52" s="3">
        <f>IF(E52&gt;0,((K52*((3*53)+E52))/(4*E52*53))*(1-(E52-K52)/(569-53)),0)</f>
        <v>0</v>
      </c>
      <c r="AH52" s="3">
        <f>IF(F52&gt;0,((L52*((3*53)+F52))/(4*F52*53))*(1-(F52-L52)/(569-53)),0)</f>
        <v>0</v>
      </c>
      <c r="AI52" s="3">
        <f>IF(G52&gt;0,((M52*((3*53)+G52))/(4*G52*53))*(1-(G52-M52)/(569-53)),0)</f>
        <v>0</v>
      </c>
      <c r="AY52" t="s">
        <v>29</v>
      </c>
      <c r="AZ52">
        <f t="shared" si="28"/>
        <v>1</v>
      </c>
    </row>
    <row r="53" spans="1:53" x14ac:dyDescent="0.3">
      <c r="A53" s="31" t="s">
        <v>38</v>
      </c>
      <c r="B53" t="s">
        <v>29</v>
      </c>
      <c r="C53">
        <v>531</v>
      </c>
      <c r="D53">
        <v>279</v>
      </c>
      <c r="E53">
        <v>24</v>
      </c>
      <c r="F53">
        <v>1</v>
      </c>
      <c r="G53">
        <v>0</v>
      </c>
      <c r="I53">
        <v>53</v>
      </c>
      <c r="J53">
        <v>22</v>
      </c>
      <c r="K53">
        <v>1</v>
      </c>
      <c r="L53">
        <v>0</v>
      </c>
      <c r="M53">
        <v>0</v>
      </c>
      <c r="O53" s="2">
        <f t="shared" si="20"/>
        <v>9.9811676082862524E-2</v>
      </c>
      <c r="P53" s="2">
        <f t="shared" si="21"/>
        <v>7.8853046594982074E-2</v>
      </c>
      <c r="Q53" s="2">
        <f t="shared" si="22"/>
        <v>4.1666666666666664E-2</v>
      </c>
      <c r="R53" s="2">
        <f t="shared" si="23"/>
        <v>0</v>
      </c>
      <c r="S53" s="2">
        <f t="shared" si="24"/>
        <v>0</v>
      </c>
      <c r="T53" s="2"/>
      <c r="U53" s="2">
        <f>53/569</f>
        <v>9.3145869947275917E-2</v>
      </c>
      <c r="V53" s="2"/>
      <c r="W53" s="3">
        <f t="shared" si="17"/>
        <v>1.0715630885122411</v>
      </c>
      <c r="X53" s="3">
        <f t="shared" si="18"/>
        <v>0.84655440589707176</v>
      </c>
      <c r="Y53" s="3">
        <f t="shared" si="19"/>
        <v>0.44732704402515722</v>
      </c>
      <c r="Z53" s="3">
        <f t="shared" si="15"/>
        <v>0</v>
      </c>
      <c r="AA53" s="3">
        <f t="shared" si="16"/>
        <v>0</v>
      </c>
      <c r="AB53" s="3">
        <f t="shared" si="25"/>
        <v>1.0715630885122411</v>
      </c>
      <c r="AC53" s="41">
        <f t="shared" si="9"/>
        <v>531</v>
      </c>
      <c r="AD53" s="41" t="str">
        <f t="shared" si="10"/>
        <v>3</v>
      </c>
      <c r="AE53" s="3">
        <f>IF(C53&gt;0,((I53*((3*53)+C53))/(4*C53*53))*(1-(C53-I53)/(569-53)),0)</f>
        <v>2.392370691542943E-2</v>
      </c>
      <c r="AF53" s="3">
        <f>IF(D53&gt;0,((J53*((3*53)+D53))/(4*D53*53))*(1-(D53-J53)/(569-53)),0)</f>
        <v>8.1772408510932773E-2</v>
      </c>
      <c r="AG53" s="3">
        <f>IF(E53&gt;0,((K53*((3*53)+E53))/(4*E53*53))*(1-(E53-K53)/(569-53)),0)</f>
        <v>3.436380174052947E-2</v>
      </c>
      <c r="AH53" s="3">
        <f>IF(F53&gt;0,((L53*((3*53)+F53))/(4*F53*53))*(1-(F53-L53)/(569-53)),0)</f>
        <v>0</v>
      </c>
      <c r="AI53" s="3">
        <f>IF(G53&gt;0,((M53*((3*53)+G53))/(4*G53*53))*(1-(G53-M53)/(569-53)),0)</f>
        <v>0</v>
      </c>
      <c r="AY53" t="s">
        <v>30</v>
      </c>
      <c r="AZ53">
        <f t="shared" si="28"/>
        <v>1</v>
      </c>
    </row>
    <row r="54" spans="1:53" x14ac:dyDescent="0.3">
      <c r="A54" s="32" t="s">
        <v>38</v>
      </c>
      <c r="B54" s="1" t="s">
        <v>30</v>
      </c>
      <c r="C54" s="1">
        <v>466</v>
      </c>
      <c r="D54" s="1">
        <v>7</v>
      </c>
      <c r="E54" s="1">
        <v>0</v>
      </c>
      <c r="F54" s="1">
        <v>0</v>
      </c>
      <c r="G54" s="1">
        <v>0</v>
      </c>
      <c r="H54" s="1"/>
      <c r="I54" s="1">
        <v>49</v>
      </c>
      <c r="J54" s="1">
        <v>0</v>
      </c>
      <c r="K54" s="1">
        <v>0</v>
      </c>
      <c r="L54" s="1">
        <v>0</v>
      </c>
      <c r="M54" s="1">
        <v>0</v>
      </c>
      <c r="N54" s="1"/>
      <c r="O54" s="9">
        <f t="shared" si="20"/>
        <v>0.10515021459227468</v>
      </c>
      <c r="P54" s="9">
        <f t="shared" si="21"/>
        <v>0</v>
      </c>
      <c r="Q54" s="9">
        <f t="shared" si="22"/>
        <v>0</v>
      </c>
      <c r="R54" s="9">
        <f t="shared" si="23"/>
        <v>0</v>
      </c>
      <c r="S54" s="9">
        <f t="shared" si="24"/>
        <v>0</v>
      </c>
      <c r="T54" s="9"/>
      <c r="U54" s="9">
        <f>53/569</f>
        <v>9.3145869947275917E-2</v>
      </c>
      <c r="V54" s="9"/>
      <c r="W54" s="10">
        <f t="shared" si="17"/>
        <v>1.1288768321321565</v>
      </c>
      <c r="X54" s="10">
        <f t="shared" si="18"/>
        <v>0</v>
      </c>
      <c r="Y54" s="10">
        <f t="shared" si="19"/>
        <v>0</v>
      </c>
      <c r="Z54" s="10">
        <f t="shared" si="15"/>
        <v>0</v>
      </c>
      <c r="AA54" s="10">
        <f t="shared" si="16"/>
        <v>0</v>
      </c>
      <c r="AB54" s="10">
        <f t="shared" si="25"/>
        <v>1.1288768321321565</v>
      </c>
      <c r="AC54" s="42">
        <f t="shared" si="9"/>
        <v>466</v>
      </c>
      <c r="AD54" s="42" t="str">
        <f t="shared" si="10"/>
        <v>3</v>
      </c>
      <c r="AE54" s="10">
        <f>IF(C54&gt;0,((I54*((3*53)+C54))/(4*C54*53))*(1-(C54-I54)/(569-53)),0)</f>
        <v>5.9475734312353701E-2</v>
      </c>
      <c r="AF54" s="10">
        <f>IF(D54&gt;0,((J54*((3*53)+D54))/(4*D54*53))*(1-(D54-J54)/(569-53)),0)</f>
        <v>0</v>
      </c>
      <c r="AG54" s="10">
        <f>IF(E54&gt;0,((K54*((3*53)+E54))/(4*E54*53))*(1-(E54-K54)/(569-53)),0)</f>
        <v>0</v>
      </c>
      <c r="AH54" s="10">
        <f>IF(F54&gt;0,((L54*((3*53)+F54))/(4*F54*53))*(1-(F54-L54)/(569-53)),0)</f>
        <v>0</v>
      </c>
      <c r="AI54" s="10">
        <f>IF(G54&gt;0,((M54*((3*53)+G54))/(4*G54*53))*(1-(G54-M54)/(569-53)),0)</f>
        <v>0</v>
      </c>
    </row>
    <row r="55" spans="1:53" x14ac:dyDescent="0.3">
      <c r="AY55" t="s">
        <v>46</v>
      </c>
      <c r="AZ55" t="s">
        <v>49</v>
      </c>
      <c r="BA55" t="s">
        <v>50</v>
      </c>
    </row>
    <row r="56" spans="1:53" x14ac:dyDescent="0.3">
      <c r="AY56" t="s">
        <v>27</v>
      </c>
      <c r="AZ56">
        <f>SUM(COUNTIF(AB3, "&gt;1.5"), COUNTIF(AB7, "&gt;1.5"), COUNTIF(AB11, "&gt;1.5"), COUNTIF(AB15, "&gt;1.5"), COUNTIF(AB19, "&gt;1.5"), COUNTIF(AB23, "&gt;1.5"), COUNTIF(AB27, "&gt;1.5"), COUNTIF(AB31, "&gt;1.5"))</f>
        <v>3</v>
      </c>
      <c r="BA56">
        <f>SUM(COUNTIF(AB3, "&gt;2"), COUNTIF(AB7, "&gt;2"), COUNTIF(AB11, "&gt;2"), COUNTIF(AB15, "&gt;2"), COUNTIF(AB19, "&gt;2"), COUNTIF(AB23, "&gt;2"), COUNTIF(AB27, "&gt;2"), COUNTIF(AB31, "&gt;2"))</f>
        <v>2</v>
      </c>
    </row>
    <row r="57" spans="1:53" x14ac:dyDescent="0.3">
      <c r="AY57" t="s">
        <v>28</v>
      </c>
      <c r="AZ57">
        <f>SUM(COUNTIF(AB4, "&gt;1.5"), COUNTIF(AB8, "&gt;1.5"), COUNTIF(AB12, "&gt;1.5"), COUNTIF(AB16, "&gt;1.5"), COUNTIF(AB20, "&gt;1.5"), COUNTIF(AB24, "&gt;1.5"), COUNTIF(AB28, "&gt;1.5"), COUNTIF(AB32, "&gt;1.5"))</f>
        <v>4</v>
      </c>
      <c r="BA57">
        <f t="shared" ref="BA57:BA59" si="29">SUM(COUNTIF(AB4, "&gt;2"), COUNTIF(AB8, "&gt;2"), COUNTIF(AB12, "&gt;2"), COUNTIF(AB16, "&gt;2"), COUNTIF(AB20, "&gt;2"), COUNTIF(AB24, "&gt;2"), COUNTIF(AB28, "&gt;2"), COUNTIF(AB32, "&gt;2"))</f>
        <v>3</v>
      </c>
    </row>
    <row r="58" spans="1:53" x14ac:dyDescent="0.3">
      <c r="AY58" t="s">
        <v>29</v>
      </c>
      <c r="AZ58">
        <f t="shared" ref="AZ58:AZ59" si="30">SUM(COUNTIF(AB5, "&gt;1.5"), COUNTIF(AB9, "&gt;1.5"), COUNTIF(AB13, "&gt;1.5"), COUNTIF(AB17, "&gt;1.5"), COUNTIF(AB21, "&gt;1.5"), COUNTIF(AB25, "&gt;1.5"), COUNTIF(AB29, "&gt;1.5"), COUNTIF(AB33, "&gt;1.5"))</f>
        <v>1</v>
      </c>
      <c r="BA58">
        <f t="shared" si="29"/>
        <v>1</v>
      </c>
    </row>
    <row r="59" spans="1:53" x14ac:dyDescent="0.3">
      <c r="AY59" t="s">
        <v>30</v>
      </c>
      <c r="AZ59">
        <f t="shared" si="30"/>
        <v>3</v>
      </c>
      <c r="BA59">
        <f t="shared" si="29"/>
        <v>1</v>
      </c>
    </row>
  </sheetData>
  <sortState xmlns:xlrd2="http://schemas.microsoft.com/office/spreadsheetml/2017/richdata2" ref="A3:AI54">
    <sortCondition ref="A3:A54"/>
  </sortState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16B8B8961709E49859A44A6608C242D" ma:contentTypeVersion="12" ma:contentTypeDescription="Create a new document." ma:contentTypeScope="" ma:versionID="91f316d38f2be5494ab0d3724e124308">
  <xsd:schema xmlns:xsd="http://www.w3.org/2001/XMLSchema" xmlns:xs="http://www.w3.org/2001/XMLSchema" xmlns:p="http://schemas.microsoft.com/office/2006/metadata/properties" xmlns:ns3="43b54cb5-a873-4f5e-a135-b4610bf181d2" xmlns:ns4="d028fd66-6788-42b6-b8bb-de8ad7a52eae" targetNamespace="http://schemas.microsoft.com/office/2006/metadata/properties" ma:root="true" ma:fieldsID="96c47c95b784b6b02f3b818bccb484f5" ns3:_="" ns4:_="">
    <xsd:import namespace="43b54cb5-a873-4f5e-a135-b4610bf181d2"/>
    <xsd:import namespace="d028fd66-6788-42b6-b8bb-de8ad7a52ea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b54cb5-a873-4f5e-a135-b4610bf181d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28fd66-6788-42b6-b8bb-de8ad7a52eae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53CBEE6-5899-4AD1-8B90-40A1FC5D2C2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103E5DF-3271-444E-82FA-6EB6E6C413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3b54cb5-a873-4f5e-a135-b4610bf181d2"/>
    <ds:schemaRef ds:uri="d028fd66-6788-42b6-b8bb-de8ad7a52ea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74EE212-7898-4CD6-8DA3-5A159F1B056F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43b54cb5-a873-4f5e-a135-b4610bf181d2"/>
    <ds:schemaRef ds:uri="http://purl.org/dc/elements/1.1/"/>
    <ds:schemaRef ds:uri="http://schemas.microsoft.com/office/2006/metadata/properties"/>
    <ds:schemaRef ds:uri="http://schemas.microsoft.com/office/infopath/2007/PartnerControls"/>
    <ds:schemaRef ds:uri="d028fd66-6788-42b6-b8bb-de8ad7a52eae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moefrags</vt:lpstr>
      <vt:lpstr>ef</vt:lpstr>
      <vt:lpstr>gh</vt:lpstr>
      <vt:lpstr>rec_EF</vt:lpstr>
      <vt:lpstr>rec_GH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 Szwabowski</dc:creator>
  <cp:lastModifiedBy>Gregory Leon Szwabowski (gszwbwsk)</cp:lastModifiedBy>
  <dcterms:created xsi:type="dcterms:W3CDTF">2020-07-07T16:26:23Z</dcterms:created>
  <dcterms:modified xsi:type="dcterms:W3CDTF">2021-12-14T19:33:41Z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0x010100716B8B8961709E49859A44A6608C242D</vt:lpwstr>
  </property>
</Properties>
</file>