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emphis-my.sharepoint.com/personal/gszwbwsk_memphis_edu/Documents/Machine Learning/ph4_classification/data/redone_excel_sheets/"/>
    </mc:Choice>
  </mc:AlternateContent>
  <xr:revisionPtr revIDLastSave="16521" documentId="8_{47C3C333-5B8F-4DE5-91E2-91C1E121DC26}" xr6:coauthVersionLast="47" xr6:coauthVersionMax="47" xr10:uidLastSave="{E2DAF08B-7B43-4FDB-80B1-B0E062EC3C07}"/>
  <bookViews>
    <workbookView xWindow="384" yWindow="384" windowWidth="11460" windowHeight="9768" firstSheet="4" activeTab="5" xr2:uid="{713376E4-D4C3-4AD6-8C36-1D956A9FD668}"/>
  </bookViews>
  <sheets>
    <sheet name="moefrags_copy" sheetId="36" r:id="rId1"/>
    <sheet name="ef_copy" sheetId="37" r:id="rId2"/>
    <sheet name="gh_copy" sheetId="38" r:id="rId3"/>
    <sheet name="rec_EF_copy" sheetId="39" r:id="rId4"/>
    <sheet name="rec_GH_copy" sheetId="40" r:id="rId5"/>
    <sheet name="moefrags" sheetId="12" r:id="rId6"/>
    <sheet name="ef" sheetId="13" r:id="rId7"/>
    <sheet name="gh" sheetId="14" r:id="rId8"/>
    <sheet name="rec_EF" sheetId="15" r:id="rId9"/>
    <sheet name="rec_GH" sheetId="16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54" i="16" l="1"/>
  <c r="AD53" i="16"/>
  <c r="AD52" i="16"/>
  <c r="AD51" i="16"/>
  <c r="AD50" i="16"/>
  <c r="AD49" i="16"/>
  <c r="AD48" i="16"/>
  <c r="AD47" i="16"/>
  <c r="AD46" i="16"/>
  <c r="AD45" i="16"/>
  <c r="AD44" i="16"/>
  <c r="AD43" i="16"/>
  <c r="AD42" i="16"/>
  <c r="AD41" i="16"/>
  <c r="AD40" i="16"/>
  <c r="AD39" i="16"/>
  <c r="AD38" i="16"/>
  <c r="AD37" i="16"/>
  <c r="AD36" i="16"/>
  <c r="AD35" i="16"/>
  <c r="AD34" i="16"/>
  <c r="AD33" i="16"/>
  <c r="AD32" i="16"/>
  <c r="AD31" i="16"/>
  <c r="AD30" i="16"/>
  <c r="AD29" i="16"/>
  <c r="AD28" i="16"/>
  <c r="AD27" i="16"/>
  <c r="AD26" i="16"/>
  <c r="AD25" i="16"/>
  <c r="AD24" i="16"/>
  <c r="AD23" i="16"/>
  <c r="AD22" i="16"/>
  <c r="AD21" i="16"/>
  <c r="AD20" i="16"/>
  <c r="AD19" i="16"/>
  <c r="AD18" i="16"/>
  <c r="AD17" i="16"/>
  <c r="AD16" i="16"/>
  <c r="AD15" i="16"/>
  <c r="AD14" i="16"/>
  <c r="AD13" i="16"/>
  <c r="AD12" i="16"/>
  <c r="AD11" i="16"/>
  <c r="AD10" i="16"/>
  <c r="AD9" i="16"/>
  <c r="AD8" i="16"/>
  <c r="AD7" i="16"/>
  <c r="AD6" i="16"/>
  <c r="AD5" i="16"/>
  <c r="AD4" i="16"/>
  <c r="AD3" i="16"/>
  <c r="AC4" i="16"/>
  <c r="AC5" i="16"/>
  <c r="AC6" i="16"/>
  <c r="AC7" i="16"/>
  <c r="AC8" i="16"/>
  <c r="AC9" i="16"/>
  <c r="AC10" i="16"/>
  <c r="AC11" i="16"/>
  <c r="AC12" i="16"/>
  <c r="AC13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3" i="16"/>
  <c r="AD54" i="15"/>
  <c r="AC54" i="15"/>
  <c r="AD53" i="15"/>
  <c r="AC53" i="15"/>
  <c r="AD52" i="15"/>
  <c r="AC52" i="15"/>
  <c r="AD51" i="15"/>
  <c r="AC51" i="15"/>
  <c r="AD50" i="15"/>
  <c r="AC50" i="15"/>
  <c r="AD49" i="15"/>
  <c r="AC49" i="15"/>
  <c r="AD48" i="15"/>
  <c r="AC48" i="15"/>
  <c r="AD47" i="15"/>
  <c r="AC47" i="15"/>
  <c r="AD46" i="15"/>
  <c r="AC46" i="15"/>
  <c r="AD45" i="15"/>
  <c r="AC45" i="15"/>
  <c r="AD44" i="15"/>
  <c r="AC44" i="15"/>
  <c r="AD43" i="15"/>
  <c r="AC43" i="15"/>
  <c r="AD42" i="15"/>
  <c r="AC42" i="15"/>
  <c r="AD41" i="15"/>
  <c r="AC41" i="15"/>
  <c r="AD40" i="15"/>
  <c r="AC40" i="15"/>
  <c r="AD39" i="15"/>
  <c r="AC39" i="15"/>
  <c r="AD38" i="15"/>
  <c r="AC38" i="15"/>
  <c r="AD37" i="15"/>
  <c r="AC37" i="15"/>
  <c r="AD36" i="15"/>
  <c r="AC36" i="15"/>
  <c r="AD35" i="15"/>
  <c r="AC35" i="15"/>
  <c r="AD34" i="15"/>
  <c r="AC34" i="15"/>
  <c r="AD33" i="15"/>
  <c r="AC33" i="15"/>
  <c r="AD32" i="15"/>
  <c r="AC32" i="15"/>
  <c r="AD31" i="15"/>
  <c r="AC31" i="15"/>
  <c r="AD30" i="15"/>
  <c r="AC30" i="15"/>
  <c r="AD29" i="15"/>
  <c r="AC29" i="15"/>
  <c r="AD28" i="15"/>
  <c r="AC28" i="15"/>
  <c r="AD27" i="15"/>
  <c r="AC27" i="15"/>
  <c r="AD26" i="15"/>
  <c r="AC26" i="15"/>
  <c r="AD25" i="15"/>
  <c r="AC25" i="15"/>
  <c r="AD24" i="15"/>
  <c r="AC24" i="15"/>
  <c r="AD23" i="15"/>
  <c r="AC23" i="15"/>
  <c r="AD22" i="15"/>
  <c r="AC22" i="15"/>
  <c r="AD21" i="15"/>
  <c r="AC21" i="15"/>
  <c r="AD20" i="15"/>
  <c r="AC20" i="15"/>
  <c r="AD19" i="15"/>
  <c r="AC19" i="15"/>
  <c r="AD18" i="15"/>
  <c r="AC18" i="15"/>
  <c r="AD17" i="15"/>
  <c r="AC17" i="15"/>
  <c r="AD16" i="15"/>
  <c r="AC16" i="15"/>
  <c r="AD15" i="15"/>
  <c r="AC15" i="15"/>
  <c r="AD14" i="15"/>
  <c r="AC14" i="15"/>
  <c r="AD13" i="15"/>
  <c r="AC13" i="15"/>
  <c r="AD12" i="15"/>
  <c r="AC12" i="15"/>
  <c r="AD11" i="15"/>
  <c r="AC11" i="15"/>
  <c r="AD10" i="15"/>
  <c r="AC10" i="15"/>
  <c r="AD9" i="15"/>
  <c r="AC9" i="15"/>
  <c r="AD8" i="15"/>
  <c r="AC8" i="15"/>
  <c r="AD7" i="15"/>
  <c r="AC7" i="15"/>
  <c r="AD6" i="15"/>
  <c r="AC6" i="15"/>
  <c r="AD5" i="15"/>
  <c r="AC5" i="15"/>
  <c r="AD4" i="15"/>
  <c r="AC4" i="15"/>
  <c r="AD3" i="15"/>
  <c r="AC3" i="15"/>
  <c r="AD54" i="14"/>
  <c r="AC54" i="14"/>
  <c r="AD53" i="14"/>
  <c r="AC53" i="14"/>
  <c r="AD52" i="14"/>
  <c r="AC52" i="14"/>
  <c r="AD51" i="14"/>
  <c r="AC51" i="14"/>
  <c r="AD50" i="14"/>
  <c r="AC50" i="14"/>
  <c r="AD49" i="14"/>
  <c r="AC49" i="14"/>
  <c r="AD48" i="14"/>
  <c r="AC48" i="14"/>
  <c r="AD47" i="14"/>
  <c r="AC47" i="14"/>
  <c r="AD46" i="14"/>
  <c r="AC46" i="14"/>
  <c r="AD45" i="14"/>
  <c r="AC45" i="14"/>
  <c r="AD44" i="14"/>
  <c r="AC44" i="14"/>
  <c r="AD43" i="14"/>
  <c r="AC43" i="14"/>
  <c r="AD42" i="14"/>
  <c r="AC42" i="14"/>
  <c r="AD41" i="14"/>
  <c r="AC41" i="14"/>
  <c r="AD40" i="14"/>
  <c r="AC40" i="14"/>
  <c r="AD39" i="14"/>
  <c r="AC39" i="14"/>
  <c r="AD38" i="14"/>
  <c r="AC38" i="14"/>
  <c r="AD37" i="14"/>
  <c r="AC37" i="14"/>
  <c r="AD36" i="14"/>
  <c r="AC36" i="14"/>
  <c r="AD35" i="14"/>
  <c r="AC35" i="14"/>
  <c r="AD34" i="14"/>
  <c r="AC34" i="14"/>
  <c r="AD33" i="14"/>
  <c r="AC33" i="14"/>
  <c r="AD32" i="14"/>
  <c r="AC32" i="14"/>
  <c r="AD31" i="14"/>
  <c r="AC31" i="14"/>
  <c r="AD30" i="14"/>
  <c r="AC30" i="14"/>
  <c r="AD29" i="14"/>
  <c r="AC29" i="14"/>
  <c r="AD28" i="14"/>
  <c r="AC28" i="14"/>
  <c r="AD27" i="14"/>
  <c r="AC27" i="14"/>
  <c r="AD26" i="14"/>
  <c r="AC26" i="14"/>
  <c r="AD25" i="14"/>
  <c r="AC25" i="14"/>
  <c r="AD24" i="14"/>
  <c r="AC24" i="14"/>
  <c r="AD23" i="14"/>
  <c r="AC23" i="14"/>
  <c r="AD22" i="14"/>
  <c r="AC22" i="14"/>
  <c r="AD21" i="14"/>
  <c r="AC21" i="14"/>
  <c r="AD20" i="14"/>
  <c r="AC20" i="14"/>
  <c r="AD19" i="14"/>
  <c r="AC19" i="14"/>
  <c r="AD18" i="14"/>
  <c r="AC18" i="14"/>
  <c r="AD17" i="14"/>
  <c r="AC17" i="14"/>
  <c r="AD16" i="14"/>
  <c r="AC16" i="14"/>
  <c r="AD15" i="14"/>
  <c r="AC15" i="14"/>
  <c r="AD14" i="14"/>
  <c r="AC14" i="14"/>
  <c r="AD13" i="14"/>
  <c r="AC13" i="14"/>
  <c r="AD12" i="14"/>
  <c r="AC12" i="14"/>
  <c r="AD11" i="14"/>
  <c r="AC11" i="14"/>
  <c r="AD10" i="14"/>
  <c r="AC10" i="14"/>
  <c r="AD9" i="14"/>
  <c r="AC9" i="14"/>
  <c r="AD8" i="14"/>
  <c r="AC8" i="14"/>
  <c r="AD7" i="14"/>
  <c r="AC7" i="14"/>
  <c r="AD6" i="14"/>
  <c r="AC6" i="14"/>
  <c r="AD5" i="14"/>
  <c r="AC5" i="14"/>
  <c r="AD4" i="14"/>
  <c r="AC4" i="14"/>
  <c r="AD3" i="14"/>
  <c r="AC3" i="14"/>
  <c r="AD54" i="13"/>
  <c r="AC54" i="13"/>
  <c r="AD53" i="13"/>
  <c r="AC53" i="13"/>
  <c r="AD52" i="13"/>
  <c r="AC52" i="13"/>
  <c r="AD51" i="13"/>
  <c r="AC51" i="13"/>
  <c r="AD50" i="13"/>
  <c r="AC50" i="13"/>
  <c r="AD49" i="13"/>
  <c r="AC49" i="13"/>
  <c r="AD48" i="13"/>
  <c r="AC48" i="13"/>
  <c r="AD47" i="13"/>
  <c r="AC47" i="13"/>
  <c r="AD46" i="13"/>
  <c r="AC46" i="13"/>
  <c r="AD45" i="13"/>
  <c r="AC45" i="13"/>
  <c r="AD44" i="13"/>
  <c r="AC44" i="13"/>
  <c r="AD43" i="13"/>
  <c r="AC43" i="13"/>
  <c r="AD42" i="13"/>
  <c r="AC42" i="13"/>
  <c r="AD41" i="13"/>
  <c r="AC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AD11" i="13"/>
  <c r="AC11" i="13"/>
  <c r="AD10" i="13"/>
  <c r="AC10" i="13"/>
  <c r="AD9" i="13"/>
  <c r="AC9" i="13"/>
  <c r="AD8" i="13"/>
  <c r="AC8" i="13"/>
  <c r="AD7" i="13"/>
  <c r="AC7" i="13"/>
  <c r="AD6" i="13"/>
  <c r="AC6" i="13"/>
  <c r="AD5" i="13"/>
  <c r="AC5" i="13"/>
  <c r="AD4" i="13"/>
  <c r="AC4" i="13"/>
  <c r="AD3" i="13"/>
  <c r="AC3" i="13"/>
  <c r="AD54" i="12"/>
  <c r="AC54" i="12"/>
  <c r="AD53" i="12"/>
  <c r="AC53" i="12"/>
  <c r="AD52" i="12"/>
  <c r="AC52" i="12"/>
  <c r="AD51" i="12"/>
  <c r="AC51" i="12"/>
  <c r="AD50" i="12"/>
  <c r="AC50" i="12"/>
  <c r="AD49" i="12"/>
  <c r="AC49" i="12"/>
  <c r="AD48" i="12"/>
  <c r="AC48" i="12"/>
  <c r="AD47" i="12"/>
  <c r="AC47" i="12"/>
  <c r="AD46" i="12"/>
  <c r="AC46" i="12"/>
  <c r="AD45" i="12"/>
  <c r="AC45" i="12"/>
  <c r="AD44" i="12"/>
  <c r="AC44" i="12"/>
  <c r="AD43" i="12"/>
  <c r="AC43" i="12"/>
  <c r="AD42" i="12"/>
  <c r="AC42" i="12"/>
  <c r="AD41" i="12"/>
  <c r="AC41" i="12"/>
  <c r="AD40" i="12"/>
  <c r="AC40" i="12"/>
  <c r="AD39" i="12"/>
  <c r="AC39" i="12"/>
  <c r="AD38" i="12"/>
  <c r="AC38" i="12"/>
  <c r="AD37" i="12"/>
  <c r="AC37" i="12"/>
  <c r="AD36" i="12"/>
  <c r="AC36" i="12"/>
  <c r="AD35" i="12"/>
  <c r="AC35" i="12"/>
  <c r="AD34" i="12"/>
  <c r="AC34" i="12"/>
  <c r="AD33" i="12"/>
  <c r="AC33" i="12"/>
  <c r="AD32" i="12"/>
  <c r="AC32" i="12"/>
  <c r="AD31" i="12"/>
  <c r="AC31" i="12"/>
  <c r="AD30" i="12"/>
  <c r="AC30" i="12"/>
  <c r="AD29" i="12"/>
  <c r="AC29" i="12"/>
  <c r="AD28" i="12"/>
  <c r="AC28" i="12"/>
  <c r="AD27" i="12"/>
  <c r="AC27" i="12"/>
  <c r="AD26" i="12"/>
  <c r="AC26" i="12"/>
  <c r="AD25" i="12"/>
  <c r="AC25" i="12"/>
  <c r="AD24" i="12"/>
  <c r="AC24" i="12"/>
  <c r="AD23" i="12"/>
  <c r="AC23" i="12"/>
  <c r="AD22" i="12"/>
  <c r="AC22" i="12"/>
  <c r="AD21" i="12"/>
  <c r="AC21" i="12"/>
  <c r="AD20" i="12"/>
  <c r="AC20" i="12"/>
  <c r="AD19" i="12"/>
  <c r="AC19" i="12"/>
  <c r="AD18" i="12"/>
  <c r="AC18" i="12"/>
  <c r="AD17" i="12"/>
  <c r="AC17" i="12"/>
  <c r="AD16" i="12"/>
  <c r="AC16" i="12"/>
  <c r="AD15" i="12"/>
  <c r="AC15" i="12"/>
  <c r="AD14" i="12"/>
  <c r="AC14" i="12"/>
  <c r="AD13" i="12"/>
  <c r="AC13" i="12"/>
  <c r="AD12" i="12"/>
  <c r="AC12" i="12"/>
  <c r="AD11" i="12"/>
  <c r="AC11" i="12"/>
  <c r="AD10" i="12"/>
  <c r="AC10" i="12"/>
  <c r="AD9" i="12"/>
  <c r="AC9" i="12"/>
  <c r="AD8" i="12"/>
  <c r="AC8" i="12"/>
  <c r="AD7" i="12"/>
  <c r="AC7" i="12"/>
  <c r="AD6" i="12"/>
  <c r="AC6" i="12"/>
  <c r="AD5" i="12"/>
  <c r="AC5" i="12"/>
  <c r="AD4" i="12"/>
  <c r="AC4" i="12"/>
  <c r="AD3" i="12"/>
  <c r="AC3" i="12"/>
  <c r="AD3" i="36" l="1"/>
  <c r="AD4" i="36"/>
  <c r="AD5" i="36"/>
  <c r="AD6" i="36"/>
  <c r="AD7" i="36"/>
  <c r="AD8" i="36"/>
  <c r="AD9" i="36"/>
  <c r="AD10" i="36"/>
  <c r="AD11" i="36"/>
  <c r="AD12" i="36"/>
  <c r="AD13" i="36"/>
  <c r="AD14" i="36"/>
  <c r="AD15" i="36"/>
  <c r="AD16" i="36"/>
  <c r="AD17" i="36"/>
  <c r="AD18" i="36"/>
  <c r="AD19" i="36"/>
  <c r="AD20" i="36"/>
  <c r="AD21" i="36"/>
  <c r="AD22" i="36"/>
  <c r="AD23" i="36"/>
  <c r="AD24" i="36"/>
  <c r="AD25" i="36"/>
  <c r="AD26" i="36"/>
  <c r="AD27" i="36"/>
  <c r="AD28" i="36"/>
  <c r="AD29" i="36"/>
  <c r="AD30" i="36"/>
  <c r="AD31" i="36"/>
  <c r="AD32" i="36"/>
  <c r="AD33" i="36"/>
  <c r="AD34" i="36"/>
  <c r="AD35" i="36"/>
  <c r="AD36" i="36"/>
  <c r="AD37" i="36"/>
  <c r="AD38" i="36"/>
  <c r="AD39" i="36"/>
  <c r="AD40" i="36"/>
  <c r="AD41" i="36"/>
  <c r="AD42" i="36"/>
  <c r="AD43" i="36"/>
  <c r="AD44" i="36"/>
  <c r="AD45" i="36"/>
  <c r="AD46" i="36"/>
  <c r="AD47" i="36"/>
  <c r="AD48" i="36"/>
  <c r="AD49" i="36"/>
  <c r="AD50" i="36"/>
  <c r="AD51" i="36"/>
  <c r="AD52" i="36"/>
  <c r="AD53" i="36"/>
  <c r="AD54" i="36"/>
  <c r="AD55" i="36"/>
  <c r="AD56" i="36"/>
  <c r="AD57" i="36"/>
  <c r="AD58" i="36"/>
  <c r="AD59" i="36"/>
  <c r="AD60" i="36"/>
  <c r="AD61" i="36"/>
  <c r="AD62" i="36"/>
  <c r="AD63" i="36"/>
  <c r="AD64" i="36"/>
  <c r="AD65" i="36"/>
  <c r="AD66" i="36"/>
  <c r="AD67" i="36"/>
  <c r="AD68" i="36"/>
  <c r="AD69" i="36"/>
  <c r="AD70" i="36"/>
  <c r="AD71" i="36"/>
  <c r="AD72" i="36"/>
  <c r="AD73" i="36"/>
  <c r="AD74" i="36"/>
  <c r="AD75" i="36"/>
  <c r="AD76" i="36"/>
  <c r="AD77" i="36"/>
  <c r="AD78" i="36"/>
  <c r="AD79" i="36"/>
  <c r="AD80" i="36"/>
  <c r="AD81" i="36"/>
  <c r="AD82" i="36"/>
  <c r="AD83" i="36"/>
  <c r="AD84" i="36"/>
  <c r="AD85" i="36"/>
  <c r="AD86" i="36"/>
  <c r="AD87" i="36"/>
  <c r="AD88" i="36"/>
  <c r="AD89" i="36"/>
  <c r="AD90" i="36"/>
  <c r="AD91" i="36"/>
  <c r="AD92" i="36"/>
  <c r="AD93" i="36"/>
  <c r="AD94" i="36"/>
  <c r="AD95" i="36"/>
  <c r="AD96" i="36"/>
  <c r="AD97" i="36"/>
  <c r="AD98" i="36"/>
  <c r="AD99" i="36"/>
  <c r="AD100" i="36"/>
  <c r="AD101" i="36"/>
  <c r="AD102" i="36"/>
  <c r="AD103" i="36"/>
  <c r="AD104" i="36"/>
  <c r="AD105" i="36"/>
  <c r="AD106" i="36"/>
  <c r="AD107" i="36"/>
  <c r="AD108" i="36"/>
  <c r="AD109" i="36"/>
  <c r="AD110" i="36"/>
  <c r="AD111" i="36"/>
  <c r="AD112" i="36"/>
  <c r="AD113" i="36"/>
  <c r="AD114" i="36"/>
  <c r="AD115" i="36"/>
  <c r="AD116" i="36"/>
  <c r="AD117" i="36"/>
  <c r="AD118" i="36"/>
  <c r="AD119" i="36"/>
  <c r="AD120" i="36"/>
  <c r="AD121" i="36"/>
  <c r="AD122" i="36"/>
  <c r="AD123" i="36"/>
  <c r="AD124" i="36"/>
  <c r="AD125" i="36"/>
  <c r="AD126" i="36"/>
  <c r="AD127" i="36"/>
  <c r="AD128" i="36"/>
  <c r="AD129" i="36"/>
  <c r="AD130" i="36"/>
  <c r="AD131" i="36"/>
  <c r="AD132" i="36"/>
  <c r="AD133" i="36"/>
  <c r="AD134" i="36"/>
  <c r="AD135" i="36"/>
  <c r="AD136" i="36"/>
  <c r="AD137" i="36"/>
  <c r="AD138" i="36"/>
  <c r="AD139" i="36"/>
  <c r="AD140" i="36"/>
  <c r="AD141" i="36"/>
  <c r="AD142" i="36"/>
  <c r="AD143" i="36"/>
  <c r="AD144" i="36"/>
  <c r="AD145" i="36"/>
  <c r="AD146" i="36"/>
  <c r="AD147" i="36"/>
  <c r="AD148" i="36"/>
  <c r="AD149" i="36"/>
  <c r="AD150" i="36"/>
  <c r="AD151" i="36"/>
  <c r="AD152" i="36"/>
  <c r="AD153" i="36"/>
  <c r="AD154" i="36"/>
  <c r="AD155" i="36"/>
  <c r="AD156" i="36"/>
  <c r="AD157" i="36"/>
  <c r="AD158" i="36"/>
  <c r="AD159" i="36"/>
  <c r="AD160" i="36"/>
  <c r="AD161" i="36"/>
  <c r="AD162" i="36"/>
  <c r="AD163" i="36"/>
  <c r="AD164" i="36"/>
  <c r="AD165" i="36"/>
  <c r="AD166" i="36"/>
  <c r="AD167" i="36"/>
  <c r="AD168" i="36"/>
  <c r="AD169" i="36"/>
  <c r="AD170" i="36"/>
  <c r="AD171" i="36"/>
  <c r="AD172" i="36"/>
  <c r="AD173" i="36"/>
  <c r="AD174" i="36"/>
  <c r="AD175" i="36"/>
  <c r="AD176" i="36"/>
  <c r="AD177" i="36"/>
  <c r="AD178" i="36"/>
  <c r="AD179" i="36"/>
  <c r="AD180" i="36"/>
  <c r="AD181" i="36"/>
  <c r="AD182" i="36"/>
  <c r="AD183" i="36"/>
  <c r="AD184" i="36"/>
  <c r="AD185" i="36"/>
  <c r="AD186" i="36"/>
  <c r="AD187" i="36"/>
  <c r="AD188" i="36"/>
  <c r="AD189" i="36"/>
  <c r="AD190" i="36"/>
  <c r="AD191" i="36"/>
  <c r="AD192" i="36"/>
  <c r="AD193" i="36"/>
  <c r="AD194" i="36"/>
  <c r="AD195" i="36"/>
  <c r="AD196" i="36"/>
  <c r="AD197" i="36"/>
  <c r="AD198" i="36"/>
  <c r="AD199" i="36"/>
  <c r="AD200" i="36"/>
  <c r="AD201" i="36"/>
  <c r="AD202" i="36"/>
  <c r="AD203" i="36"/>
  <c r="AD204" i="36"/>
  <c r="AD205" i="36"/>
  <c r="AD206" i="36"/>
  <c r="AD207" i="36"/>
  <c r="AD208" i="36"/>
  <c r="AD209" i="36"/>
  <c r="AD210" i="36"/>
  <c r="AD211" i="36"/>
  <c r="AD212" i="36"/>
  <c r="AD213" i="36"/>
  <c r="AD214" i="36"/>
  <c r="AD215" i="36"/>
  <c r="AD216" i="36"/>
  <c r="AD217" i="36"/>
  <c r="AD218" i="36"/>
  <c r="AD219" i="36"/>
  <c r="AD220" i="36"/>
  <c r="AD221" i="36"/>
  <c r="AD222" i="36"/>
  <c r="AD223" i="36"/>
  <c r="AD224" i="36"/>
  <c r="AD225" i="36"/>
  <c r="AD226" i="36"/>
  <c r="AD227" i="36"/>
  <c r="AD228" i="36"/>
  <c r="AD229" i="36"/>
  <c r="AD230" i="36"/>
  <c r="AD231" i="36"/>
  <c r="AD232" i="36"/>
  <c r="AD233" i="36"/>
  <c r="AD234" i="36"/>
  <c r="AD235" i="36"/>
  <c r="AD236" i="36"/>
  <c r="AD237" i="36"/>
  <c r="AD238" i="36"/>
  <c r="AD239" i="36"/>
  <c r="AD240" i="36"/>
  <c r="AD241" i="36"/>
  <c r="AD242" i="36"/>
  <c r="AD243" i="36"/>
  <c r="AD244" i="36"/>
  <c r="AD245" i="36"/>
  <c r="AD246" i="36"/>
  <c r="AD247" i="36"/>
  <c r="AD248" i="36"/>
  <c r="AD249" i="36"/>
  <c r="AD250" i="36"/>
  <c r="AD251" i="36"/>
  <c r="AD252" i="36"/>
  <c r="AD253" i="36"/>
  <c r="AD254" i="36"/>
  <c r="AD255" i="36"/>
  <c r="AD256" i="36"/>
  <c r="AD257" i="36"/>
  <c r="AD258" i="36"/>
  <c r="AD259" i="36"/>
  <c r="AD260" i="36"/>
  <c r="AD261" i="36"/>
  <c r="AD2" i="36"/>
  <c r="AI42" i="16"/>
  <c r="AH42" i="16"/>
  <c r="AG42" i="16"/>
  <c r="AF42" i="16"/>
  <c r="AE42" i="16"/>
  <c r="U42" i="16"/>
  <c r="S42" i="16"/>
  <c r="AA42" i="16" s="1"/>
  <c r="R42" i="16"/>
  <c r="Q42" i="16"/>
  <c r="Y42" i="16" s="1"/>
  <c r="P42" i="16"/>
  <c r="X42" i="16" s="1"/>
  <c r="O42" i="16"/>
  <c r="W42" i="16" s="1"/>
  <c r="AI41" i="16"/>
  <c r="AH41" i="16"/>
  <c r="AG41" i="16"/>
  <c r="AF41" i="16"/>
  <c r="AE41" i="16"/>
  <c r="U41" i="16"/>
  <c r="S41" i="16"/>
  <c r="AA41" i="16" s="1"/>
  <c r="R41" i="16"/>
  <c r="Z41" i="16" s="1"/>
  <c r="Q41" i="16"/>
  <c r="Y41" i="16" s="1"/>
  <c r="P41" i="16"/>
  <c r="X41" i="16" s="1"/>
  <c r="O41" i="16"/>
  <c r="W41" i="16" s="1"/>
  <c r="AI40" i="16"/>
  <c r="AH40" i="16"/>
  <c r="AG40" i="16"/>
  <c r="AF40" i="16"/>
  <c r="AE40" i="16"/>
  <c r="U40" i="16"/>
  <c r="X40" i="16" s="1"/>
  <c r="S40" i="16"/>
  <c r="R40" i="16"/>
  <c r="Q40" i="16"/>
  <c r="P40" i="16"/>
  <c r="O40" i="16"/>
  <c r="AI39" i="16"/>
  <c r="AH39" i="16"/>
  <c r="AG39" i="16"/>
  <c r="AF39" i="16"/>
  <c r="AE39" i="16"/>
  <c r="U39" i="16"/>
  <c r="S39" i="16"/>
  <c r="AA39" i="16" s="1"/>
  <c r="R39" i="16"/>
  <c r="Q39" i="16"/>
  <c r="Y39" i="16" s="1"/>
  <c r="P39" i="16"/>
  <c r="X39" i="16" s="1"/>
  <c r="O39" i="16"/>
  <c r="W39" i="16" s="1"/>
  <c r="AI38" i="16"/>
  <c r="AH38" i="16"/>
  <c r="AG38" i="16"/>
  <c r="AF38" i="16"/>
  <c r="AE38" i="16"/>
  <c r="U38" i="16"/>
  <c r="S38" i="16"/>
  <c r="R38" i="16"/>
  <c r="Q38" i="16"/>
  <c r="Y38" i="16" s="1"/>
  <c r="P38" i="16"/>
  <c r="X38" i="16" s="1"/>
  <c r="O38" i="16"/>
  <c r="AI37" i="16"/>
  <c r="AH37" i="16"/>
  <c r="AG37" i="16"/>
  <c r="AF37" i="16"/>
  <c r="AE37" i="16"/>
  <c r="X37" i="16"/>
  <c r="U37" i="16"/>
  <c r="S37" i="16"/>
  <c r="R37" i="16"/>
  <c r="Q37" i="16"/>
  <c r="Y37" i="16" s="1"/>
  <c r="P37" i="16"/>
  <c r="O37" i="16"/>
  <c r="W37" i="16" s="1"/>
  <c r="AI36" i="16"/>
  <c r="AH36" i="16"/>
  <c r="AG36" i="16"/>
  <c r="AF36" i="16"/>
  <c r="AE36" i="16"/>
  <c r="X36" i="16"/>
  <c r="U36" i="16"/>
  <c r="S36" i="16"/>
  <c r="R36" i="16"/>
  <c r="Z36" i="16" s="1"/>
  <c r="Q36" i="16"/>
  <c r="Y36" i="16" s="1"/>
  <c r="P36" i="16"/>
  <c r="O36" i="16"/>
  <c r="AI35" i="16"/>
  <c r="AH35" i="16"/>
  <c r="AG35" i="16"/>
  <c r="AF35" i="16"/>
  <c r="AE35" i="16"/>
  <c r="U35" i="16"/>
  <c r="S35" i="16"/>
  <c r="AA35" i="16" s="1"/>
  <c r="R35" i="16"/>
  <c r="Q35" i="16"/>
  <c r="Y35" i="16" s="1"/>
  <c r="P35" i="16"/>
  <c r="X35" i="16" s="1"/>
  <c r="O35" i="16"/>
  <c r="W35" i="16" s="1"/>
  <c r="AI22" i="16"/>
  <c r="AH22" i="16"/>
  <c r="AG22" i="16"/>
  <c r="AF22" i="16"/>
  <c r="AE22" i="16"/>
  <c r="U22" i="16"/>
  <c r="S22" i="16"/>
  <c r="R22" i="16"/>
  <c r="Q22" i="16"/>
  <c r="Y22" i="16" s="1"/>
  <c r="P22" i="16"/>
  <c r="X22" i="16" s="1"/>
  <c r="O22" i="16"/>
  <c r="AI21" i="16"/>
  <c r="AH21" i="16"/>
  <c r="AG21" i="16"/>
  <c r="AF21" i="16"/>
  <c r="AE21" i="16"/>
  <c r="U21" i="16"/>
  <c r="W21" i="16" s="1"/>
  <c r="S21" i="16"/>
  <c r="R21" i="16"/>
  <c r="Q21" i="16"/>
  <c r="P21" i="16"/>
  <c r="O21" i="16"/>
  <c r="AI20" i="16"/>
  <c r="AH20" i="16"/>
  <c r="AG20" i="16"/>
  <c r="AF20" i="16"/>
  <c r="AE20" i="16"/>
  <c r="U20" i="16"/>
  <c r="S20" i="16"/>
  <c r="AA20" i="16" s="1"/>
  <c r="R20" i="16"/>
  <c r="Z20" i="16" s="1"/>
  <c r="Q20" i="16"/>
  <c r="Y20" i="16" s="1"/>
  <c r="P20" i="16"/>
  <c r="X20" i="16" s="1"/>
  <c r="O20" i="16"/>
  <c r="W20" i="16" s="1"/>
  <c r="AI19" i="16"/>
  <c r="AH19" i="16"/>
  <c r="AG19" i="16"/>
  <c r="AF19" i="16"/>
  <c r="AE19" i="16"/>
  <c r="U19" i="16"/>
  <c r="S19" i="16"/>
  <c r="AA19" i="16" s="1"/>
  <c r="R19" i="16"/>
  <c r="Q19" i="16"/>
  <c r="Y19" i="16" s="1"/>
  <c r="P19" i="16"/>
  <c r="X19" i="16" s="1"/>
  <c r="O19" i="16"/>
  <c r="W19" i="16" s="1"/>
  <c r="AI14" i="16"/>
  <c r="AH14" i="16"/>
  <c r="AG14" i="16"/>
  <c r="AF14" i="16"/>
  <c r="AE14" i="16"/>
  <c r="U14" i="16"/>
  <c r="AA14" i="16" s="1"/>
  <c r="S14" i="16"/>
  <c r="R14" i="16"/>
  <c r="Q14" i="16"/>
  <c r="Y14" i="16" s="1"/>
  <c r="P14" i="16"/>
  <c r="O14" i="16"/>
  <c r="AI13" i="16"/>
  <c r="AH13" i="16"/>
  <c r="AG13" i="16"/>
  <c r="AF13" i="16"/>
  <c r="AE13" i="16"/>
  <c r="X13" i="16"/>
  <c r="U13" i="16"/>
  <c r="S13" i="16"/>
  <c r="R13" i="16"/>
  <c r="Z13" i="16" s="1"/>
  <c r="Q13" i="16"/>
  <c r="Y13" i="16" s="1"/>
  <c r="P13" i="16"/>
  <c r="O13" i="16"/>
  <c r="AI12" i="16"/>
  <c r="AH12" i="16"/>
  <c r="AG12" i="16"/>
  <c r="AF12" i="16"/>
  <c r="AE12" i="16"/>
  <c r="U12" i="16"/>
  <c r="S12" i="16"/>
  <c r="R12" i="16"/>
  <c r="Q12" i="16"/>
  <c r="Y12" i="16" s="1"/>
  <c r="P12" i="16"/>
  <c r="X12" i="16" s="1"/>
  <c r="O12" i="16"/>
  <c r="W12" i="16" s="1"/>
  <c r="AI11" i="16"/>
  <c r="AH11" i="16"/>
  <c r="AG11" i="16"/>
  <c r="AF11" i="16"/>
  <c r="AE11" i="16"/>
  <c r="U11" i="16"/>
  <c r="S11" i="16"/>
  <c r="AA11" i="16" s="1"/>
  <c r="R11" i="16"/>
  <c r="Q11" i="16"/>
  <c r="Y11" i="16" s="1"/>
  <c r="P11" i="16"/>
  <c r="O11" i="16"/>
  <c r="W11" i="16" s="1"/>
  <c r="AI6" i="16"/>
  <c r="AH6" i="16"/>
  <c r="AG6" i="16"/>
  <c r="AF6" i="16"/>
  <c r="AE6" i="16"/>
  <c r="U6" i="16"/>
  <c r="S6" i="16"/>
  <c r="R6" i="16"/>
  <c r="Q6" i="16"/>
  <c r="P6" i="16"/>
  <c r="O6" i="16"/>
  <c r="AI5" i="16"/>
  <c r="AH5" i="16"/>
  <c r="AG5" i="16"/>
  <c r="AF5" i="16"/>
  <c r="AE5" i="16"/>
  <c r="U5" i="16"/>
  <c r="S5" i="16"/>
  <c r="AA5" i="16" s="1"/>
  <c r="R5" i="16"/>
  <c r="Z5" i="16" s="1"/>
  <c r="Q5" i="16"/>
  <c r="Y5" i="16" s="1"/>
  <c r="P5" i="16"/>
  <c r="X5" i="16" s="1"/>
  <c r="O5" i="16"/>
  <c r="W5" i="16" s="1"/>
  <c r="AI4" i="16"/>
  <c r="AH4" i="16"/>
  <c r="AG4" i="16"/>
  <c r="AF4" i="16"/>
  <c r="AE4" i="16"/>
  <c r="X4" i="16"/>
  <c r="U4" i="16"/>
  <c r="S4" i="16"/>
  <c r="R4" i="16"/>
  <c r="Z4" i="16" s="1"/>
  <c r="Q4" i="16"/>
  <c r="P4" i="16"/>
  <c r="O4" i="16"/>
  <c r="W4" i="16" s="1"/>
  <c r="AI3" i="16"/>
  <c r="AH3" i="16"/>
  <c r="AG3" i="16"/>
  <c r="AF3" i="16"/>
  <c r="AE3" i="16"/>
  <c r="U3" i="16"/>
  <c r="S3" i="16"/>
  <c r="AA3" i="16" s="1"/>
  <c r="R3" i="16"/>
  <c r="Q3" i="16"/>
  <c r="Y3" i="16" s="1"/>
  <c r="P3" i="16"/>
  <c r="X3" i="16" s="1"/>
  <c r="O3" i="16"/>
  <c r="W3" i="16" s="1"/>
  <c r="AI42" i="15"/>
  <c r="AH42" i="15"/>
  <c r="AG42" i="15"/>
  <c r="AF42" i="15"/>
  <c r="AE42" i="15"/>
  <c r="U42" i="15"/>
  <c r="S42" i="15"/>
  <c r="AA42" i="15" s="1"/>
  <c r="R42" i="15"/>
  <c r="Q42" i="15"/>
  <c r="P42" i="15"/>
  <c r="O42" i="15"/>
  <c r="AI41" i="15"/>
  <c r="AH41" i="15"/>
  <c r="AG41" i="15"/>
  <c r="AF41" i="15"/>
  <c r="AE41" i="15"/>
  <c r="U41" i="15"/>
  <c r="S41" i="15"/>
  <c r="R41" i="15"/>
  <c r="Q41" i="15"/>
  <c r="P41" i="15"/>
  <c r="X41" i="15" s="1"/>
  <c r="O41" i="15"/>
  <c r="W41" i="15" s="1"/>
  <c r="AI40" i="15"/>
  <c r="AH40" i="15"/>
  <c r="AG40" i="15"/>
  <c r="AF40" i="15"/>
  <c r="AE40" i="15"/>
  <c r="U40" i="15"/>
  <c r="S40" i="15"/>
  <c r="R40" i="15"/>
  <c r="Z40" i="15" s="1"/>
  <c r="Q40" i="15"/>
  <c r="P40" i="15"/>
  <c r="X40" i="15" s="1"/>
  <c r="O40" i="15"/>
  <c r="W40" i="15" s="1"/>
  <c r="AI39" i="15"/>
  <c r="AH39" i="15"/>
  <c r="AG39" i="15"/>
  <c r="AF39" i="15"/>
  <c r="AE39" i="15"/>
  <c r="U39" i="15"/>
  <c r="S39" i="15"/>
  <c r="AA39" i="15" s="1"/>
  <c r="R39" i="15"/>
  <c r="Q39" i="15"/>
  <c r="Y39" i="15" s="1"/>
  <c r="P39" i="15"/>
  <c r="X39" i="15" s="1"/>
  <c r="O39" i="15"/>
  <c r="W39" i="15" s="1"/>
  <c r="AI38" i="15"/>
  <c r="AH38" i="15"/>
  <c r="AG38" i="15"/>
  <c r="AF38" i="15"/>
  <c r="AE38" i="15"/>
  <c r="U38" i="15"/>
  <c r="S38" i="15"/>
  <c r="R38" i="15"/>
  <c r="Q38" i="15"/>
  <c r="P38" i="15"/>
  <c r="X38" i="15" s="1"/>
  <c r="O38" i="15"/>
  <c r="AI37" i="15"/>
  <c r="AH37" i="15"/>
  <c r="AG37" i="15"/>
  <c r="AF37" i="15"/>
  <c r="AE37" i="15"/>
  <c r="U37" i="15"/>
  <c r="S37" i="15"/>
  <c r="AA37" i="15" s="1"/>
  <c r="R37" i="15"/>
  <c r="Z37" i="15" s="1"/>
  <c r="Q37" i="15"/>
  <c r="Y37" i="15" s="1"/>
  <c r="P37" i="15"/>
  <c r="X37" i="15" s="1"/>
  <c r="O37" i="15"/>
  <c r="AI36" i="15"/>
  <c r="AH36" i="15"/>
  <c r="AG36" i="15"/>
  <c r="AF36" i="15"/>
  <c r="AE36" i="15"/>
  <c r="U36" i="15"/>
  <c r="S36" i="15"/>
  <c r="AA36" i="15" s="1"/>
  <c r="R36" i="15"/>
  <c r="Z36" i="15" s="1"/>
  <c r="Q36" i="15"/>
  <c r="P36" i="15"/>
  <c r="X36" i="15" s="1"/>
  <c r="O36" i="15"/>
  <c r="W36" i="15" s="1"/>
  <c r="AI35" i="15"/>
  <c r="AH35" i="15"/>
  <c r="AG35" i="15"/>
  <c r="AF35" i="15"/>
  <c r="AE35" i="15"/>
  <c r="U35" i="15"/>
  <c r="S35" i="15"/>
  <c r="AA35" i="15" s="1"/>
  <c r="R35" i="15"/>
  <c r="Q35" i="15"/>
  <c r="P35" i="15"/>
  <c r="O35" i="15"/>
  <c r="AI22" i="15"/>
  <c r="AH22" i="15"/>
  <c r="AG22" i="15"/>
  <c r="AF22" i="15"/>
  <c r="AE22" i="15"/>
  <c r="U22" i="15"/>
  <c r="S22" i="15"/>
  <c r="R22" i="15"/>
  <c r="Q22" i="15"/>
  <c r="P22" i="15"/>
  <c r="X22" i="15" s="1"/>
  <c r="O22" i="15"/>
  <c r="W22" i="15" s="1"/>
  <c r="AI21" i="15"/>
  <c r="AH21" i="15"/>
  <c r="AG21" i="15"/>
  <c r="AF21" i="15"/>
  <c r="AE21" i="15"/>
  <c r="U21" i="15"/>
  <c r="S21" i="15"/>
  <c r="AA21" i="15" s="1"/>
  <c r="R21" i="15"/>
  <c r="Q21" i="15"/>
  <c r="Y21" i="15" s="1"/>
  <c r="P21" i="15"/>
  <c r="X21" i="15" s="1"/>
  <c r="O21" i="15"/>
  <c r="W21" i="15" s="1"/>
  <c r="AI20" i="15"/>
  <c r="AH20" i="15"/>
  <c r="AG20" i="15"/>
  <c r="AF20" i="15"/>
  <c r="AE20" i="15"/>
  <c r="U20" i="15"/>
  <c r="S20" i="15"/>
  <c r="R20" i="15"/>
  <c r="Z20" i="15" s="1"/>
  <c r="Q20" i="15"/>
  <c r="P20" i="15"/>
  <c r="X20" i="15" s="1"/>
  <c r="O20" i="15"/>
  <c r="AI19" i="15"/>
  <c r="AH19" i="15"/>
  <c r="AG19" i="15"/>
  <c r="AF19" i="15"/>
  <c r="AE19" i="15"/>
  <c r="U19" i="15"/>
  <c r="S19" i="15"/>
  <c r="AA19" i="15" s="1"/>
  <c r="R19" i="15"/>
  <c r="Z19" i="15" s="1"/>
  <c r="Q19" i="15"/>
  <c r="Y19" i="15" s="1"/>
  <c r="P19" i="15"/>
  <c r="O19" i="15"/>
  <c r="AI14" i="15"/>
  <c r="AH14" i="15"/>
  <c r="AG14" i="15"/>
  <c r="AF14" i="15"/>
  <c r="AE14" i="15"/>
  <c r="U14" i="15"/>
  <c r="S14" i="15"/>
  <c r="AA14" i="15" s="1"/>
  <c r="R14" i="15"/>
  <c r="Q14" i="15"/>
  <c r="Y14" i="15" s="1"/>
  <c r="P14" i="15"/>
  <c r="X14" i="15" s="1"/>
  <c r="O14" i="15"/>
  <c r="AI13" i="15"/>
  <c r="AH13" i="15"/>
  <c r="AG13" i="15"/>
  <c r="AF13" i="15"/>
  <c r="AE13" i="15"/>
  <c r="U13" i="15"/>
  <c r="AA13" i="15" s="1"/>
  <c r="S13" i="15"/>
  <c r="R13" i="15"/>
  <c r="Z13" i="15" s="1"/>
  <c r="Q13" i="15"/>
  <c r="Y13" i="15" s="1"/>
  <c r="P13" i="15"/>
  <c r="X13" i="15" s="1"/>
  <c r="O13" i="15"/>
  <c r="W13" i="15" s="1"/>
  <c r="AI12" i="15"/>
  <c r="AH12" i="15"/>
  <c r="AG12" i="15"/>
  <c r="AF12" i="15"/>
  <c r="AE12" i="15"/>
  <c r="Y12" i="15"/>
  <c r="U12" i="15"/>
  <c r="S12" i="15"/>
  <c r="R12" i="15"/>
  <c r="Q12" i="15"/>
  <c r="P12" i="15"/>
  <c r="X12" i="15" s="1"/>
  <c r="O12" i="15"/>
  <c r="AI11" i="15"/>
  <c r="AH11" i="15"/>
  <c r="AG11" i="15"/>
  <c r="AF11" i="15"/>
  <c r="AE11" i="15"/>
  <c r="U11" i="15"/>
  <c r="Z11" i="15" s="1"/>
  <c r="S11" i="15"/>
  <c r="AA11" i="15" s="1"/>
  <c r="R11" i="15"/>
  <c r="Q11" i="15"/>
  <c r="Y11" i="15" s="1"/>
  <c r="P11" i="15"/>
  <c r="X11" i="15" s="1"/>
  <c r="O11" i="15"/>
  <c r="W11" i="15" s="1"/>
  <c r="AI6" i="15"/>
  <c r="AH6" i="15"/>
  <c r="AG6" i="15"/>
  <c r="AF6" i="15"/>
  <c r="AE6" i="15"/>
  <c r="U6" i="15"/>
  <c r="S6" i="15"/>
  <c r="R6" i="15"/>
  <c r="Q6" i="15"/>
  <c r="Y6" i="15" s="1"/>
  <c r="P6" i="15"/>
  <c r="X6" i="15" s="1"/>
  <c r="O6" i="15"/>
  <c r="AI5" i="15"/>
  <c r="AH5" i="15"/>
  <c r="AG5" i="15"/>
  <c r="AF5" i="15"/>
  <c r="AE5" i="15"/>
  <c r="U5" i="15"/>
  <c r="S5" i="15"/>
  <c r="R5" i="15"/>
  <c r="Q5" i="15"/>
  <c r="P5" i="15"/>
  <c r="X5" i="15" s="1"/>
  <c r="O5" i="15"/>
  <c r="W5" i="15" s="1"/>
  <c r="AI4" i="15"/>
  <c r="AH4" i="15"/>
  <c r="AG4" i="15"/>
  <c r="AF4" i="15"/>
  <c r="AE4" i="15"/>
  <c r="U4" i="15"/>
  <c r="S4" i="15"/>
  <c r="AA4" i="15" s="1"/>
  <c r="R4" i="15"/>
  <c r="Z4" i="15" s="1"/>
  <c r="Q4" i="15"/>
  <c r="P4" i="15"/>
  <c r="O4" i="15"/>
  <c r="AI3" i="15"/>
  <c r="AH3" i="15"/>
  <c r="AG3" i="15"/>
  <c r="AF3" i="15"/>
  <c r="AE3" i="15"/>
  <c r="U3" i="15"/>
  <c r="S3" i="15"/>
  <c r="AA3" i="15" s="1"/>
  <c r="R3" i="15"/>
  <c r="Q3" i="15"/>
  <c r="Y3" i="15" s="1"/>
  <c r="P3" i="15"/>
  <c r="X3" i="15" s="1"/>
  <c r="O3" i="15"/>
  <c r="AI42" i="14"/>
  <c r="AH42" i="14"/>
  <c r="AG42" i="14"/>
  <c r="AF42" i="14"/>
  <c r="AE42" i="14"/>
  <c r="U42" i="14"/>
  <c r="S42" i="14"/>
  <c r="AA42" i="14" s="1"/>
  <c r="R42" i="14"/>
  <c r="Q42" i="14"/>
  <c r="Y42" i="14" s="1"/>
  <c r="P42" i="14"/>
  <c r="X42" i="14" s="1"/>
  <c r="O42" i="14"/>
  <c r="W42" i="14" s="1"/>
  <c r="AI41" i="14"/>
  <c r="AH41" i="14"/>
  <c r="AG41" i="14"/>
  <c r="AF41" i="14"/>
  <c r="AE41" i="14"/>
  <c r="U41" i="14"/>
  <c r="W41" i="14" s="1"/>
  <c r="S41" i="14"/>
  <c r="R41" i="14"/>
  <c r="Q41" i="14"/>
  <c r="P41" i="14"/>
  <c r="O41" i="14"/>
  <c r="AI40" i="14"/>
  <c r="AH40" i="14"/>
  <c r="AG40" i="14"/>
  <c r="AF40" i="14"/>
  <c r="AE40" i="14"/>
  <c r="U40" i="14"/>
  <c r="S40" i="14"/>
  <c r="AA40" i="14" s="1"/>
  <c r="R40" i="14"/>
  <c r="Z40" i="14" s="1"/>
  <c r="Q40" i="14"/>
  <c r="P40" i="14"/>
  <c r="X40" i="14" s="1"/>
  <c r="O40" i="14"/>
  <c r="W40" i="14" s="1"/>
  <c r="AI39" i="14"/>
  <c r="AH39" i="14"/>
  <c r="AG39" i="14"/>
  <c r="AF39" i="14"/>
  <c r="AE39" i="14"/>
  <c r="U39" i="14"/>
  <c r="S39" i="14"/>
  <c r="AA39" i="14" s="1"/>
  <c r="R39" i="14"/>
  <c r="Q39" i="14"/>
  <c r="Y39" i="14" s="1"/>
  <c r="P39" i="14"/>
  <c r="X39" i="14" s="1"/>
  <c r="O39" i="14"/>
  <c r="W39" i="14" s="1"/>
  <c r="AI38" i="14"/>
  <c r="AH38" i="14"/>
  <c r="AG38" i="14"/>
  <c r="AF38" i="14"/>
  <c r="AE38" i="14"/>
  <c r="U38" i="14"/>
  <c r="Z38" i="14" s="1"/>
  <c r="S38" i="14"/>
  <c r="R38" i="14"/>
  <c r="Q38" i="14"/>
  <c r="P38" i="14"/>
  <c r="O38" i="14"/>
  <c r="AI37" i="14"/>
  <c r="AH37" i="14"/>
  <c r="AG37" i="14"/>
  <c r="AF37" i="14"/>
  <c r="AE37" i="14"/>
  <c r="U37" i="14"/>
  <c r="W37" i="14" s="1"/>
  <c r="S37" i="14"/>
  <c r="AA37" i="14" s="1"/>
  <c r="R37" i="14"/>
  <c r="Q37" i="14"/>
  <c r="P37" i="14"/>
  <c r="O37" i="14"/>
  <c r="AI36" i="14"/>
  <c r="AH36" i="14"/>
  <c r="AG36" i="14"/>
  <c r="AF36" i="14"/>
  <c r="AE36" i="14"/>
  <c r="U36" i="14"/>
  <c r="S36" i="14"/>
  <c r="R36" i="14"/>
  <c r="Z36" i="14" s="1"/>
  <c r="Q36" i="14"/>
  <c r="Y36" i="14" s="1"/>
  <c r="P36" i="14"/>
  <c r="X36" i="14" s="1"/>
  <c r="O36" i="14"/>
  <c r="W36" i="14" s="1"/>
  <c r="AI35" i="14"/>
  <c r="AH35" i="14"/>
  <c r="AG35" i="14"/>
  <c r="AF35" i="14"/>
  <c r="AE35" i="14"/>
  <c r="U35" i="14"/>
  <c r="S35" i="14"/>
  <c r="AA35" i="14" s="1"/>
  <c r="R35" i="14"/>
  <c r="Q35" i="14"/>
  <c r="Y35" i="14" s="1"/>
  <c r="P35" i="14"/>
  <c r="X35" i="14" s="1"/>
  <c r="O35" i="14"/>
  <c r="W35" i="14" s="1"/>
  <c r="AI22" i="14"/>
  <c r="AH22" i="14"/>
  <c r="AG22" i="14"/>
  <c r="AF22" i="14"/>
  <c r="AE22" i="14"/>
  <c r="U22" i="14"/>
  <c r="S22" i="14"/>
  <c r="AA22" i="14" s="1"/>
  <c r="R22" i="14"/>
  <c r="Q22" i="14"/>
  <c r="Y22" i="14" s="1"/>
  <c r="P22" i="14"/>
  <c r="X22" i="14" s="1"/>
  <c r="O22" i="14"/>
  <c r="W22" i="14" s="1"/>
  <c r="AI21" i="14"/>
  <c r="AH21" i="14"/>
  <c r="AG21" i="14"/>
  <c r="AF21" i="14"/>
  <c r="AE21" i="14"/>
  <c r="U21" i="14"/>
  <c r="W21" i="14" s="1"/>
  <c r="S21" i="14"/>
  <c r="AA21" i="14" s="1"/>
  <c r="R21" i="14"/>
  <c r="Z21" i="14" s="1"/>
  <c r="Q21" i="14"/>
  <c r="P21" i="14"/>
  <c r="O21" i="14"/>
  <c r="AI20" i="14"/>
  <c r="AH20" i="14"/>
  <c r="AG20" i="14"/>
  <c r="AF20" i="14"/>
  <c r="AE20" i="14"/>
  <c r="U20" i="14"/>
  <c r="S20" i="14"/>
  <c r="AA20" i="14" s="1"/>
  <c r="R20" i="14"/>
  <c r="Q20" i="14"/>
  <c r="Y20" i="14" s="1"/>
  <c r="P20" i="14"/>
  <c r="X20" i="14" s="1"/>
  <c r="O20" i="14"/>
  <c r="W20" i="14" s="1"/>
  <c r="AI19" i="14"/>
  <c r="AH19" i="14"/>
  <c r="AG19" i="14"/>
  <c r="AF19" i="14"/>
  <c r="AE19" i="14"/>
  <c r="U19" i="14"/>
  <c r="S19" i="14"/>
  <c r="AA19" i="14" s="1"/>
  <c r="R19" i="14"/>
  <c r="Z19" i="14" s="1"/>
  <c r="Q19" i="14"/>
  <c r="Y19" i="14" s="1"/>
  <c r="P19" i="14"/>
  <c r="X19" i="14" s="1"/>
  <c r="O19" i="14"/>
  <c r="W19" i="14" s="1"/>
  <c r="AI14" i="14"/>
  <c r="AH14" i="14"/>
  <c r="AG14" i="14"/>
  <c r="AF14" i="14"/>
  <c r="AE14" i="14"/>
  <c r="U14" i="14"/>
  <c r="Z14" i="14" s="1"/>
  <c r="S14" i="14"/>
  <c r="R14" i="14"/>
  <c r="Q14" i="14"/>
  <c r="Y14" i="14" s="1"/>
  <c r="P14" i="14"/>
  <c r="O14" i="14"/>
  <c r="AI13" i="14"/>
  <c r="AH13" i="14"/>
  <c r="AG13" i="14"/>
  <c r="AF13" i="14"/>
  <c r="AE13" i="14"/>
  <c r="U13" i="14"/>
  <c r="S13" i="14"/>
  <c r="AA13" i="14" s="1"/>
  <c r="R13" i="14"/>
  <c r="Q13" i="14"/>
  <c r="Y13" i="14" s="1"/>
  <c r="P13" i="14"/>
  <c r="O13" i="14"/>
  <c r="W13" i="14" s="1"/>
  <c r="AI12" i="14"/>
  <c r="AH12" i="14"/>
  <c r="AG12" i="14"/>
  <c r="AF12" i="14"/>
  <c r="AE12" i="14"/>
  <c r="U12" i="14"/>
  <c r="S12" i="14"/>
  <c r="R12" i="14"/>
  <c r="Q12" i="14"/>
  <c r="P12" i="14"/>
  <c r="X12" i="14" s="1"/>
  <c r="O12" i="14"/>
  <c r="AI11" i="14"/>
  <c r="AH11" i="14"/>
  <c r="AG11" i="14"/>
  <c r="AF11" i="14"/>
  <c r="AE11" i="14"/>
  <c r="U11" i="14"/>
  <c r="S11" i="14"/>
  <c r="AA11" i="14" s="1"/>
  <c r="R11" i="14"/>
  <c r="Z11" i="14" s="1"/>
  <c r="Q11" i="14"/>
  <c r="Y11" i="14" s="1"/>
  <c r="P11" i="14"/>
  <c r="X11" i="14" s="1"/>
  <c r="O11" i="14"/>
  <c r="W11" i="14" s="1"/>
  <c r="AI6" i="14"/>
  <c r="AH6" i="14"/>
  <c r="AG6" i="14"/>
  <c r="AF6" i="14"/>
  <c r="AE6" i="14"/>
  <c r="U6" i="14"/>
  <c r="S6" i="14"/>
  <c r="AA6" i="14" s="1"/>
  <c r="R6" i="14"/>
  <c r="Q6" i="14"/>
  <c r="P6" i="14"/>
  <c r="X6" i="14" s="1"/>
  <c r="O6" i="14"/>
  <c r="W6" i="14" s="1"/>
  <c r="AI5" i="14"/>
  <c r="AH5" i="14"/>
  <c r="AG5" i="14"/>
  <c r="AF5" i="14"/>
  <c r="AE5" i="14"/>
  <c r="U5" i="14"/>
  <c r="S5" i="14"/>
  <c r="AA5" i="14" s="1"/>
  <c r="R5" i="14"/>
  <c r="Q5" i="14"/>
  <c r="Y5" i="14" s="1"/>
  <c r="P5" i="14"/>
  <c r="O5" i="14"/>
  <c r="AI4" i="14"/>
  <c r="AH4" i="14"/>
  <c r="AG4" i="14"/>
  <c r="AF4" i="14"/>
  <c r="AE4" i="14"/>
  <c r="U4" i="14"/>
  <c r="S4" i="14"/>
  <c r="R4" i="14"/>
  <c r="Z4" i="14" s="1"/>
  <c r="Q4" i="14"/>
  <c r="Y4" i="14" s="1"/>
  <c r="P4" i="14"/>
  <c r="O4" i="14"/>
  <c r="AI3" i="14"/>
  <c r="AH3" i="14"/>
  <c r="AG3" i="14"/>
  <c r="AF3" i="14"/>
  <c r="AE3" i="14"/>
  <c r="U3" i="14"/>
  <c r="S3" i="14"/>
  <c r="AA3" i="14" s="1"/>
  <c r="R3" i="14"/>
  <c r="Z3" i="14" s="1"/>
  <c r="Q3" i="14"/>
  <c r="Y3" i="14" s="1"/>
  <c r="P3" i="14"/>
  <c r="X3" i="14" s="1"/>
  <c r="O3" i="14"/>
  <c r="W3" i="14" s="1"/>
  <c r="AI54" i="13"/>
  <c r="AH54" i="13"/>
  <c r="AG54" i="13"/>
  <c r="AF54" i="13"/>
  <c r="AE54" i="13"/>
  <c r="U54" i="13"/>
  <c r="S54" i="13"/>
  <c r="AA54" i="13" s="1"/>
  <c r="R54" i="13"/>
  <c r="Q54" i="13"/>
  <c r="P54" i="13"/>
  <c r="O54" i="13"/>
  <c r="AI41" i="13"/>
  <c r="AH41" i="13"/>
  <c r="AG41" i="13"/>
  <c r="AF41" i="13"/>
  <c r="AE41" i="13"/>
  <c r="U41" i="13"/>
  <c r="S41" i="13"/>
  <c r="AA41" i="13" s="1"/>
  <c r="R41" i="13"/>
  <c r="Z41" i="13" s="1"/>
  <c r="Q41" i="13"/>
  <c r="Y41" i="13" s="1"/>
  <c r="P41" i="13"/>
  <c r="X41" i="13" s="1"/>
  <c r="O41" i="13"/>
  <c r="W41" i="13" s="1"/>
  <c r="AI40" i="13"/>
  <c r="AH40" i="13"/>
  <c r="AG40" i="13"/>
  <c r="AF40" i="13"/>
  <c r="AE40" i="13"/>
  <c r="U40" i="13"/>
  <c r="S40" i="13"/>
  <c r="AA40" i="13" s="1"/>
  <c r="R40" i="13"/>
  <c r="Z40" i="13" s="1"/>
  <c r="Q40" i="13"/>
  <c r="Y40" i="13" s="1"/>
  <c r="P40" i="13"/>
  <c r="X40" i="13" s="1"/>
  <c r="O40" i="13"/>
  <c r="W40" i="13" s="1"/>
  <c r="AI39" i="13"/>
  <c r="AH39" i="13"/>
  <c r="AG39" i="13"/>
  <c r="AF39" i="13"/>
  <c r="AE39" i="13"/>
  <c r="U39" i="13"/>
  <c r="S39" i="13"/>
  <c r="AA39" i="13" s="1"/>
  <c r="R39" i="13"/>
  <c r="Q39" i="13"/>
  <c r="Y39" i="13" s="1"/>
  <c r="P39" i="13"/>
  <c r="X39" i="13" s="1"/>
  <c r="O39" i="13"/>
  <c r="W39" i="13" s="1"/>
  <c r="AI38" i="13"/>
  <c r="AH38" i="13"/>
  <c r="AG38" i="13"/>
  <c r="AF38" i="13"/>
  <c r="AE38" i="13"/>
  <c r="U38" i="13"/>
  <c r="S38" i="13"/>
  <c r="R38" i="13"/>
  <c r="Q38" i="13"/>
  <c r="Y38" i="13" s="1"/>
  <c r="P38" i="13"/>
  <c r="X38" i="13" s="1"/>
  <c r="O38" i="13"/>
  <c r="AI37" i="13"/>
  <c r="AH37" i="13"/>
  <c r="AG37" i="13"/>
  <c r="AF37" i="13"/>
  <c r="AE37" i="13"/>
  <c r="U37" i="13"/>
  <c r="S37" i="13"/>
  <c r="AA37" i="13" s="1"/>
  <c r="R37" i="13"/>
  <c r="Z37" i="13" s="1"/>
  <c r="Q37" i="13"/>
  <c r="Y37" i="13" s="1"/>
  <c r="P37" i="13"/>
  <c r="X37" i="13" s="1"/>
  <c r="O37" i="13"/>
  <c r="W37" i="13" s="1"/>
  <c r="AI36" i="13"/>
  <c r="AH36" i="13"/>
  <c r="AG36" i="13"/>
  <c r="AF36" i="13"/>
  <c r="AE36" i="13"/>
  <c r="U36" i="13"/>
  <c r="S36" i="13"/>
  <c r="AA36" i="13" s="1"/>
  <c r="R36" i="13"/>
  <c r="Z36" i="13" s="1"/>
  <c r="Q36" i="13"/>
  <c r="Y36" i="13" s="1"/>
  <c r="P36" i="13"/>
  <c r="X36" i="13" s="1"/>
  <c r="O36" i="13"/>
  <c r="W36" i="13" s="1"/>
  <c r="AI35" i="13"/>
  <c r="AH35" i="13"/>
  <c r="AG35" i="13"/>
  <c r="AF35" i="13"/>
  <c r="AE35" i="13"/>
  <c r="U35" i="13"/>
  <c r="S35" i="13"/>
  <c r="AA35" i="13" s="1"/>
  <c r="R35" i="13"/>
  <c r="Q35" i="13"/>
  <c r="P35" i="13"/>
  <c r="O35" i="13"/>
  <c r="AI22" i="13"/>
  <c r="AH22" i="13"/>
  <c r="AG22" i="13"/>
  <c r="AF22" i="13"/>
  <c r="AE22" i="13"/>
  <c r="U22" i="13"/>
  <c r="S22" i="13"/>
  <c r="R22" i="13"/>
  <c r="Q22" i="13"/>
  <c r="Y22" i="13" s="1"/>
  <c r="P22" i="13"/>
  <c r="X22" i="13" s="1"/>
  <c r="O22" i="13"/>
  <c r="AI21" i="13"/>
  <c r="AH21" i="13"/>
  <c r="AG21" i="13"/>
  <c r="AF21" i="13"/>
  <c r="AE21" i="13"/>
  <c r="U21" i="13"/>
  <c r="S21" i="13"/>
  <c r="AA21" i="13" s="1"/>
  <c r="R21" i="13"/>
  <c r="Z21" i="13" s="1"/>
  <c r="Q21" i="13"/>
  <c r="Y21" i="13" s="1"/>
  <c r="P21" i="13"/>
  <c r="X21" i="13" s="1"/>
  <c r="O21" i="13"/>
  <c r="W21" i="13" s="1"/>
  <c r="AI20" i="13"/>
  <c r="AH20" i="13"/>
  <c r="AG20" i="13"/>
  <c r="AF20" i="13"/>
  <c r="AE20" i="13"/>
  <c r="X20" i="13"/>
  <c r="U20" i="13"/>
  <c r="S20" i="13"/>
  <c r="AA20" i="13" s="1"/>
  <c r="R20" i="13"/>
  <c r="Z20" i="13" s="1"/>
  <c r="Q20" i="13"/>
  <c r="Y20" i="13" s="1"/>
  <c r="P20" i="13"/>
  <c r="O20" i="13"/>
  <c r="W20" i="13" s="1"/>
  <c r="AI19" i="13"/>
  <c r="AH19" i="13"/>
  <c r="AG19" i="13"/>
  <c r="AF19" i="13"/>
  <c r="AE19" i="13"/>
  <c r="U19" i="13"/>
  <c r="S19" i="13"/>
  <c r="AA19" i="13" s="1"/>
  <c r="R19" i="13"/>
  <c r="Q19" i="13"/>
  <c r="Y19" i="13" s="1"/>
  <c r="P19" i="13"/>
  <c r="X19" i="13" s="1"/>
  <c r="O19" i="13"/>
  <c r="AI14" i="13"/>
  <c r="AH14" i="13"/>
  <c r="AG14" i="13"/>
  <c r="AF14" i="13"/>
  <c r="AE14" i="13"/>
  <c r="U14" i="13"/>
  <c r="Z14" i="13" s="1"/>
  <c r="S14" i="13"/>
  <c r="R14" i="13"/>
  <c r="Q14" i="13"/>
  <c r="Y14" i="13" s="1"/>
  <c r="P14" i="13"/>
  <c r="X14" i="13" s="1"/>
  <c r="O14" i="13"/>
  <c r="AI13" i="13"/>
  <c r="AH13" i="13"/>
  <c r="AG13" i="13"/>
  <c r="AF13" i="13"/>
  <c r="AE13" i="13"/>
  <c r="U13" i="13"/>
  <c r="S13" i="13"/>
  <c r="R13" i="13"/>
  <c r="Z13" i="13" s="1"/>
  <c r="Q13" i="13"/>
  <c r="Y13" i="13" s="1"/>
  <c r="P13" i="13"/>
  <c r="X13" i="13" s="1"/>
  <c r="O13" i="13"/>
  <c r="W13" i="13" s="1"/>
  <c r="AI12" i="13"/>
  <c r="AH12" i="13"/>
  <c r="AG12" i="13"/>
  <c r="AF12" i="13"/>
  <c r="AE12" i="13"/>
  <c r="U12" i="13"/>
  <c r="S12" i="13"/>
  <c r="AA12" i="13" s="1"/>
  <c r="R12" i="13"/>
  <c r="Z12" i="13" s="1"/>
  <c r="Q12" i="13"/>
  <c r="Y12" i="13" s="1"/>
  <c r="P12" i="13"/>
  <c r="O12" i="13"/>
  <c r="AI11" i="13"/>
  <c r="AH11" i="13"/>
  <c r="AG11" i="13"/>
  <c r="AF11" i="13"/>
  <c r="AE11" i="13"/>
  <c r="U11" i="13"/>
  <c r="S11" i="13"/>
  <c r="AA11" i="13" s="1"/>
  <c r="R11" i="13"/>
  <c r="Q11" i="13"/>
  <c r="Y11" i="13" s="1"/>
  <c r="P11" i="13"/>
  <c r="X11" i="13" s="1"/>
  <c r="O11" i="13"/>
  <c r="W11" i="13" s="1"/>
  <c r="AI6" i="13"/>
  <c r="AH6" i="13"/>
  <c r="AG6" i="13"/>
  <c r="AF6" i="13"/>
  <c r="AE6" i="13"/>
  <c r="U6" i="13"/>
  <c r="S6" i="13"/>
  <c r="R6" i="13"/>
  <c r="Q6" i="13"/>
  <c r="Y6" i="13" s="1"/>
  <c r="P6" i="13"/>
  <c r="X6" i="13" s="1"/>
  <c r="O6" i="13"/>
  <c r="AI5" i="13"/>
  <c r="AH5" i="13"/>
  <c r="AG5" i="13"/>
  <c r="AF5" i="13"/>
  <c r="AE5" i="13"/>
  <c r="U5" i="13"/>
  <c r="W5" i="13" s="1"/>
  <c r="S5" i="13"/>
  <c r="R5" i="13"/>
  <c r="Q5" i="13"/>
  <c r="P5" i="13"/>
  <c r="O5" i="13"/>
  <c r="AI4" i="13"/>
  <c r="AH4" i="13"/>
  <c r="AG4" i="13"/>
  <c r="AF4" i="13"/>
  <c r="AE4" i="13"/>
  <c r="U4" i="13"/>
  <c r="S4" i="13"/>
  <c r="AA4" i="13" s="1"/>
  <c r="R4" i="13"/>
  <c r="Z4" i="13" s="1"/>
  <c r="Q4" i="13"/>
  <c r="Y4" i="13" s="1"/>
  <c r="P4" i="13"/>
  <c r="X4" i="13" s="1"/>
  <c r="O4" i="13"/>
  <c r="AI3" i="13"/>
  <c r="AH3" i="13"/>
  <c r="AG3" i="13"/>
  <c r="AF3" i="13"/>
  <c r="AE3" i="13"/>
  <c r="U3" i="13"/>
  <c r="S3" i="13"/>
  <c r="AA3" i="13" s="1"/>
  <c r="R3" i="13"/>
  <c r="Q3" i="13"/>
  <c r="Y3" i="13" s="1"/>
  <c r="P3" i="13"/>
  <c r="X3" i="13" s="1"/>
  <c r="O3" i="13"/>
  <c r="W3" i="13" s="1"/>
  <c r="AI42" i="12"/>
  <c r="AH42" i="12"/>
  <c r="AG42" i="12"/>
  <c r="AF42" i="12"/>
  <c r="AE42" i="12"/>
  <c r="U42" i="12"/>
  <c r="AA42" i="12" s="1"/>
  <c r="S42" i="12"/>
  <c r="R42" i="12"/>
  <c r="Q42" i="12"/>
  <c r="Y42" i="12" s="1"/>
  <c r="P42" i="12"/>
  <c r="X42" i="12" s="1"/>
  <c r="O42" i="12"/>
  <c r="AI41" i="12"/>
  <c r="AH41" i="12"/>
  <c r="AG41" i="12"/>
  <c r="AF41" i="12"/>
  <c r="AE41" i="12"/>
  <c r="U41" i="12"/>
  <c r="S41" i="12"/>
  <c r="R41" i="12"/>
  <c r="Z41" i="12" s="1"/>
  <c r="Q41" i="12"/>
  <c r="Y41" i="12" s="1"/>
  <c r="P41" i="12"/>
  <c r="O41" i="12"/>
  <c r="AI40" i="12"/>
  <c r="AH40" i="12"/>
  <c r="AG40" i="12"/>
  <c r="AF40" i="12"/>
  <c r="AE40" i="12"/>
  <c r="U40" i="12"/>
  <c r="S40" i="12"/>
  <c r="AA40" i="12" s="1"/>
  <c r="R40" i="12"/>
  <c r="Z40" i="12" s="1"/>
  <c r="Q40" i="12"/>
  <c r="Y40" i="12" s="1"/>
  <c r="P40" i="12"/>
  <c r="X40" i="12" s="1"/>
  <c r="O40" i="12"/>
  <c r="W40" i="12" s="1"/>
  <c r="AI39" i="12"/>
  <c r="AH39" i="12"/>
  <c r="AG39" i="12"/>
  <c r="AF39" i="12"/>
  <c r="AE39" i="12"/>
  <c r="U39" i="12"/>
  <c r="S39" i="12"/>
  <c r="AA39" i="12" s="1"/>
  <c r="R39" i="12"/>
  <c r="Q39" i="12"/>
  <c r="Y39" i="12" s="1"/>
  <c r="P39" i="12"/>
  <c r="X39" i="12" s="1"/>
  <c r="O39" i="12"/>
  <c r="W39" i="12" s="1"/>
  <c r="AI38" i="12"/>
  <c r="AH38" i="12"/>
  <c r="AG38" i="12"/>
  <c r="AF38" i="12"/>
  <c r="AE38" i="12"/>
  <c r="U38" i="12"/>
  <c r="S38" i="12"/>
  <c r="R38" i="12"/>
  <c r="Q38" i="12"/>
  <c r="Y38" i="12" s="1"/>
  <c r="P38" i="12"/>
  <c r="X38" i="12" s="1"/>
  <c r="O38" i="12"/>
  <c r="AI37" i="12"/>
  <c r="AH37" i="12"/>
  <c r="AG37" i="12"/>
  <c r="AF37" i="12"/>
  <c r="AE37" i="12"/>
  <c r="U37" i="12"/>
  <c r="S37" i="12"/>
  <c r="AA37" i="12" s="1"/>
  <c r="R37" i="12"/>
  <c r="Z37" i="12" s="1"/>
  <c r="Q37" i="12"/>
  <c r="P37" i="12"/>
  <c r="X37" i="12" s="1"/>
  <c r="O37" i="12"/>
  <c r="AI36" i="12"/>
  <c r="AH36" i="12"/>
  <c r="AG36" i="12"/>
  <c r="AF36" i="12"/>
  <c r="AE36" i="12"/>
  <c r="U36" i="12"/>
  <c r="S36" i="12"/>
  <c r="AA36" i="12" s="1"/>
  <c r="R36" i="12"/>
  <c r="Z36" i="12" s="1"/>
  <c r="Q36" i="12"/>
  <c r="Y36" i="12" s="1"/>
  <c r="P36" i="12"/>
  <c r="X36" i="12" s="1"/>
  <c r="O36" i="12"/>
  <c r="W36" i="12" s="1"/>
  <c r="AI35" i="12"/>
  <c r="AH35" i="12"/>
  <c r="AG35" i="12"/>
  <c r="AF35" i="12"/>
  <c r="AE35" i="12"/>
  <c r="U35" i="12"/>
  <c r="S35" i="12"/>
  <c r="AA35" i="12" s="1"/>
  <c r="R35" i="12"/>
  <c r="Q35" i="12"/>
  <c r="P35" i="12"/>
  <c r="O35" i="12"/>
  <c r="AI22" i="12"/>
  <c r="AH22" i="12"/>
  <c r="AG22" i="12"/>
  <c r="AF22" i="12"/>
  <c r="AE22" i="12"/>
  <c r="U22" i="12"/>
  <c r="S22" i="12"/>
  <c r="R22" i="12"/>
  <c r="Q22" i="12"/>
  <c r="Y22" i="12" s="1"/>
  <c r="P22" i="12"/>
  <c r="X22" i="12" s="1"/>
  <c r="O22" i="12"/>
  <c r="AI21" i="12"/>
  <c r="AH21" i="12"/>
  <c r="AG21" i="12"/>
  <c r="AF21" i="12"/>
  <c r="AE21" i="12"/>
  <c r="U21" i="12"/>
  <c r="S21" i="12"/>
  <c r="AA21" i="12" s="1"/>
  <c r="R21" i="12"/>
  <c r="Z21" i="12" s="1"/>
  <c r="Q21" i="12"/>
  <c r="Y21" i="12" s="1"/>
  <c r="P21" i="12"/>
  <c r="X21" i="12" s="1"/>
  <c r="O21" i="12"/>
  <c r="W21" i="12" s="1"/>
  <c r="AI20" i="12"/>
  <c r="AH20" i="12"/>
  <c r="AG20" i="12"/>
  <c r="AF20" i="12"/>
  <c r="AE20" i="12"/>
  <c r="U20" i="12"/>
  <c r="S20" i="12"/>
  <c r="R20" i="12"/>
  <c r="Q20" i="12"/>
  <c r="P20" i="12"/>
  <c r="O20" i="12"/>
  <c r="AI19" i="12"/>
  <c r="AH19" i="12"/>
  <c r="AG19" i="12"/>
  <c r="AF19" i="12"/>
  <c r="AE19" i="12"/>
  <c r="U19" i="12"/>
  <c r="S19" i="12"/>
  <c r="AA19" i="12" s="1"/>
  <c r="R19" i="12"/>
  <c r="Q19" i="12"/>
  <c r="Y19" i="12" s="1"/>
  <c r="P19" i="12"/>
  <c r="X19" i="12" s="1"/>
  <c r="O19" i="12"/>
  <c r="W19" i="12" s="1"/>
  <c r="AI14" i="12"/>
  <c r="AH14" i="12"/>
  <c r="AG14" i="12"/>
  <c r="AF14" i="12"/>
  <c r="AE14" i="12"/>
  <c r="U14" i="12"/>
  <c r="AA14" i="12" s="1"/>
  <c r="S14" i="12"/>
  <c r="R14" i="12"/>
  <c r="Q14" i="12"/>
  <c r="Y14" i="12" s="1"/>
  <c r="P14" i="12"/>
  <c r="X14" i="12" s="1"/>
  <c r="O14" i="12"/>
  <c r="AI13" i="12"/>
  <c r="AH13" i="12"/>
  <c r="AG13" i="12"/>
  <c r="AF13" i="12"/>
  <c r="AE13" i="12"/>
  <c r="U13" i="12"/>
  <c r="S13" i="12"/>
  <c r="R13" i="12"/>
  <c r="Q13" i="12"/>
  <c r="Y13" i="12" s="1"/>
  <c r="P13" i="12"/>
  <c r="X13" i="12" s="1"/>
  <c r="O13" i="12"/>
  <c r="W13" i="12" s="1"/>
  <c r="AI12" i="12"/>
  <c r="AH12" i="12"/>
  <c r="AG12" i="12"/>
  <c r="AF12" i="12"/>
  <c r="AE12" i="12"/>
  <c r="U12" i="12"/>
  <c r="S12" i="12"/>
  <c r="AA12" i="12" s="1"/>
  <c r="R12" i="12"/>
  <c r="Z12" i="12" s="1"/>
  <c r="Q12" i="12"/>
  <c r="Y12" i="12" s="1"/>
  <c r="P12" i="12"/>
  <c r="X12" i="12" s="1"/>
  <c r="O12" i="12"/>
  <c r="W12" i="12" s="1"/>
  <c r="AI11" i="12"/>
  <c r="AH11" i="12"/>
  <c r="AG11" i="12"/>
  <c r="AF11" i="12"/>
  <c r="AE11" i="12"/>
  <c r="U11" i="12"/>
  <c r="S11" i="12"/>
  <c r="AA11" i="12" s="1"/>
  <c r="R11" i="12"/>
  <c r="Q11" i="12"/>
  <c r="Y11" i="12" s="1"/>
  <c r="P11" i="12"/>
  <c r="X11" i="12" s="1"/>
  <c r="O11" i="12"/>
  <c r="W11" i="12" s="1"/>
  <c r="AI6" i="12"/>
  <c r="AH6" i="12"/>
  <c r="AG6" i="12"/>
  <c r="AF6" i="12"/>
  <c r="AE6" i="12"/>
  <c r="U6" i="12"/>
  <c r="S6" i="12"/>
  <c r="R6" i="12"/>
  <c r="Q6" i="12"/>
  <c r="Y6" i="12" s="1"/>
  <c r="P6" i="12"/>
  <c r="X6" i="12" s="1"/>
  <c r="O6" i="12"/>
  <c r="AI5" i="12"/>
  <c r="AH5" i="12"/>
  <c r="AG5" i="12"/>
  <c r="AF5" i="12"/>
  <c r="AE5" i="12"/>
  <c r="U5" i="12"/>
  <c r="S5" i="12"/>
  <c r="R5" i="12"/>
  <c r="Z5" i="12" s="1"/>
  <c r="Q5" i="12"/>
  <c r="Y5" i="12" s="1"/>
  <c r="P5" i="12"/>
  <c r="O5" i="12"/>
  <c r="AI4" i="12"/>
  <c r="AH4" i="12"/>
  <c r="AG4" i="12"/>
  <c r="AF4" i="12"/>
  <c r="AE4" i="12"/>
  <c r="U4" i="12"/>
  <c r="S4" i="12"/>
  <c r="AA4" i="12" s="1"/>
  <c r="R4" i="12"/>
  <c r="Z4" i="12" s="1"/>
  <c r="Q4" i="12"/>
  <c r="Y4" i="12" s="1"/>
  <c r="P4" i="12"/>
  <c r="X4" i="12" s="1"/>
  <c r="O4" i="12"/>
  <c r="W4" i="12" s="1"/>
  <c r="AI3" i="12"/>
  <c r="AH3" i="12"/>
  <c r="AG3" i="12"/>
  <c r="AF3" i="12"/>
  <c r="AE3" i="12"/>
  <c r="U3" i="12"/>
  <c r="S3" i="12"/>
  <c r="AA3" i="12" s="1"/>
  <c r="R3" i="12"/>
  <c r="Q3" i="12"/>
  <c r="Y3" i="12" s="1"/>
  <c r="P3" i="12"/>
  <c r="X3" i="12" s="1"/>
  <c r="O3" i="12"/>
  <c r="W3" i="12" s="1"/>
  <c r="AA13" i="16" l="1"/>
  <c r="AA36" i="16"/>
  <c r="Z12" i="16"/>
  <c r="Y4" i="16"/>
  <c r="AA12" i="16"/>
  <c r="AA4" i="16"/>
  <c r="X11" i="16"/>
  <c r="Z35" i="16"/>
  <c r="X14" i="16"/>
  <c r="Z38" i="16"/>
  <c r="Z11" i="16"/>
  <c r="W40" i="16"/>
  <c r="X6" i="16"/>
  <c r="X21" i="16"/>
  <c r="Z37" i="16"/>
  <c r="AB37" i="16" s="1"/>
  <c r="Y6" i="16"/>
  <c r="W13" i="16"/>
  <c r="Y21" i="16"/>
  <c r="W36" i="16"/>
  <c r="AA37" i="16"/>
  <c r="Y40" i="16"/>
  <c r="Z21" i="16"/>
  <c r="Z40" i="16"/>
  <c r="AA21" i="16"/>
  <c r="AA40" i="16"/>
  <c r="Z42" i="15"/>
  <c r="W3" i="15"/>
  <c r="Y4" i="15"/>
  <c r="W14" i="15"/>
  <c r="Y22" i="15"/>
  <c r="W37" i="15"/>
  <c r="AA38" i="15"/>
  <c r="Y41" i="15"/>
  <c r="Z41" i="15"/>
  <c r="AA22" i="15"/>
  <c r="AA41" i="15"/>
  <c r="Z3" i="15"/>
  <c r="AB3" i="15" s="1"/>
  <c r="Z21" i="15"/>
  <c r="AB21" i="15" s="1"/>
  <c r="W20" i="15"/>
  <c r="AA40" i="15"/>
  <c r="AB40" i="15" s="1"/>
  <c r="Y5" i="15"/>
  <c r="AB5" i="15" s="1"/>
  <c r="W12" i="15"/>
  <c r="Z5" i="15"/>
  <c r="W35" i="15"/>
  <c r="AA5" i="15"/>
  <c r="AA20" i="15"/>
  <c r="X35" i="15"/>
  <c r="W42" i="15"/>
  <c r="W4" i="15"/>
  <c r="Z12" i="15"/>
  <c r="W19" i="15"/>
  <c r="Y35" i="15"/>
  <c r="X42" i="15"/>
  <c r="AB42" i="15" s="1"/>
  <c r="X4" i="15"/>
  <c r="AB4" i="15" s="1"/>
  <c r="AA12" i="15"/>
  <c r="AB12" i="15" s="1"/>
  <c r="X19" i="15"/>
  <c r="Z35" i="15"/>
  <c r="W38" i="15"/>
  <c r="Y42" i="15"/>
  <c r="X41" i="14"/>
  <c r="X4" i="14"/>
  <c r="Y12" i="14"/>
  <c r="Z20" i="14"/>
  <c r="AA36" i="14"/>
  <c r="Z12" i="14"/>
  <c r="AA12" i="14"/>
  <c r="W38" i="14"/>
  <c r="X38" i="14"/>
  <c r="W14" i="14"/>
  <c r="Y38" i="14"/>
  <c r="X14" i="14"/>
  <c r="X37" i="14"/>
  <c r="AB37" i="14" s="1"/>
  <c r="AA38" i="14"/>
  <c r="Y41" i="14"/>
  <c r="AB41" i="14" s="1"/>
  <c r="W5" i="14"/>
  <c r="X21" i="14"/>
  <c r="Y37" i="14"/>
  <c r="Z41" i="14"/>
  <c r="X5" i="14"/>
  <c r="X13" i="14"/>
  <c r="AA14" i="14"/>
  <c r="Y21" i="14"/>
  <c r="Z22" i="14"/>
  <c r="Z37" i="14"/>
  <c r="AA41" i="14"/>
  <c r="Z35" i="13"/>
  <c r="Z54" i="13"/>
  <c r="Z11" i="13"/>
  <c r="Z38" i="13"/>
  <c r="X5" i="13"/>
  <c r="AA13" i="13"/>
  <c r="Y5" i="13"/>
  <c r="W12" i="13"/>
  <c r="W35" i="13"/>
  <c r="Z5" i="13"/>
  <c r="X12" i="13"/>
  <c r="AB12" i="13" s="1"/>
  <c r="X35" i="13"/>
  <c r="X54" i="13"/>
  <c r="W4" i="13"/>
  <c r="AA5" i="13"/>
  <c r="AB5" i="13" s="1"/>
  <c r="W19" i="13"/>
  <c r="Y35" i="13"/>
  <c r="Y54" i="13"/>
  <c r="AA5" i="12"/>
  <c r="W37" i="12"/>
  <c r="AA41" i="12"/>
  <c r="Y37" i="12"/>
  <c r="W20" i="12"/>
  <c r="X20" i="12"/>
  <c r="W35" i="12"/>
  <c r="Z13" i="12"/>
  <c r="AB13" i="12" s="1"/>
  <c r="Y20" i="12"/>
  <c r="X35" i="12"/>
  <c r="W5" i="12"/>
  <c r="AA13" i="12"/>
  <c r="Z20" i="12"/>
  <c r="Y35" i="12"/>
  <c r="W41" i="12"/>
  <c r="X5" i="12"/>
  <c r="AB5" i="12" s="1"/>
  <c r="AA20" i="12"/>
  <c r="X41" i="12"/>
  <c r="AB12" i="16"/>
  <c r="AB11" i="16"/>
  <c r="AB35" i="16"/>
  <c r="Z6" i="16"/>
  <c r="AB19" i="16"/>
  <c r="Z22" i="16"/>
  <c r="Z42" i="16"/>
  <c r="AB42" i="16" s="1"/>
  <c r="AB36" i="16"/>
  <c r="Z3" i="16"/>
  <c r="AB3" i="16" s="1"/>
  <c r="Z19" i="16"/>
  <c r="Z39" i="16"/>
  <c r="AB39" i="16" s="1"/>
  <c r="Z6" i="15"/>
  <c r="Y20" i="15"/>
  <c r="AB22" i="15"/>
  <c r="Y36" i="15"/>
  <c r="AB36" i="15" s="1"/>
  <c r="Z39" i="15"/>
  <c r="AB39" i="15" s="1"/>
  <c r="Y40" i="15"/>
  <c r="AB11" i="15"/>
  <c r="Z14" i="15"/>
  <c r="AB14" i="15" s="1"/>
  <c r="Z22" i="15"/>
  <c r="Y38" i="15"/>
  <c r="Z42" i="14"/>
  <c r="AB42" i="14"/>
  <c r="AA4" i="14"/>
  <c r="Z5" i="14"/>
  <c r="Y6" i="14"/>
  <c r="Z13" i="14"/>
  <c r="AB13" i="14" s="1"/>
  <c r="AB14" i="14"/>
  <c r="AB22" i="14"/>
  <c r="Z35" i="14"/>
  <c r="AB38" i="14"/>
  <c r="Z39" i="14"/>
  <c r="Y40" i="14"/>
  <c r="AB11" i="13"/>
  <c r="AB36" i="13"/>
  <c r="AA6" i="13"/>
  <c r="AA22" i="13"/>
  <c r="AB35" i="13"/>
  <c r="Z3" i="13"/>
  <c r="AB3" i="13" s="1"/>
  <c r="Z19" i="13"/>
  <c r="AB19" i="13" s="1"/>
  <c r="Z39" i="13"/>
  <c r="AB39" i="13" s="1"/>
  <c r="Z3" i="12"/>
  <c r="AB3" i="12" s="1"/>
  <c r="Z22" i="12"/>
  <c r="AA6" i="12"/>
  <c r="AB4" i="12"/>
  <c r="Z19" i="12"/>
  <c r="AB19" i="12" s="1"/>
  <c r="Z39" i="12"/>
  <c r="AB39" i="12" s="1"/>
  <c r="AB12" i="12"/>
  <c r="AB36" i="12"/>
  <c r="Z38" i="12"/>
  <c r="Z11" i="12"/>
  <c r="AB11" i="12" s="1"/>
  <c r="Z35" i="12"/>
  <c r="AB5" i="16"/>
  <c r="AB21" i="16"/>
  <c r="AB41" i="16"/>
  <c r="AB4" i="16"/>
  <c r="AB20" i="16"/>
  <c r="AB40" i="16"/>
  <c r="AB13" i="16"/>
  <c r="Z14" i="16"/>
  <c r="W6" i="16"/>
  <c r="AA6" i="16"/>
  <c r="W14" i="16"/>
  <c r="AB14" i="16" s="1"/>
  <c r="W22" i="16"/>
  <c r="AA22" i="16"/>
  <c r="W38" i="16"/>
  <c r="AA38" i="16"/>
  <c r="AB37" i="15"/>
  <c r="AB13" i="15"/>
  <c r="AB41" i="15"/>
  <c r="AB19" i="15"/>
  <c r="AB20" i="15"/>
  <c r="AB35" i="15"/>
  <c r="Z38" i="15"/>
  <c r="W6" i="15"/>
  <c r="AA6" i="15"/>
  <c r="AB3" i="14"/>
  <c r="AB11" i="14"/>
  <c r="AB21" i="14"/>
  <c r="AB6" i="14"/>
  <c r="AB19" i="14"/>
  <c r="AB20" i="14"/>
  <c r="AB35" i="14"/>
  <c r="AB36" i="14"/>
  <c r="AB39" i="14"/>
  <c r="AB40" i="14"/>
  <c r="Z6" i="14"/>
  <c r="W4" i="14"/>
  <c r="W12" i="14"/>
  <c r="AB21" i="13"/>
  <c r="AB41" i="13"/>
  <c r="AB4" i="13"/>
  <c r="AB20" i="13"/>
  <c r="AB40" i="13"/>
  <c r="AB13" i="13"/>
  <c r="AB37" i="13"/>
  <c r="Z22" i="13"/>
  <c r="W14" i="13"/>
  <c r="AA14" i="13"/>
  <c r="W22" i="13"/>
  <c r="W38" i="13"/>
  <c r="AA38" i="13"/>
  <c r="W54" i="13"/>
  <c r="W6" i="13"/>
  <c r="Z6" i="13"/>
  <c r="AB21" i="12"/>
  <c r="AB41" i="12"/>
  <c r="AB20" i="12"/>
  <c r="AB40" i="12"/>
  <c r="AB37" i="12"/>
  <c r="Z6" i="12"/>
  <c r="Z14" i="12"/>
  <c r="Z42" i="12"/>
  <c r="W6" i="12"/>
  <c r="W14" i="12"/>
  <c r="W22" i="12"/>
  <c r="AA22" i="12"/>
  <c r="W38" i="12"/>
  <c r="AA38" i="12"/>
  <c r="W42" i="12"/>
  <c r="AB5" i="14" l="1"/>
  <c r="AB4" i="14"/>
  <c r="AB12" i="14"/>
  <c r="AB54" i="13"/>
  <c r="AB35" i="12"/>
  <c r="AB6" i="15"/>
  <c r="AB38" i="15"/>
  <c r="AB38" i="13"/>
  <c r="AB14" i="12"/>
  <c r="AB42" i="12"/>
  <c r="AB22" i="12"/>
  <c r="AB38" i="16"/>
  <c r="AB6" i="16"/>
  <c r="AB22" i="16"/>
  <c r="AB6" i="13"/>
  <c r="AB22" i="13"/>
  <c r="AB14" i="13"/>
  <c r="AB38" i="12"/>
  <c r="AB6" i="12"/>
  <c r="AI54" i="16" l="1"/>
  <c r="AH54" i="16"/>
  <c r="AG54" i="16"/>
  <c r="AF54" i="16"/>
  <c r="AE54" i="16"/>
  <c r="U54" i="16"/>
  <c r="S54" i="16"/>
  <c r="AA54" i="16" s="1"/>
  <c r="R54" i="16"/>
  <c r="Z54" i="16" s="1"/>
  <c r="Q54" i="16"/>
  <c r="Y54" i="16" s="1"/>
  <c r="P54" i="16"/>
  <c r="X54" i="16" s="1"/>
  <c r="O54" i="16"/>
  <c r="W54" i="16" s="1"/>
  <c r="AI53" i="16"/>
  <c r="AH53" i="16"/>
  <c r="AG53" i="16"/>
  <c r="AF53" i="16"/>
  <c r="AE53" i="16"/>
  <c r="U53" i="16"/>
  <c r="S53" i="16"/>
  <c r="AA53" i="16" s="1"/>
  <c r="R53" i="16"/>
  <c r="Z53" i="16" s="1"/>
  <c r="Q53" i="16"/>
  <c r="Y53" i="16" s="1"/>
  <c r="P53" i="16"/>
  <c r="X53" i="16" s="1"/>
  <c r="O53" i="16"/>
  <c r="W53" i="16" s="1"/>
  <c r="AI52" i="16"/>
  <c r="AH52" i="16"/>
  <c r="AG52" i="16"/>
  <c r="AF52" i="16"/>
  <c r="AE52" i="16"/>
  <c r="U52" i="16"/>
  <c r="W52" i="16" s="1"/>
  <c r="S52" i="16"/>
  <c r="AA52" i="16" s="1"/>
  <c r="R52" i="16"/>
  <c r="Z52" i="16" s="1"/>
  <c r="Q52" i="16"/>
  <c r="Y52" i="16" s="1"/>
  <c r="P52" i="16"/>
  <c r="O52" i="16"/>
  <c r="AI51" i="16"/>
  <c r="AH51" i="16"/>
  <c r="AG51" i="16"/>
  <c r="AF51" i="16"/>
  <c r="AE51" i="16"/>
  <c r="U51" i="16"/>
  <c r="S51" i="16"/>
  <c r="AA51" i="16" s="1"/>
  <c r="R51" i="16"/>
  <c r="Z51" i="16" s="1"/>
  <c r="Q51" i="16"/>
  <c r="Y51" i="16" s="1"/>
  <c r="P51" i="16"/>
  <c r="X51" i="16" s="1"/>
  <c r="O51" i="16"/>
  <c r="W51" i="16" s="1"/>
  <c r="AI50" i="16"/>
  <c r="AH50" i="16"/>
  <c r="AG50" i="16"/>
  <c r="AF50" i="16"/>
  <c r="AE50" i="16"/>
  <c r="U50" i="16"/>
  <c r="S50" i="16"/>
  <c r="AA50" i="16" s="1"/>
  <c r="R50" i="16"/>
  <c r="Z50" i="16" s="1"/>
  <c r="Q50" i="16"/>
  <c r="Y50" i="16" s="1"/>
  <c r="P50" i="16"/>
  <c r="X50" i="16" s="1"/>
  <c r="O50" i="16"/>
  <c r="W50" i="16" s="1"/>
  <c r="AI49" i="16"/>
  <c r="AH49" i="16"/>
  <c r="AG49" i="16"/>
  <c r="AF49" i="16"/>
  <c r="AE49" i="16"/>
  <c r="U49" i="16"/>
  <c r="S49" i="16"/>
  <c r="AA49" i="16" s="1"/>
  <c r="R49" i="16"/>
  <c r="Q49" i="16"/>
  <c r="P49" i="16"/>
  <c r="O49" i="16"/>
  <c r="AI48" i="16"/>
  <c r="AH48" i="16"/>
  <c r="AG48" i="16"/>
  <c r="AF48" i="16"/>
  <c r="AE48" i="16"/>
  <c r="U48" i="16"/>
  <c r="S48" i="16"/>
  <c r="AA48" i="16" s="1"/>
  <c r="R48" i="16"/>
  <c r="Q48" i="16"/>
  <c r="P48" i="16"/>
  <c r="X48" i="16" s="1"/>
  <c r="O48" i="16"/>
  <c r="W48" i="16" s="1"/>
  <c r="AI47" i="16"/>
  <c r="AH47" i="16"/>
  <c r="AG47" i="16"/>
  <c r="AF47" i="16"/>
  <c r="AE47" i="16"/>
  <c r="U47" i="16"/>
  <c r="S47" i="16"/>
  <c r="AA47" i="16" s="1"/>
  <c r="R47" i="16"/>
  <c r="Z47" i="16" s="1"/>
  <c r="Q47" i="16"/>
  <c r="Y47" i="16" s="1"/>
  <c r="P47" i="16"/>
  <c r="X47" i="16" s="1"/>
  <c r="O47" i="16"/>
  <c r="W47" i="16" s="1"/>
  <c r="AI46" i="16"/>
  <c r="AH46" i="16"/>
  <c r="AG46" i="16"/>
  <c r="AF46" i="16"/>
  <c r="AE46" i="16"/>
  <c r="U46" i="16"/>
  <c r="S46" i="16"/>
  <c r="R46" i="16"/>
  <c r="Q46" i="16"/>
  <c r="P46" i="16"/>
  <c r="O46" i="16"/>
  <c r="AI45" i="16"/>
  <c r="AH45" i="16"/>
  <c r="AG45" i="16"/>
  <c r="AF45" i="16"/>
  <c r="AE45" i="16"/>
  <c r="U45" i="16"/>
  <c r="S45" i="16"/>
  <c r="AA45" i="16" s="1"/>
  <c r="R45" i="16"/>
  <c r="Z45" i="16" s="1"/>
  <c r="Q45" i="16"/>
  <c r="Y45" i="16" s="1"/>
  <c r="P45" i="16"/>
  <c r="X45" i="16" s="1"/>
  <c r="O45" i="16"/>
  <c r="W45" i="16" s="1"/>
  <c r="AI44" i="16"/>
  <c r="AH44" i="16"/>
  <c r="AG44" i="16"/>
  <c r="AF44" i="16"/>
  <c r="AE44" i="16"/>
  <c r="U44" i="16"/>
  <c r="S44" i="16"/>
  <c r="R44" i="16"/>
  <c r="Z44" i="16" s="1"/>
  <c r="Q44" i="16"/>
  <c r="Y44" i="16" s="1"/>
  <c r="P44" i="16"/>
  <c r="X44" i="16" s="1"/>
  <c r="O44" i="16"/>
  <c r="AI43" i="16"/>
  <c r="AH43" i="16"/>
  <c r="AG43" i="16"/>
  <c r="AF43" i="16"/>
  <c r="AE43" i="16"/>
  <c r="U43" i="16"/>
  <c r="S43" i="16"/>
  <c r="AA43" i="16" s="1"/>
  <c r="R43" i="16"/>
  <c r="Z43" i="16" s="1"/>
  <c r="Q43" i="16"/>
  <c r="Y43" i="16" s="1"/>
  <c r="P43" i="16"/>
  <c r="X43" i="16" s="1"/>
  <c r="O43" i="16"/>
  <c r="W43" i="16" s="1"/>
  <c r="AI34" i="16"/>
  <c r="AH34" i="16"/>
  <c r="AG34" i="16"/>
  <c r="AF34" i="16"/>
  <c r="AE34" i="16"/>
  <c r="U34" i="16"/>
  <c r="S34" i="16"/>
  <c r="AA34" i="16" s="1"/>
  <c r="R34" i="16"/>
  <c r="Z34" i="16" s="1"/>
  <c r="Q34" i="16"/>
  <c r="Y34" i="16" s="1"/>
  <c r="P34" i="16"/>
  <c r="X34" i="16" s="1"/>
  <c r="O34" i="16"/>
  <c r="AI33" i="16"/>
  <c r="AH33" i="16"/>
  <c r="AG33" i="16"/>
  <c r="AF33" i="16"/>
  <c r="AE33" i="16"/>
  <c r="U33" i="16"/>
  <c r="S33" i="16"/>
  <c r="AA33" i="16" s="1"/>
  <c r="R33" i="16"/>
  <c r="Z33" i="16" s="1"/>
  <c r="Q33" i="16"/>
  <c r="Y33" i="16" s="1"/>
  <c r="P33" i="16"/>
  <c r="X33" i="16" s="1"/>
  <c r="O33" i="16"/>
  <c r="W33" i="16" s="1"/>
  <c r="AI32" i="16"/>
  <c r="AH32" i="16"/>
  <c r="AG32" i="16"/>
  <c r="AF32" i="16"/>
  <c r="AE32" i="16"/>
  <c r="U32" i="16"/>
  <c r="S32" i="16"/>
  <c r="AA32" i="16" s="1"/>
  <c r="R32" i="16"/>
  <c r="Q32" i="16"/>
  <c r="P32" i="16"/>
  <c r="X32" i="16" s="1"/>
  <c r="O32" i="16"/>
  <c r="W32" i="16" s="1"/>
  <c r="AI31" i="16"/>
  <c r="AH31" i="16"/>
  <c r="AG31" i="16"/>
  <c r="AF31" i="16"/>
  <c r="AE31" i="16"/>
  <c r="U31" i="16"/>
  <c r="S31" i="16"/>
  <c r="AA31" i="16" s="1"/>
  <c r="R31" i="16"/>
  <c r="Z31" i="16" s="1"/>
  <c r="Q31" i="16"/>
  <c r="Y31" i="16" s="1"/>
  <c r="P31" i="16"/>
  <c r="O31" i="16"/>
  <c r="AI30" i="16"/>
  <c r="AH30" i="16"/>
  <c r="AG30" i="16"/>
  <c r="AF30" i="16"/>
  <c r="AE30" i="16"/>
  <c r="U30" i="16"/>
  <c r="S30" i="16"/>
  <c r="R30" i="16"/>
  <c r="Z30" i="16" s="1"/>
  <c r="Q30" i="16"/>
  <c r="Y30" i="16" s="1"/>
  <c r="P30" i="16"/>
  <c r="X30" i="16" s="1"/>
  <c r="O30" i="16"/>
  <c r="W30" i="16" s="1"/>
  <c r="AI29" i="16"/>
  <c r="AH29" i="16"/>
  <c r="AG29" i="16"/>
  <c r="AF29" i="16"/>
  <c r="AE29" i="16"/>
  <c r="U29" i="16"/>
  <c r="S29" i="16"/>
  <c r="R29" i="16"/>
  <c r="Q29" i="16"/>
  <c r="Y29" i="16" s="1"/>
  <c r="P29" i="16"/>
  <c r="O29" i="16"/>
  <c r="AI28" i="16"/>
  <c r="AH28" i="16"/>
  <c r="AG28" i="16"/>
  <c r="AF28" i="16"/>
  <c r="AE28" i="16"/>
  <c r="U28" i="16"/>
  <c r="S28" i="16"/>
  <c r="R28" i="16"/>
  <c r="Z28" i="16" s="1"/>
  <c r="Q28" i="16"/>
  <c r="P28" i="16"/>
  <c r="O28" i="16"/>
  <c r="AI27" i="16"/>
  <c r="AH27" i="16"/>
  <c r="AG27" i="16"/>
  <c r="AF27" i="16"/>
  <c r="AE27" i="16"/>
  <c r="U27" i="16"/>
  <c r="S27" i="16"/>
  <c r="AA27" i="16" s="1"/>
  <c r="R27" i="16"/>
  <c r="Z27" i="16" s="1"/>
  <c r="Q27" i="16"/>
  <c r="Y27" i="16" s="1"/>
  <c r="P27" i="16"/>
  <c r="X27" i="16" s="1"/>
  <c r="O27" i="16"/>
  <c r="W27" i="16" s="1"/>
  <c r="AI26" i="16"/>
  <c r="AH26" i="16"/>
  <c r="AG26" i="16"/>
  <c r="AF26" i="16"/>
  <c r="AE26" i="16"/>
  <c r="U26" i="16"/>
  <c r="S26" i="16"/>
  <c r="AA26" i="16" s="1"/>
  <c r="R26" i="16"/>
  <c r="Z26" i="16" s="1"/>
  <c r="Q26" i="16"/>
  <c r="Y26" i="16" s="1"/>
  <c r="P26" i="16"/>
  <c r="X26" i="16" s="1"/>
  <c r="O26" i="16"/>
  <c r="W26" i="16" s="1"/>
  <c r="AI25" i="16"/>
  <c r="AH25" i="16"/>
  <c r="AG25" i="16"/>
  <c r="AF25" i="16"/>
  <c r="AE25" i="16"/>
  <c r="U25" i="16"/>
  <c r="S25" i="16"/>
  <c r="AA25" i="16" s="1"/>
  <c r="R25" i="16"/>
  <c r="Q25" i="16"/>
  <c r="P25" i="16"/>
  <c r="O25" i="16"/>
  <c r="AI24" i="16"/>
  <c r="AH24" i="16"/>
  <c r="AG24" i="16"/>
  <c r="AF24" i="16"/>
  <c r="AE24" i="16"/>
  <c r="U24" i="16"/>
  <c r="S24" i="16"/>
  <c r="AA24" i="16" s="1"/>
  <c r="R24" i="16"/>
  <c r="Z24" i="16" s="1"/>
  <c r="Q24" i="16"/>
  <c r="Y24" i="16" s="1"/>
  <c r="P24" i="16"/>
  <c r="X24" i="16" s="1"/>
  <c r="O24" i="16"/>
  <c r="W24" i="16" s="1"/>
  <c r="AI23" i="16"/>
  <c r="AH23" i="16"/>
  <c r="AG23" i="16"/>
  <c r="AF23" i="16"/>
  <c r="AE23" i="16"/>
  <c r="U23" i="16"/>
  <c r="S23" i="16"/>
  <c r="AA23" i="16" s="1"/>
  <c r="R23" i="16"/>
  <c r="Z23" i="16" s="1"/>
  <c r="Q23" i="16"/>
  <c r="Y23" i="16" s="1"/>
  <c r="P23" i="16"/>
  <c r="X23" i="16" s="1"/>
  <c r="O23" i="16"/>
  <c r="W23" i="16" s="1"/>
  <c r="AI18" i="16"/>
  <c r="AH18" i="16"/>
  <c r="AG18" i="16"/>
  <c r="AF18" i="16"/>
  <c r="AE18" i="16"/>
  <c r="U18" i="16"/>
  <c r="S18" i="16"/>
  <c r="R18" i="16"/>
  <c r="Q18" i="16"/>
  <c r="P18" i="16"/>
  <c r="O18" i="16"/>
  <c r="AI17" i="16"/>
  <c r="AH17" i="16"/>
  <c r="AG17" i="16"/>
  <c r="AF17" i="16"/>
  <c r="AE17" i="16"/>
  <c r="U17" i="16"/>
  <c r="S17" i="16"/>
  <c r="AA17" i="16" s="1"/>
  <c r="R17" i="16"/>
  <c r="Z17" i="16" s="1"/>
  <c r="Q17" i="16"/>
  <c r="P17" i="16"/>
  <c r="X17" i="16" s="1"/>
  <c r="O17" i="16"/>
  <c r="W17" i="16" s="1"/>
  <c r="AI16" i="16"/>
  <c r="AH16" i="16"/>
  <c r="AG16" i="16"/>
  <c r="AF16" i="16"/>
  <c r="AE16" i="16"/>
  <c r="U16" i="16"/>
  <c r="S16" i="16"/>
  <c r="R16" i="16"/>
  <c r="Q16" i="16"/>
  <c r="Y16" i="16" s="1"/>
  <c r="P16" i="16"/>
  <c r="X16" i="16" s="1"/>
  <c r="O16" i="16"/>
  <c r="W16" i="16" s="1"/>
  <c r="AI15" i="16"/>
  <c r="AH15" i="16"/>
  <c r="AG15" i="16"/>
  <c r="AF15" i="16"/>
  <c r="AE15" i="16"/>
  <c r="U15" i="16"/>
  <c r="S15" i="16"/>
  <c r="R15" i="16"/>
  <c r="Q15" i="16"/>
  <c r="Y15" i="16" s="1"/>
  <c r="P15" i="16"/>
  <c r="X15" i="16" s="1"/>
  <c r="O15" i="16"/>
  <c r="W15" i="16" s="1"/>
  <c r="AI10" i="16"/>
  <c r="AH10" i="16"/>
  <c r="AG10" i="16"/>
  <c r="AF10" i="16"/>
  <c r="AE10" i="16"/>
  <c r="U10" i="16"/>
  <c r="S10" i="16"/>
  <c r="AA10" i="16" s="1"/>
  <c r="R10" i="16"/>
  <c r="Z10" i="16" s="1"/>
  <c r="Q10" i="16"/>
  <c r="Y10" i="16" s="1"/>
  <c r="P10" i="16"/>
  <c r="X10" i="16" s="1"/>
  <c r="O10" i="16"/>
  <c r="AI9" i="16"/>
  <c r="AH9" i="16"/>
  <c r="AG9" i="16"/>
  <c r="AF9" i="16"/>
  <c r="AE9" i="16"/>
  <c r="U9" i="16"/>
  <c r="S9" i="16"/>
  <c r="AA9" i="16" s="1"/>
  <c r="R9" i="16"/>
  <c r="Z9" i="16" s="1"/>
  <c r="Q9" i="16"/>
  <c r="Y9" i="16" s="1"/>
  <c r="P9" i="16"/>
  <c r="X9" i="16" s="1"/>
  <c r="O9" i="16"/>
  <c r="W9" i="16" s="1"/>
  <c r="AI8" i="16"/>
  <c r="AH8" i="16"/>
  <c r="AG8" i="16"/>
  <c r="AF8" i="16"/>
  <c r="AE8" i="16"/>
  <c r="U8" i="16"/>
  <c r="S8" i="16"/>
  <c r="AA8" i="16" s="1"/>
  <c r="R8" i="16"/>
  <c r="Q8" i="16"/>
  <c r="Y8" i="16" s="1"/>
  <c r="P8" i="16"/>
  <c r="X8" i="16" s="1"/>
  <c r="O8" i="16"/>
  <c r="W8" i="16" s="1"/>
  <c r="AI7" i="16"/>
  <c r="AH7" i="16"/>
  <c r="AG7" i="16"/>
  <c r="AF7" i="16"/>
  <c r="AE7" i="16"/>
  <c r="U7" i="16"/>
  <c r="S7" i="16"/>
  <c r="R7" i="16"/>
  <c r="Q7" i="16"/>
  <c r="P7" i="16"/>
  <c r="O7" i="16"/>
  <c r="AI54" i="15"/>
  <c r="AH54" i="15"/>
  <c r="AG54" i="15"/>
  <c r="AF54" i="15"/>
  <c r="AE54" i="15"/>
  <c r="U54" i="15"/>
  <c r="S54" i="15"/>
  <c r="R54" i="15"/>
  <c r="Z54" i="15" s="1"/>
  <c r="Q54" i="15"/>
  <c r="P54" i="15"/>
  <c r="X54" i="15" s="1"/>
  <c r="O54" i="15"/>
  <c r="W54" i="15" s="1"/>
  <c r="AI53" i="15"/>
  <c r="AH53" i="15"/>
  <c r="AG53" i="15"/>
  <c r="AF53" i="15"/>
  <c r="AE53" i="15"/>
  <c r="U53" i="15"/>
  <c r="S53" i="15"/>
  <c r="AA53" i="15" s="1"/>
  <c r="R53" i="15"/>
  <c r="Q53" i="15"/>
  <c r="Y53" i="15" s="1"/>
  <c r="P53" i="15"/>
  <c r="X53" i="15" s="1"/>
  <c r="O53" i="15"/>
  <c r="W53" i="15" s="1"/>
  <c r="AI52" i="15"/>
  <c r="AH52" i="15"/>
  <c r="AG52" i="15"/>
  <c r="AF52" i="15"/>
  <c r="AE52" i="15"/>
  <c r="U52" i="15"/>
  <c r="S52" i="15"/>
  <c r="AA52" i="15" s="1"/>
  <c r="R52" i="15"/>
  <c r="Q52" i="15"/>
  <c r="P52" i="15"/>
  <c r="O52" i="15"/>
  <c r="AI51" i="15"/>
  <c r="AH51" i="15"/>
  <c r="AG51" i="15"/>
  <c r="AF51" i="15"/>
  <c r="AE51" i="15"/>
  <c r="U51" i="15"/>
  <c r="S51" i="15"/>
  <c r="AA51" i="15" s="1"/>
  <c r="R51" i="15"/>
  <c r="Z51" i="15" s="1"/>
  <c r="Q51" i="15"/>
  <c r="Y51" i="15" s="1"/>
  <c r="P51" i="15"/>
  <c r="X51" i="15" s="1"/>
  <c r="O51" i="15"/>
  <c r="W51" i="15" s="1"/>
  <c r="AI50" i="15"/>
  <c r="AH50" i="15"/>
  <c r="AG50" i="15"/>
  <c r="AF50" i="15"/>
  <c r="AE50" i="15"/>
  <c r="U50" i="15"/>
  <c r="S50" i="15"/>
  <c r="R50" i="15"/>
  <c r="Q50" i="15"/>
  <c r="Y50" i="15" s="1"/>
  <c r="P50" i="15"/>
  <c r="X50" i="15" s="1"/>
  <c r="O50" i="15"/>
  <c r="AI49" i="15"/>
  <c r="AH49" i="15"/>
  <c r="AG49" i="15"/>
  <c r="AF49" i="15"/>
  <c r="AE49" i="15"/>
  <c r="U49" i="15"/>
  <c r="S49" i="15"/>
  <c r="R49" i="15"/>
  <c r="Q49" i="15"/>
  <c r="P49" i="15"/>
  <c r="O49" i="15"/>
  <c r="AI48" i="15"/>
  <c r="AH48" i="15"/>
  <c r="AG48" i="15"/>
  <c r="AF48" i="15"/>
  <c r="AE48" i="15"/>
  <c r="U48" i="15"/>
  <c r="S48" i="15"/>
  <c r="R48" i="15"/>
  <c r="Q48" i="15"/>
  <c r="Y48" i="15" s="1"/>
  <c r="P48" i="15"/>
  <c r="X48" i="15" s="1"/>
  <c r="O48" i="15"/>
  <c r="W48" i="15" s="1"/>
  <c r="AI47" i="15"/>
  <c r="AH47" i="15"/>
  <c r="AG47" i="15"/>
  <c r="AF47" i="15"/>
  <c r="AE47" i="15"/>
  <c r="U47" i="15"/>
  <c r="S47" i="15"/>
  <c r="AA47" i="15" s="1"/>
  <c r="R47" i="15"/>
  <c r="Z47" i="15" s="1"/>
  <c r="Q47" i="15"/>
  <c r="Y47" i="15" s="1"/>
  <c r="P47" i="15"/>
  <c r="X47" i="15" s="1"/>
  <c r="O47" i="15"/>
  <c r="W47" i="15" s="1"/>
  <c r="AI46" i="15"/>
  <c r="AH46" i="15"/>
  <c r="AG46" i="15"/>
  <c r="AF46" i="15"/>
  <c r="AE46" i="15"/>
  <c r="U46" i="15"/>
  <c r="S46" i="15"/>
  <c r="R46" i="15"/>
  <c r="Q46" i="15"/>
  <c r="P46" i="15"/>
  <c r="O46" i="15"/>
  <c r="AI45" i="15"/>
  <c r="AH45" i="15"/>
  <c r="AG45" i="15"/>
  <c r="AF45" i="15"/>
  <c r="AE45" i="15"/>
  <c r="U45" i="15"/>
  <c r="S45" i="15"/>
  <c r="R45" i="15"/>
  <c r="Q45" i="15"/>
  <c r="Y45" i="15" s="1"/>
  <c r="P45" i="15"/>
  <c r="X45" i="15" s="1"/>
  <c r="O45" i="15"/>
  <c r="AI44" i="15"/>
  <c r="AH44" i="15"/>
  <c r="AG44" i="15"/>
  <c r="AF44" i="15"/>
  <c r="AE44" i="15"/>
  <c r="U44" i="15"/>
  <c r="S44" i="15"/>
  <c r="AA44" i="15" s="1"/>
  <c r="R44" i="15"/>
  <c r="Z44" i="15" s="1"/>
  <c r="Q44" i="15"/>
  <c r="Y44" i="15" s="1"/>
  <c r="P44" i="15"/>
  <c r="X44" i="15" s="1"/>
  <c r="O44" i="15"/>
  <c r="W44" i="15" s="1"/>
  <c r="AI43" i="15"/>
  <c r="AH43" i="15"/>
  <c r="AG43" i="15"/>
  <c r="AF43" i="15"/>
  <c r="AE43" i="15"/>
  <c r="U43" i="15"/>
  <c r="S43" i="15"/>
  <c r="AA43" i="15" s="1"/>
  <c r="R43" i="15"/>
  <c r="Z43" i="15" s="1"/>
  <c r="Q43" i="15"/>
  <c r="Y43" i="15" s="1"/>
  <c r="P43" i="15"/>
  <c r="X43" i="15" s="1"/>
  <c r="O43" i="15"/>
  <c r="W43" i="15" s="1"/>
  <c r="AI34" i="15"/>
  <c r="AH34" i="15"/>
  <c r="AG34" i="15"/>
  <c r="AF34" i="15"/>
  <c r="AE34" i="15"/>
  <c r="U34" i="15"/>
  <c r="S34" i="15"/>
  <c r="AA34" i="15" s="1"/>
  <c r="R34" i="15"/>
  <c r="Z34" i="15" s="1"/>
  <c r="Q34" i="15"/>
  <c r="Y34" i="15" s="1"/>
  <c r="P34" i="15"/>
  <c r="X34" i="15" s="1"/>
  <c r="O34" i="15"/>
  <c r="AI33" i="15"/>
  <c r="AH33" i="15"/>
  <c r="AG33" i="15"/>
  <c r="AF33" i="15"/>
  <c r="AE33" i="15"/>
  <c r="U33" i="15"/>
  <c r="S33" i="15"/>
  <c r="R33" i="15"/>
  <c r="Q33" i="15"/>
  <c r="Y33" i="15" s="1"/>
  <c r="P33" i="15"/>
  <c r="X33" i="15" s="1"/>
  <c r="O33" i="15"/>
  <c r="AI32" i="15"/>
  <c r="AH32" i="15"/>
  <c r="AG32" i="15"/>
  <c r="AF32" i="15"/>
  <c r="AE32" i="15"/>
  <c r="U32" i="15"/>
  <c r="S32" i="15"/>
  <c r="AA32" i="15" s="1"/>
  <c r="R32" i="15"/>
  <c r="Z32" i="15" s="1"/>
  <c r="Q32" i="15"/>
  <c r="Y32" i="15" s="1"/>
  <c r="P32" i="15"/>
  <c r="X32" i="15" s="1"/>
  <c r="O32" i="15"/>
  <c r="W32" i="15" s="1"/>
  <c r="AI31" i="15"/>
  <c r="AH31" i="15"/>
  <c r="AG31" i="15"/>
  <c r="AF31" i="15"/>
  <c r="AE31" i="15"/>
  <c r="U31" i="15"/>
  <c r="S31" i="15"/>
  <c r="AA31" i="15" s="1"/>
  <c r="R31" i="15"/>
  <c r="Z31" i="15" s="1"/>
  <c r="Q31" i="15"/>
  <c r="Y31" i="15" s="1"/>
  <c r="P31" i="15"/>
  <c r="O31" i="15"/>
  <c r="AI30" i="15"/>
  <c r="AH30" i="15"/>
  <c r="AG30" i="15"/>
  <c r="AF30" i="15"/>
  <c r="AE30" i="15"/>
  <c r="U30" i="15"/>
  <c r="S30" i="15"/>
  <c r="R30" i="15"/>
  <c r="Z30" i="15" s="1"/>
  <c r="Q30" i="15"/>
  <c r="P30" i="15"/>
  <c r="O30" i="15"/>
  <c r="W30" i="15" s="1"/>
  <c r="AI29" i="15"/>
  <c r="AH29" i="15"/>
  <c r="AG29" i="15"/>
  <c r="AF29" i="15"/>
  <c r="AE29" i="15"/>
  <c r="U29" i="15"/>
  <c r="S29" i="15"/>
  <c r="R29" i="15"/>
  <c r="Q29" i="15"/>
  <c r="Y29" i="15" s="1"/>
  <c r="P29" i="15"/>
  <c r="X29" i="15" s="1"/>
  <c r="O29" i="15"/>
  <c r="AI28" i="15"/>
  <c r="AH28" i="15"/>
  <c r="AG28" i="15"/>
  <c r="AF28" i="15"/>
  <c r="AE28" i="15"/>
  <c r="U28" i="15"/>
  <c r="S28" i="15"/>
  <c r="AA28" i="15" s="1"/>
  <c r="R28" i="15"/>
  <c r="Z28" i="15" s="1"/>
  <c r="Q28" i="15"/>
  <c r="P28" i="15"/>
  <c r="O28" i="15"/>
  <c r="AI27" i="15"/>
  <c r="AH27" i="15"/>
  <c r="AG27" i="15"/>
  <c r="AF27" i="15"/>
  <c r="AE27" i="15"/>
  <c r="U27" i="15"/>
  <c r="S27" i="15"/>
  <c r="AA27" i="15" s="1"/>
  <c r="R27" i="15"/>
  <c r="Z27" i="15" s="1"/>
  <c r="Q27" i="15"/>
  <c r="Y27" i="15" s="1"/>
  <c r="P27" i="15"/>
  <c r="X27" i="15" s="1"/>
  <c r="O27" i="15"/>
  <c r="W27" i="15" s="1"/>
  <c r="AI26" i="15"/>
  <c r="AH26" i="15"/>
  <c r="AG26" i="15"/>
  <c r="AF26" i="15"/>
  <c r="AE26" i="15"/>
  <c r="U26" i="15"/>
  <c r="S26" i="15"/>
  <c r="R26" i="15"/>
  <c r="Q26" i="15"/>
  <c r="Y26" i="15" s="1"/>
  <c r="P26" i="15"/>
  <c r="X26" i="15" s="1"/>
  <c r="O26" i="15"/>
  <c r="AI25" i="15"/>
  <c r="AH25" i="15"/>
  <c r="AG25" i="15"/>
  <c r="AF25" i="15"/>
  <c r="AE25" i="15"/>
  <c r="U25" i="15"/>
  <c r="S25" i="15"/>
  <c r="AA25" i="15" s="1"/>
  <c r="R25" i="15"/>
  <c r="Q25" i="15"/>
  <c r="P25" i="15"/>
  <c r="O25" i="15"/>
  <c r="AI24" i="15"/>
  <c r="AH24" i="15"/>
  <c r="AG24" i="15"/>
  <c r="AF24" i="15"/>
  <c r="AE24" i="15"/>
  <c r="U24" i="15"/>
  <c r="S24" i="15"/>
  <c r="R24" i="15"/>
  <c r="Q24" i="15"/>
  <c r="Y24" i="15" s="1"/>
  <c r="P24" i="15"/>
  <c r="X24" i="15" s="1"/>
  <c r="O24" i="15"/>
  <c r="W24" i="15" s="1"/>
  <c r="AI23" i="15"/>
  <c r="AH23" i="15"/>
  <c r="AG23" i="15"/>
  <c r="AF23" i="15"/>
  <c r="AE23" i="15"/>
  <c r="U23" i="15"/>
  <c r="S23" i="15"/>
  <c r="AA23" i="15" s="1"/>
  <c r="R23" i="15"/>
  <c r="Z23" i="15" s="1"/>
  <c r="Q23" i="15"/>
  <c r="Y23" i="15" s="1"/>
  <c r="P23" i="15"/>
  <c r="X23" i="15" s="1"/>
  <c r="O23" i="15"/>
  <c r="W23" i="15" s="1"/>
  <c r="AI18" i="15"/>
  <c r="AH18" i="15"/>
  <c r="AG18" i="15"/>
  <c r="AF18" i="15"/>
  <c r="AE18" i="15"/>
  <c r="U18" i="15"/>
  <c r="S18" i="15"/>
  <c r="R18" i="15"/>
  <c r="Q18" i="15"/>
  <c r="Y18" i="15" s="1"/>
  <c r="P18" i="15"/>
  <c r="O18" i="15"/>
  <c r="AI17" i="15"/>
  <c r="AH17" i="15"/>
  <c r="AG17" i="15"/>
  <c r="AF17" i="15"/>
  <c r="AE17" i="15"/>
  <c r="U17" i="15"/>
  <c r="S17" i="15"/>
  <c r="AA17" i="15" s="1"/>
  <c r="R17" i="15"/>
  <c r="Z17" i="15" s="1"/>
  <c r="Q17" i="15"/>
  <c r="Y17" i="15" s="1"/>
  <c r="P17" i="15"/>
  <c r="X17" i="15" s="1"/>
  <c r="O17" i="15"/>
  <c r="W17" i="15" s="1"/>
  <c r="AI16" i="15"/>
  <c r="AH16" i="15"/>
  <c r="AG16" i="15"/>
  <c r="AF16" i="15"/>
  <c r="AE16" i="15"/>
  <c r="U16" i="15"/>
  <c r="S16" i="15"/>
  <c r="AA16" i="15" s="1"/>
  <c r="R16" i="15"/>
  <c r="Q16" i="15"/>
  <c r="Y16" i="15" s="1"/>
  <c r="P16" i="15"/>
  <c r="X16" i="15" s="1"/>
  <c r="O16" i="15"/>
  <c r="W16" i="15" s="1"/>
  <c r="AI15" i="15"/>
  <c r="AH15" i="15"/>
  <c r="AG15" i="15"/>
  <c r="AF15" i="15"/>
  <c r="AE15" i="15"/>
  <c r="U15" i="15"/>
  <c r="S15" i="15"/>
  <c r="AA15" i="15" s="1"/>
  <c r="R15" i="15"/>
  <c r="Z15" i="15" s="1"/>
  <c r="Q15" i="15"/>
  <c r="Y15" i="15" s="1"/>
  <c r="P15" i="15"/>
  <c r="O15" i="15"/>
  <c r="W15" i="15" s="1"/>
  <c r="AI10" i="15"/>
  <c r="AH10" i="15"/>
  <c r="AG10" i="15"/>
  <c r="AF10" i="15"/>
  <c r="AE10" i="15"/>
  <c r="U10" i="15"/>
  <c r="S10" i="15"/>
  <c r="AA10" i="15" s="1"/>
  <c r="R10" i="15"/>
  <c r="Z10" i="15" s="1"/>
  <c r="Q10" i="15"/>
  <c r="Y10" i="15" s="1"/>
  <c r="P10" i="15"/>
  <c r="X10" i="15" s="1"/>
  <c r="O10" i="15"/>
  <c r="AI9" i="15"/>
  <c r="AH9" i="15"/>
  <c r="AG9" i="15"/>
  <c r="AF9" i="15"/>
  <c r="AE9" i="15"/>
  <c r="U9" i="15"/>
  <c r="S9" i="15"/>
  <c r="AA9" i="15" s="1"/>
  <c r="R9" i="15"/>
  <c r="Q9" i="15"/>
  <c r="P9" i="15"/>
  <c r="X9" i="15" s="1"/>
  <c r="O9" i="15"/>
  <c r="W9" i="15" s="1"/>
  <c r="AI8" i="15"/>
  <c r="AH8" i="15"/>
  <c r="AG8" i="15"/>
  <c r="AF8" i="15"/>
  <c r="AE8" i="15"/>
  <c r="U8" i="15"/>
  <c r="S8" i="15"/>
  <c r="R8" i="15"/>
  <c r="Q8" i="15"/>
  <c r="P8" i="15"/>
  <c r="O8" i="15"/>
  <c r="W8" i="15" s="1"/>
  <c r="AI7" i="15"/>
  <c r="AH7" i="15"/>
  <c r="AG7" i="15"/>
  <c r="AF7" i="15"/>
  <c r="AE7" i="15"/>
  <c r="U7" i="15"/>
  <c r="S7" i="15"/>
  <c r="AA7" i="15" s="1"/>
  <c r="R7" i="15"/>
  <c r="Z7" i="15" s="1"/>
  <c r="Q7" i="15"/>
  <c r="Y7" i="15" s="1"/>
  <c r="P7" i="15"/>
  <c r="O7" i="15"/>
  <c r="AA30" i="16" l="1"/>
  <c r="W29" i="16"/>
  <c r="X29" i="16"/>
  <c r="W18" i="16"/>
  <c r="Z29" i="16"/>
  <c r="W46" i="16"/>
  <c r="X18" i="16"/>
  <c r="W25" i="16"/>
  <c r="AA29" i="16"/>
  <c r="X46" i="16"/>
  <c r="W49" i="16"/>
  <c r="Y18" i="16"/>
  <c r="X25" i="16"/>
  <c r="AT29" i="16" s="1"/>
  <c r="Y46" i="16"/>
  <c r="X49" i="16"/>
  <c r="AB49" i="16" s="1"/>
  <c r="Z18" i="16"/>
  <c r="AV6" i="16" s="1"/>
  <c r="Y25" i="16"/>
  <c r="X28" i="16"/>
  <c r="W31" i="16"/>
  <c r="BF34" i="16" s="1"/>
  <c r="BG34" i="16" s="1"/>
  <c r="Z46" i="16"/>
  <c r="Y49" i="16"/>
  <c r="X7" i="16"/>
  <c r="W10" i="16"/>
  <c r="AA18" i="16"/>
  <c r="Z25" i="16"/>
  <c r="Y28" i="16"/>
  <c r="X31" i="16"/>
  <c r="W34" i="16"/>
  <c r="AA46" i="16"/>
  <c r="Z49" i="16"/>
  <c r="X52" i="16"/>
  <c r="AB52" i="16" s="1"/>
  <c r="Z24" i="15"/>
  <c r="X30" i="15"/>
  <c r="Z48" i="15"/>
  <c r="AA24" i="15"/>
  <c r="Y30" i="15"/>
  <c r="BR33" i="15" s="1"/>
  <c r="BS33" i="15" s="1"/>
  <c r="AA48" i="15"/>
  <c r="AA30" i="15"/>
  <c r="W50" i="15"/>
  <c r="AA54" i="15"/>
  <c r="Z26" i="15"/>
  <c r="Z50" i="15"/>
  <c r="X8" i="15"/>
  <c r="AB8" i="15" s="1"/>
  <c r="Y8" i="15"/>
  <c r="AU4" i="15" s="1"/>
  <c r="W18" i="15"/>
  <c r="W46" i="15"/>
  <c r="AA50" i="15"/>
  <c r="AB50" i="15" s="1"/>
  <c r="X46" i="15"/>
  <c r="X18" i="15"/>
  <c r="W25" i="15"/>
  <c r="AA8" i="15"/>
  <c r="X25" i="15"/>
  <c r="W28" i="15"/>
  <c r="Y46" i="15"/>
  <c r="X49" i="15"/>
  <c r="W52" i="15"/>
  <c r="Y25" i="15"/>
  <c r="X28" i="15"/>
  <c r="W31" i="15"/>
  <c r="BF34" i="15" s="1"/>
  <c r="BG34" i="15" s="1"/>
  <c r="Z46" i="15"/>
  <c r="AB46" i="15" s="1"/>
  <c r="Y49" i="15"/>
  <c r="X52" i="15"/>
  <c r="W7" i="15"/>
  <c r="BF28" i="15" s="1"/>
  <c r="BG28" i="15" s="1"/>
  <c r="Z18" i="15"/>
  <c r="X7" i="15"/>
  <c r="W10" i="15"/>
  <c r="AA18" i="15"/>
  <c r="Z25" i="15"/>
  <c r="Y28" i="15"/>
  <c r="X31" i="15"/>
  <c r="W34" i="15"/>
  <c r="AA46" i="15"/>
  <c r="Y52" i="15"/>
  <c r="AO3" i="16"/>
  <c r="AB23" i="15"/>
  <c r="AB27" i="15"/>
  <c r="AM3" i="15"/>
  <c r="AM6" i="16"/>
  <c r="BG5" i="16"/>
  <c r="BH6" i="16"/>
  <c r="BC34" i="16"/>
  <c r="BN34" i="16"/>
  <c r="BO34" i="16" s="1"/>
  <c r="Z52" i="15"/>
  <c r="BC5" i="16"/>
  <c r="BR33" i="16"/>
  <c r="BS33" i="16" s="1"/>
  <c r="Y48" i="16"/>
  <c r="AB47" i="15"/>
  <c r="Z49" i="15"/>
  <c r="AP5" i="15"/>
  <c r="AL5" i="15"/>
  <c r="BC33" i="15"/>
  <c r="BG4" i="16"/>
  <c r="AM5" i="16"/>
  <c r="BC32" i="16"/>
  <c r="AB46" i="16"/>
  <c r="AP4" i="16"/>
  <c r="Z45" i="15"/>
  <c r="BF4" i="15"/>
  <c r="AO4" i="15"/>
  <c r="AN3" i="15"/>
  <c r="BG6" i="15"/>
  <c r="AM6" i="15"/>
  <c r="BG5" i="15"/>
  <c r="AY3" i="15"/>
  <c r="BI3" i="15"/>
  <c r="BH6" i="15"/>
  <c r="AZ5" i="15"/>
  <c r="Z29" i="15"/>
  <c r="AB34" i="16"/>
  <c r="Z32" i="16"/>
  <c r="BJ34" i="16" s="1"/>
  <c r="BK34" i="16" s="1"/>
  <c r="AB30" i="16"/>
  <c r="AZ4" i="16"/>
  <c r="BF6" i="16"/>
  <c r="AZ3" i="16"/>
  <c r="BC30" i="16"/>
  <c r="AO4" i="16"/>
  <c r="AP3" i="16"/>
  <c r="BF5" i="16"/>
  <c r="BA6" i="16"/>
  <c r="AN5" i="16"/>
  <c r="BC29" i="16"/>
  <c r="AN5" i="15"/>
  <c r="BH4" i="15"/>
  <c r="AO5" i="15"/>
  <c r="BE4" i="15"/>
  <c r="BI4" i="15"/>
  <c r="Y17" i="16"/>
  <c r="AB17" i="16" s="1"/>
  <c r="BG3" i="16"/>
  <c r="BH4" i="16"/>
  <c r="BH3" i="16"/>
  <c r="AL3" i="15"/>
  <c r="AN6" i="15"/>
  <c r="BG3" i="15"/>
  <c r="BH5" i="15"/>
  <c r="AO6" i="15"/>
  <c r="BB3" i="15"/>
  <c r="AP3" i="15"/>
  <c r="AM4" i="15"/>
  <c r="BE5" i="15"/>
  <c r="BI5" i="15"/>
  <c r="BF6" i="15"/>
  <c r="AL6" i="15"/>
  <c r="AP6" i="15"/>
  <c r="AY6" i="15"/>
  <c r="BC6" i="15"/>
  <c r="Z16" i="15"/>
  <c r="AW34" i="15"/>
  <c r="BA4" i="15"/>
  <c r="X15" i="15"/>
  <c r="BF3" i="15"/>
  <c r="AS34" i="15"/>
  <c r="AM5" i="15"/>
  <c r="AL3" i="16"/>
  <c r="AN4" i="16"/>
  <c r="AN6" i="16"/>
  <c r="AY4" i="16"/>
  <c r="BC4" i="16"/>
  <c r="BF4" i="16"/>
  <c r="BB5" i="16"/>
  <c r="BE6" i="16"/>
  <c r="BI6" i="16"/>
  <c r="AA15" i="16"/>
  <c r="Z16" i="16"/>
  <c r="AY3" i="16"/>
  <c r="BI3" i="16"/>
  <c r="BE5" i="16"/>
  <c r="BI5" i="16"/>
  <c r="BA4" i="16"/>
  <c r="BB3" i="16"/>
  <c r="BE4" i="16"/>
  <c r="AY6" i="16"/>
  <c r="Z8" i="16"/>
  <c r="AB8" i="16" s="1"/>
  <c r="BI4" i="16"/>
  <c r="AY5" i="16"/>
  <c r="BB6" i="16"/>
  <c r="BA3" i="16"/>
  <c r="AZ5" i="16"/>
  <c r="BC6" i="16"/>
  <c r="BN28" i="16"/>
  <c r="BO28" i="16" s="1"/>
  <c r="AA7" i="16"/>
  <c r="W7" i="16"/>
  <c r="AV35" i="16"/>
  <c r="AV13" i="16"/>
  <c r="AV5" i="16"/>
  <c r="AV29" i="16"/>
  <c r="BJ27" i="16"/>
  <c r="AV30" i="16"/>
  <c r="AT12" i="16"/>
  <c r="AT34" i="16"/>
  <c r="AT28" i="16"/>
  <c r="AT4" i="16"/>
  <c r="AT33" i="16"/>
  <c r="AT3" i="16"/>
  <c r="AT27" i="16"/>
  <c r="AT11" i="16"/>
  <c r="Y7" i="16"/>
  <c r="Z7" i="16"/>
  <c r="BF3" i="16"/>
  <c r="BN27" i="16"/>
  <c r="AS13" i="16"/>
  <c r="AS29" i="16"/>
  <c r="AS5" i="16"/>
  <c r="AS35" i="16"/>
  <c r="AB9" i="16"/>
  <c r="AW13" i="16"/>
  <c r="AW29" i="16"/>
  <c r="AW35" i="16"/>
  <c r="AW5" i="16"/>
  <c r="AU36" i="16"/>
  <c r="AU14" i="16"/>
  <c r="AU30" i="16"/>
  <c r="AU6" i="16"/>
  <c r="AS30" i="16"/>
  <c r="AS36" i="16"/>
  <c r="BR27" i="16"/>
  <c r="AS14" i="16"/>
  <c r="AS6" i="16"/>
  <c r="Z15" i="16"/>
  <c r="BR29" i="16"/>
  <c r="BS29" i="16" s="1"/>
  <c r="AB26" i="16"/>
  <c r="BN33" i="16"/>
  <c r="BO33" i="16" s="1"/>
  <c r="BR31" i="16"/>
  <c r="BS31" i="16" s="1"/>
  <c r="BR32" i="16"/>
  <c r="BS32" i="16" s="1"/>
  <c r="AM3" i="16"/>
  <c r="AL4" i="16"/>
  <c r="AO5" i="16"/>
  <c r="AU5" i="16"/>
  <c r="AT30" i="16"/>
  <c r="AT36" i="16"/>
  <c r="AT14" i="16"/>
  <c r="AZ29" i="16"/>
  <c r="BF29" i="16"/>
  <c r="BG29" i="16" s="1"/>
  <c r="AB23" i="16"/>
  <c r="BJ29" i="16"/>
  <c r="BK29" i="16" s="1"/>
  <c r="AB24" i="16"/>
  <c r="BF31" i="16"/>
  <c r="BG31" i="16" s="1"/>
  <c r="AB31" i="16"/>
  <c r="BF33" i="16"/>
  <c r="BG33" i="16" s="1"/>
  <c r="AB47" i="16"/>
  <c r="AN3" i="16"/>
  <c r="BC3" i="16"/>
  <c r="AM4" i="16"/>
  <c r="BB4" i="16"/>
  <c r="AL5" i="16"/>
  <c r="AP5" i="16"/>
  <c r="BA5" i="16"/>
  <c r="AO6" i="16"/>
  <c r="AZ6" i="16"/>
  <c r="AA16" i="16"/>
  <c r="BR28" i="16"/>
  <c r="BS28" i="16" s="1"/>
  <c r="W28" i="16"/>
  <c r="AA28" i="16"/>
  <c r="AB29" i="16"/>
  <c r="Y32" i="16"/>
  <c r="AU4" i="16" s="1"/>
  <c r="W44" i="16"/>
  <c r="AA44" i="16"/>
  <c r="AB45" i="16"/>
  <c r="BN32" i="16"/>
  <c r="BO32" i="16" s="1"/>
  <c r="Z48" i="16"/>
  <c r="BR34" i="16"/>
  <c r="BS34" i="16" s="1"/>
  <c r="AB54" i="16"/>
  <c r="BH5" i="16"/>
  <c r="AW30" i="16"/>
  <c r="AW36" i="16"/>
  <c r="AW14" i="16"/>
  <c r="AW6" i="16"/>
  <c r="BG6" i="16"/>
  <c r="BN29" i="16"/>
  <c r="BO29" i="16" s="1"/>
  <c r="AB25" i="16"/>
  <c r="AB33" i="16"/>
  <c r="BN31" i="16"/>
  <c r="BO31" i="16" s="1"/>
  <c r="AB10" i="16"/>
  <c r="AT6" i="16"/>
  <c r="BC27" i="16"/>
  <c r="BE3" i="16"/>
  <c r="AL6" i="16"/>
  <c r="AP6" i="16"/>
  <c r="BC28" i="16"/>
  <c r="AB27" i="16"/>
  <c r="BC31" i="16"/>
  <c r="BF32" i="16"/>
  <c r="BG32" i="16" s="1"/>
  <c r="AB43" i="16"/>
  <c r="BC33" i="16"/>
  <c r="AB50" i="16"/>
  <c r="AZ34" i="16"/>
  <c r="AB51" i="16"/>
  <c r="AB53" i="16"/>
  <c r="AB25" i="15"/>
  <c r="BR31" i="15"/>
  <c r="AB43" i="15"/>
  <c r="AU30" i="15"/>
  <c r="Z8" i="15"/>
  <c r="Y9" i="15"/>
  <c r="AU13" i="15" s="1"/>
  <c r="BC29" i="15"/>
  <c r="Z33" i="15"/>
  <c r="AZ34" i="15" s="1"/>
  <c r="Z53" i="15"/>
  <c r="AB17" i="15"/>
  <c r="Y54" i="15"/>
  <c r="BC3" i="15"/>
  <c r="BB4" i="15"/>
  <c r="AZ6" i="15"/>
  <c r="AB30" i="15"/>
  <c r="BR30" i="15"/>
  <c r="BS30" i="15" s="1"/>
  <c r="BA5" i="15"/>
  <c r="AB34" i="15"/>
  <c r="AT34" i="15"/>
  <c r="AT28" i="15"/>
  <c r="BR27" i="15"/>
  <c r="AB10" i="15"/>
  <c r="AT29" i="15"/>
  <c r="AT35" i="15"/>
  <c r="AT13" i="15"/>
  <c r="AT5" i="15"/>
  <c r="AU33" i="15"/>
  <c r="AU11" i="15"/>
  <c r="AU27" i="15"/>
  <c r="AU3" i="15"/>
  <c r="AV33" i="15"/>
  <c r="AV27" i="15"/>
  <c r="AV11" i="15"/>
  <c r="AV3" i="15"/>
  <c r="AV30" i="15"/>
  <c r="AV14" i="15"/>
  <c r="AV6" i="15"/>
  <c r="AV36" i="15"/>
  <c r="AW4" i="15"/>
  <c r="Z9" i="15"/>
  <c r="BF5" i="15"/>
  <c r="BE6" i="15"/>
  <c r="BJ29" i="15"/>
  <c r="BK29" i="15" s="1"/>
  <c r="AB24" i="15"/>
  <c r="AW28" i="15"/>
  <c r="BC27" i="15"/>
  <c r="AO3" i="15"/>
  <c r="AZ3" i="15"/>
  <c r="BE3" i="15"/>
  <c r="AN4" i="15"/>
  <c r="AY4" i="15"/>
  <c r="BC4" i="15"/>
  <c r="BB5" i="15"/>
  <c r="BA6" i="15"/>
  <c r="BC28" i="15"/>
  <c r="BR28" i="15"/>
  <c r="BS28" i="15" s="1"/>
  <c r="AB18" i="15"/>
  <c r="BF29" i="15"/>
  <c r="BG29" i="15" s="1"/>
  <c r="AS12" i="15"/>
  <c r="W26" i="15"/>
  <c r="AS36" i="15" s="1"/>
  <c r="AA26" i="15"/>
  <c r="AW14" i="15" s="1"/>
  <c r="BC34" i="15"/>
  <c r="AS4" i="15"/>
  <c r="BG4" i="15"/>
  <c r="AU36" i="15"/>
  <c r="AU14" i="15"/>
  <c r="BS31" i="15"/>
  <c r="BA3" i="15"/>
  <c r="AZ4" i="15"/>
  <c r="AY5" i="15"/>
  <c r="BC5" i="15"/>
  <c r="BB6" i="15"/>
  <c r="BN29" i="15"/>
  <c r="BO29" i="15" s="1"/>
  <c r="AB28" i="15"/>
  <c r="W29" i="15"/>
  <c r="AA29" i="15"/>
  <c r="AB32" i="15"/>
  <c r="W33" i="15"/>
  <c r="AA33" i="15"/>
  <c r="AB44" i="15"/>
  <c r="W45" i="15"/>
  <c r="AA45" i="15"/>
  <c r="AB48" i="15"/>
  <c r="BJ33" i="15"/>
  <c r="BK33" i="15" s="1"/>
  <c r="AS28" i="15"/>
  <c r="W49" i="15"/>
  <c r="AA49" i="15"/>
  <c r="BR34" i="15"/>
  <c r="BS34" i="15" s="1"/>
  <c r="AB54" i="15"/>
  <c r="BH3" i="15"/>
  <c r="AU6" i="15"/>
  <c r="BI6" i="15"/>
  <c r="BF27" i="15"/>
  <c r="AW33" i="15"/>
  <c r="AW27" i="15"/>
  <c r="AW11" i="15"/>
  <c r="AW3" i="15"/>
  <c r="AL4" i="15"/>
  <c r="AP4" i="15"/>
  <c r="AT30" i="15"/>
  <c r="AT36" i="15"/>
  <c r="AT14" i="15"/>
  <c r="AT6" i="15"/>
  <c r="AW12" i="15"/>
  <c r="BC30" i="15"/>
  <c r="BF31" i="15"/>
  <c r="BG31" i="15" s="1"/>
  <c r="BC31" i="15"/>
  <c r="BF32" i="15"/>
  <c r="BG32" i="15" s="1"/>
  <c r="BC32" i="15"/>
  <c r="BF33" i="15"/>
  <c r="BG33" i="15" s="1"/>
  <c r="BJ30" i="15"/>
  <c r="BK30" i="15" s="1"/>
  <c r="AB51" i="15"/>
  <c r="BJ31" i="15"/>
  <c r="BK31" i="15" s="1"/>
  <c r="BJ34" i="15"/>
  <c r="BK34" i="15" s="1"/>
  <c r="AB52" i="15"/>
  <c r="BJ32" i="15"/>
  <c r="BK32" i="15" s="1"/>
  <c r="AB53" i="15"/>
  <c r="AI54" i="14"/>
  <c r="AH54" i="14"/>
  <c r="AG54" i="14"/>
  <c r="AF54" i="14"/>
  <c r="AE54" i="14"/>
  <c r="U54" i="14"/>
  <c r="S54" i="14"/>
  <c r="AA54" i="14" s="1"/>
  <c r="R54" i="14"/>
  <c r="Z54" i="14" s="1"/>
  <c r="Q54" i="14"/>
  <c r="P54" i="14"/>
  <c r="X54" i="14" s="1"/>
  <c r="O54" i="14"/>
  <c r="W54" i="14" s="1"/>
  <c r="AI53" i="14"/>
  <c r="AH53" i="14"/>
  <c r="AG53" i="14"/>
  <c r="AF53" i="14"/>
  <c r="AE53" i="14"/>
  <c r="U53" i="14"/>
  <c r="S53" i="14"/>
  <c r="R53" i="14"/>
  <c r="Q53" i="14"/>
  <c r="Y53" i="14" s="1"/>
  <c r="P53" i="14"/>
  <c r="X53" i="14" s="1"/>
  <c r="O53" i="14"/>
  <c r="W53" i="14" s="1"/>
  <c r="AI52" i="14"/>
  <c r="AH52" i="14"/>
  <c r="AG52" i="14"/>
  <c r="AF52" i="14"/>
  <c r="AE52" i="14"/>
  <c r="U52" i="14"/>
  <c r="S52" i="14"/>
  <c r="AA52" i="14" s="1"/>
  <c r="R52" i="14"/>
  <c r="Q52" i="14"/>
  <c r="P52" i="14"/>
  <c r="O52" i="14"/>
  <c r="AI51" i="14"/>
  <c r="AH51" i="14"/>
  <c r="AG51" i="14"/>
  <c r="AF51" i="14"/>
  <c r="AE51" i="14"/>
  <c r="U51" i="14"/>
  <c r="S51" i="14"/>
  <c r="AA51" i="14" s="1"/>
  <c r="R51" i="14"/>
  <c r="Q51" i="14"/>
  <c r="Y51" i="14" s="1"/>
  <c r="P51" i="14"/>
  <c r="X51" i="14" s="1"/>
  <c r="O51" i="14"/>
  <c r="W51" i="14" s="1"/>
  <c r="AI50" i="14"/>
  <c r="AH50" i="14"/>
  <c r="AG50" i="14"/>
  <c r="AF50" i="14"/>
  <c r="AE50" i="14"/>
  <c r="U50" i="14"/>
  <c r="S50" i="14"/>
  <c r="AA50" i="14" s="1"/>
  <c r="R50" i="14"/>
  <c r="Z50" i="14" s="1"/>
  <c r="Q50" i="14"/>
  <c r="Y50" i="14" s="1"/>
  <c r="P50" i="14"/>
  <c r="O50" i="14"/>
  <c r="W50" i="14" s="1"/>
  <c r="AI49" i="14"/>
  <c r="AH49" i="14"/>
  <c r="AG49" i="14"/>
  <c r="AF49" i="14"/>
  <c r="AE49" i="14"/>
  <c r="U49" i="14"/>
  <c r="S49" i="14"/>
  <c r="AA49" i="14" s="1"/>
  <c r="R49" i="14"/>
  <c r="Q49" i="14"/>
  <c r="P49" i="14"/>
  <c r="O49" i="14"/>
  <c r="AI48" i="14"/>
  <c r="AH48" i="14"/>
  <c r="AG48" i="14"/>
  <c r="AF48" i="14"/>
  <c r="AE48" i="14"/>
  <c r="U48" i="14"/>
  <c r="S48" i="14"/>
  <c r="R48" i="14"/>
  <c r="Z48" i="14" s="1"/>
  <c r="Q48" i="14"/>
  <c r="P48" i="14"/>
  <c r="X48" i="14" s="1"/>
  <c r="O48" i="14"/>
  <c r="W48" i="14" s="1"/>
  <c r="AI47" i="14"/>
  <c r="AH47" i="14"/>
  <c r="AG47" i="14"/>
  <c r="AF47" i="14"/>
  <c r="AE47" i="14"/>
  <c r="U47" i="14"/>
  <c r="S47" i="14"/>
  <c r="R47" i="14"/>
  <c r="Z47" i="14" s="1"/>
  <c r="Q47" i="14"/>
  <c r="Y47" i="14" s="1"/>
  <c r="P47" i="14"/>
  <c r="X47" i="14" s="1"/>
  <c r="O47" i="14"/>
  <c r="W47" i="14" s="1"/>
  <c r="AI46" i="14"/>
  <c r="AH46" i="14"/>
  <c r="AG46" i="14"/>
  <c r="AF46" i="14"/>
  <c r="AE46" i="14"/>
  <c r="U46" i="14"/>
  <c r="S46" i="14"/>
  <c r="R46" i="14"/>
  <c r="Q46" i="14"/>
  <c r="P46" i="14"/>
  <c r="O46" i="14"/>
  <c r="AI45" i="14"/>
  <c r="AH45" i="14"/>
  <c r="AG45" i="14"/>
  <c r="AF45" i="14"/>
  <c r="AE45" i="14"/>
  <c r="U45" i="14"/>
  <c r="S45" i="14"/>
  <c r="AA45" i="14" s="1"/>
  <c r="R45" i="14"/>
  <c r="Z45" i="14" s="1"/>
  <c r="Q45" i="14"/>
  <c r="Y45" i="14" s="1"/>
  <c r="P45" i="14"/>
  <c r="X45" i="14" s="1"/>
  <c r="O45" i="14"/>
  <c r="W45" i="14" s="1"/>
  <c r="AI44" i="14"/>
  <c r="AH44" i="14"/>
  <c r="AG44" i="14"/>
  <c r="AF44" i="14"/>
  <c r="AE44" i="14"/>
  <c r="U44" i="14"/>
  <c r="S44" i="14"/>
  <c r="AA44" i="14" s="1"/>
  <c r="R44" i="14"/>
  <c r="Q44" i="14"/>
  <c r="P44" i="14"/>
  <c r="X44" i="14" s="1"/>
  <c r="O44" i="14"/>
  <c r="W44" i="14" s="1"/>
  <c r="AI43" i="14"/>
  <c r="AH43" i="14"/>
  <c r="AG43" i="14"/>
  <c r="AF43" i="14"/>
  <c r="AE43" i="14"/>
  <c r="U43" i="14"/>
  <c r="S43" i="14"/>
  <c r="R43" i="14"/>
  <c r="Z43" i="14" s="1"/>
  <c r="Q43" i="14"/>
  <c r="Y43" i="14" s="1"/>
  <c r="P43" i="14"/>
  <c r="X43" i="14" s="1"/>
  <c r="O43" i="14"/>
  <c r="W43" i="14" s="1"/>
  <c r="AI34" i="14"/>
  <c r="AH34" i="14"/>
  <c r="AG34" i="14"/>
  <c r="AF34" i="14"/>
  <c r="AE34" i="14"/>
  <c r="U34" i="14"/>
  <c r="S34" i="14"/>
  <c r="AA34" i="14" s="1"/>
  <c r="R34" i="14"/>
  <c r="Z34" i="14" s="1"/>
  <c r="Q34" i="14"/>
  <c r="Y34" i="14" s="1"/>
  <c r="P34" i="14"/>
  <c r="X34" i="14" s="1"/>
  <c r="O34" i="14"/>
  <c r="AI33" i="14"/>
  <c r="AH33" i="14"/>
  <c r="AG33" i="14"/>
  <c r="AF33" i="14"/>
  <c r="AE33" i="14"/>
  <c r="U33" i="14"/>
  <c r="S33" i="14"/>
  <c r="R33" i="14"/>
  <c r="Q33" i="14"/>
  <c r="P33" i="14"/>
  <c r="O33" i="14"/>
  <c r="AI32" i="14"/>
  <c r="AH32" i="14"/>
  <c r="AG32" i="14"/>
  <c r="AF32" i="14"/>
  <c r="AE32" i="14"/>
  <c r="U32" i="14"/>
  <c r="S32" i="14"/>
  <c r="AA32" i="14" s="1"/>
  <c r="R32" i="14"/>
  <c r="Q32" i="14"/>
  <c r="P32" i="14"/>
  <c r="X32" i="14" s="1"/>
  <c r="O32" i="14"/>
  <c r="W32" i="14" s="1"/>
  <c r="AI31" i="14"/>
  <c r="AH31" i="14"/>
  <c r="AG31" i="14"/>
  <c r="AF31" i="14"/>
  <c r="AE31" i="14"/>
  <c r="U31" i="14"/>
  <c r="S31" i="14"/>
  <c r="R31" i="14"/>
  <c r="Q31" i="14"/>
  <c r="Y31" i="14" s="1"/>
  <c r="P31" i="14"/>
  <c r="O31" i="14"/>
  <c r="AI30" i="14"/>
  <c r="AH30" i="14"/>
  <c r="AG30" i="14"/>
  <c r="AF30" i="14"/>
  <c r="AE30" i="14"/>
  <c r="U30" i="14"/>
  <c r="S30" i="14"/>
  <c r="AA30" i="14" s="1"/>
  <c r="R30" i="14"/>
  <c r="Z30" i="14" s="1"/>
  <c r="Q30" i="14"/>
  <c r="Y30" i="14" s="1"/>
  <c r="P30" i="14"/>
  <c r="X30" i="14" s="1"/>
  <c r="O30" i="14"/>
  <c r="W30" i="14" s="1"/>
  <c r="AI29" i="14"/>
  <c r="AH29" i="14"/>
  <c r="AG29" i="14"/>
  <c r="AF29" i="14"/>
  <c r="AE29" i="14"/>
  <c r="U29" i="14"/>
  <c r="S29" i="14"/>
  <c r="R29" i="14"/>
  <c r="Q29" i="14"/>
  <c r="Y29" i="14" s="1"/>
  <c r="P29" i="14"/>
  <c r="X29" i="14" s="1"/>
  <c r="O29" i="14"/>
  <c r="W29" i="14" s="1"/>
  <c r="AI28" i="14"/>
  <c r="AH28" i="14"/>
  <c r="AG28" i="14"/>
  <c r="AF28" i="14"/>
  <c r="AE28" i="14"/>
  <c r="U28" i="14"/>
  <c r="S28" i="14"/>
  <c r="AA28" i="14" s="1"/>
  <c r="R28" i="14"/>
  <c r="Q28" i="14"/>
  <c r="P28" i="14"/>
  <c r="O28" i="14"/>
  <c r="AI27" i="14"/>
  <c r="AH27" i="14"/>
  <c r="AG27" i="14"/>
  <c r="AF27" i="14"/>
  <c r="AE27" i="14"/>
  <c r="U27" i="14"/>
  <c r="S27" i="14"/>
  <c r="R27" i="14"/>
  <c r="Z27" i="14" s="1"/>
  <c r="Q27" i="14"/>
  <c r="Y27" i="14" s="1"/>
  <c r="P27" i="14"/>
  <c r="X27" i="14" s="1"/>
  <c r="O27" i="14"/>
  <c r="W27" i="14" s="1"/>
  <c r="AI26" i="14"/>
  <c r="AH26" i="14"/>
  <c r="AG26" i="14"/>
  <c r="AF26" i="14"/>
  <c r="AE26" i="14"/>
  <c r="U26" i="14"/>
  <c r="S26" i="14"/>
  <c r="AA26" i="14" s="1"/>
  <c r="R26" i="14"/>
  <c r="Z26" i="14" s="1"/>
  <c r="Q26" i="14"/>
  <c r="Y26" i="14" s="1"/>
  <c r="P26" i="14"/>
  <c r="X26" i="14" s="1"/>
  <c r="O26" i="14"/>
  <c r="W26" i="14" s="1"/>
  <c r="AI25" i="14"/>
  <c r="AH25" i="14"/>
  <c r="AG25" i="14"/>
  <c r="AF25" i="14"/>
  <c r="AE25" i="14"/>
  <c r="U25" i="14"/>
  <c r="S25" i="14"/>
  <c r="AA25" i="14" s="1"/>
  <c r="R25" i="14"/>
  <c r="Q25" i="14"/>
  <c r="P25" i="14"/>
  <c r="O25" i="14"/>
  <c r="AI24" i="14"/>
  <c r="AH24" i="14"/>
  <c r="AG24" i="14"/>
  <c r="AF24" i="14"/>
  <c r="AE24" i="14"/>
  <c r="U24" i="14"/>
  <c r="S24" i="14"/>
  <c r="R24" i="14"/>
  <c r="Z24" i="14" s="1"/>
  <c r="Q24" i="14"/>
  <c r="P24" i="14"/>
  <c r="X24" i="14" s="1"/>
  <c r="O24" i="14"/>
  <c r="W24" i="14" s="1"/>
  <c r="AI23" i="14"/>
  <c r="AH23" i="14"/>
  <c r="AG23" i="14"/>
  <c r="AF23" i="14"/>
  <c r="AE23" i="14"/>
  <c r="U23" i="14"/>
  <c r="S23" i="14"/>
  <c r="AA23" i="14" s="1"/>
  <c r="R23" i="14"/>
  <c r="Q23" i="14"/>
  <c r="P23" i="14"/>
  <c r="X23" i="14" s="1"/>
  <c r="O23" i="14"/>
  <c r="AI18" i="14"/>
  <c r="AH18" i="14"/>
  <c r="AG18" i="14"/>
  <c r="AF18" i="14"/>
  <c r="AE18" i="14"/>
  <c r="U18" i="14"/>
  <c r="S18" i="14"/>
  <c r="R18" i="14"/>
  <c r="Q18" i="14"/>
  <c r="P18" i="14"/>
  <c r="O18" i="14"/>
  <c r="AI17" i="14"/>
  <c r="AH17" i="14"/>
  <c r="AG17" i="14"/>
  <c r="AF17" i="14"/>
  <c r="AE17" i="14"/>
  <c r="U17" i="14"/>
  <c r="S17" i="14"/>
  <c r="AA17" i="14" s="1"/>
  <c r="R17" i="14"/>
  <c r="Q17" i="14"/>
  <c r="Y17" i="14" s="1"/>
  <c r="P17" i="14"/>
  <c r="X17" i="14" s="1"/>
  <c r="O17" i="14"/>
  <c r="W17" i="14" s="1"/>
  <c r="AI16" i="14"/>
  <c r="AH16" i="14"/>
  <c r="AG16" i="14"/>
  <c r="AF16" i="14"/>
  <c r="AE16" i="14"/>
  <c r="U16" i="14"/>
  <c r="S16" i="14"/>
  <c r="R16" i="14"/>
  <c r="Q16" i="14"/>
  <c r="Y16" i="14" s="1"/>
  <c r="P16" i="14"/>
  <c r="X16" i="14" s="1"/>
  <c r="O16" i="14"/>
  <c r="W16" i="14" s="1"/>
  <c r="AI15" i="14"/>
  <c r="AH15" i="14"/>
  <c r="AG15" i="14"/>
  <c r="AF15" i="14"/>
  <c r="AE15" i="14"/>
  <c r="U15" i="14"/>
  <c r="S15" i="14"/>
  <c r="AA15" i="14" s="1"/>
  <c r="R15" i="14"/>
  <c r="Z15" i="14" s="1"/>
  <c r="Q15" i="14"/>
  <c r="Y15" i="14" s="1"/>
  <c r="P15" i="14"/>
  <c r="X15" i="14" s="1"/>
  <c r="O15" i="14"/>
  <c r="W15" i="14" s="1"/>
  <c r="AI10" i="14"/>
  <c r="AH10" i="14"/>
  <c r="AG10" i="14"/>
  <c r="AF10" i="14"/>
  <c r="AE10" i="14"/>
  <c r="U10" i="14"/>
  <c r="S10" i="14"/>
  <c r="AA10" i="14" s="1"/>
  <c r="R10" i="14"/>
  <c r="Q10" i="14"/>
  <c r="Y10" i="14" s="1"/>
  <c r="P10" i="14"/>
  <c r="X10" i="14" s="1"/>
  <c r="O10" i="14"/>
  <c r="AI9" i="14"/>
  <c r="AH9" i="14"/>
  <c r="AG9" i="14"/>
  <c r="AF9" i="14"/>
  <c r="AE9" i="14"/>
  <c r="U9" i="14"/>
  <c r="S9" i="14"/>
  <c r="R9" i="14"/>
  <c r="Q9" i="14"/>
  <c r="P9" i="14"/>
  <c r="O9" i="14"/>
  <c r="AI8" i="14"/>
  <c r="AH8" i="14"/>
  <c r="AG8" i="14"/>
  <c r="AF8" i="14"/>
  <c r="AE8" i="14"/>
  <c r="U8" i="14"/>
  <c r="S8" i="14"/>
  <c r="R8" i="14"/>
  <c r="Q8" i="14"/>
  <c r="P8" i="14"/>
  <c r="O8" i="14"/>
  <c r="AI7" i="14"/>
  <c r="AH7" i="14"/>
  <c r="AG7" i="14"/>
  <c r="AF7" i="14"/>
  <c r="AE7" i="14"/>
  <c r="U7" i="14"/>
  <c r="S7" i="14"/>
  <c r="R7" i="14"/>
  <c r="Q7" i="14"/>
  <c r="Y7" i="14" s="1"/>
  <c r="P7" i="14"/>
  <c r="O7" i="14"/>
  <c r="AI53" i="13"/>
  <c r="AH53" i="13"/>
  <c r="AG53" i="13"/>
  <c r="AF53" i="13"/>
  <c r="AE53" i="13"/>
  <c r="U53" i="13"/>
  <c r="S53" i="13"/>
  <c r="AA53" i="13" s="1"/>
  <c r="R53" i="13"/>
  <c r="Q53" i="13"/>
  <c r="P53" i="13"/>
  <c r="X53" i="13" s="1"/>
  <c r="O53" i="13"/>
  <c r="W53" i="13" s="1"/>
  <c r="AI52" i="13"/>
  <c r="AH52" i="13"/>
  <c r="AG52" i="13"/>
  <c r="AF52" i="13"/>
  <c r="AE52" i="13"/>
  <c r="U52" i="13"/>
  <c r="S52" i="13"/>
  <c r="R52" i="13"/>
  <c r="Q52" i="13"/>
  <c r="P52" i="13"/>
  <c r="X52" i="13" s="1"/>
  <c r="O52" i="13"/>
  <c r="AI51" i="13"/>
  <c r="AH51" i="13"/>
  <c r="AG51" i="13"/>
  <c r="AF51" i="13"/>
  <c r="AE51" i="13"/>
  <c r="U51" i="13"/>
  <c r="S51" i="13"/>
  <c r="R51" i="13"/>
  <c r="Q51" i="13"/>
  <c r="P51" i="13"/>
  <c r="O51" i="13"/>
  <c r="AI50" i="13"/>
  <c r="AH50" i="13"/>
  <c r="AG50" i="13"/>
  <c r="AF50" i="13"/>
  <c r="AE50" i="13"/>
  <c r="U50" i="13"/>
  <c r="S50" i="13"/>
  <c r="R50" i="13"/>
  <c r="Q50" i="13"/>
  <c r="P50" i="13"/>
  <c r="X50" i="13" s="1"/>
  <c r="O50" i="13"/>
  <c r="AI49" i="13"/>
  <c r="AH49" i="13"/>
  <c r="AG49" i="13"/>
  <c r="AF49" i="13"/>
  <c r="AE49" i="13"/>
  <c r="U49" i="13"/>
  <c r="S49" i="13"/>
  <c r="AA49" i="13" s="1"/>
  <c r="R49" i="13"/>
  <c r="Z49" i="13" s="1"/>
  <c r="Q49" i="13"/>
  <c r="Y49" i="13" s="1"/>
  <c r="P49" i="13"/>
  <c r="X49" i="13" s="1"/>
  <c r="O49" i="13"/>
  <c r="W49" i="13" s="1"/>
  <c r="AI48" i="13"/>
  <c r="AH48" i="13"/>
  <c r="AG48" i="13"/>
  <c r="AF48" i="13"/>
  <c r="AE48" i="13"/>
  <c r="U48" i="13"/>
  <c r="S48" i="13"/>
  <c r="AA48" i="13" s="1"/>
  <c r="R48" i="13"/>
  <c r="Q48" i="13"/>
  <c r="P48" i="13"/>
  <c r="O48" i="13"/>
  <c r="AI47" i="13"/>
  <c r="AH47" i="13"/>
  <c r="AG47" i="13"/>
  <c r="AF47" i="13"/>
  <c r="AE47" i="13"/>
  <c r="U47" i="13"/>
  <c r="S47" i="13"/>
  <c r="R47" i="13"/>
  <c r="Z47" i="13" s="1"/>
  <c r="Q47" i="13"/>
  <c r="P47" i="13"/>
  <c r="O47" i="13"/>
  <c r="AI46" i="13"/>
  <c r="AH46" i="13"/>
  <c r="AG46" i="13"/>
  <c r="AF46" i="13"/>
  <c r="AE46" i="13"/>
  <c r="U46" i="13"/>
  <c r="S46" i="13"/>
  <c r="R46" i="13"/>
  <c r="Q46" i="13"/>
  <c r="P46" i="13"/>
  <c r="X46" i="13" s="1"/>
  <c r="O46" i="13"/>
  <c r="AI45" i="13"/>
  <c r="AH45" i="13"/>
  <c r="AG45" i="13"/>
  <c r="AF45" i="13"/>
  <c r="AE45" i="13"/>
  <c r="U45" i="13"/>
  <c r="S45" i="13"/>
  <c r="R45" i="13"/>
  <c r="Q45" i="13"/>
  <c r="P45" i="13"/>
  <c r="O45" i="13"/>
  <c r="AI44" i="13"/>
  <c r="AH44" i="13"/>
  <c r="AG44" i="13"/>
  <c r="AF44" i="13"/>
  <c r="AE44" i="13"/>
  <c r="U44" i="13"/>
  <c r="S44" i="13"/>
  <c r="AA44" i="13" s="1"/>
  <c r="R44" i="13"/>
  <c r="Z44" i="13" s="1"/>
  <c r="Q44" i="13"/>
  <c r="Y44" i="13" s="1"/>
  <c r="P44" i="13"/>
  <c r="X44" i="13" s="1"/>
  <c r="O44" i="13"/>
  <c r="W44" i="13" s="1"/>
  <c r="AI43" i="13"/>
  <c r="AH43" i="13"/>
  <c r="AG43" i="13"/>
  <c r="AF43" i="13"/>
  <c r="AE43" i="13"/>
  <c r="U43" i="13"/>
  <c r="S43" i="13"/>
  <c r="R43" i="13"/>
  <c r="Z43" i="13" s="1"/>
  <c r="Q43" i="13"/>
  <c r="P43" i="13"/>
  <c r="O43" i="13"/>
  <c r="AI42" i="13"/>
  <c r="AH42" i="13"/>
  <c r="AG42" i="13"/>
  <c r="AF42" i="13"/>
  <c r="AE42" i="13"/>
  <c r="U42" i="13"/>
  <c r="S42" i="13"/>
  <c r="R42" i="13"/>
  <c r="Q42" i="13"/>
  <c r="P42" i="13"/>
  <c r="X42" i="13" s="1"/>
  <c r="O42" i="13"/>
  <c r="AI34" i="13"/>
  <c r="AH34" i="13"/>
  <c r="AG34" i="13"/>
  <c r="AF34" i="13"/>
  <c r="AE34" i="13"/>
  <c r="U34" i="13"/>
  <c r="S34" i="13"/>
  <c r="AA34" i="13" s="1"/>
  <c r="R34" i="13"/>
  <c r="Z34" i="13" s="1"/>
  <c r="Q34" i="13"/>
  <c r="Y34" i="13" s="1"/>
  <c r="P34" i="13"/>
  <c r="X34" i="13" s="1"/>
  <c r="O34" i="13"/>
  <c r="AI33" i="13"/>
  <c r="AH33" i="13"/>
  <c r="AG33" i="13"/>
  <c r="AF33" i="13"/>
  <c r="AE33" i="13"/>
  <c r="U33" i="13"/>
  <c r="S33" i="13"/>
  <c r="AA33" i="13" s="1"/>
  <c r="R33" i="13"/>
  <c r="Z33" i="13" s="1"/>
  <c r="Q33" i="13"/>
  <c r="Y33" i="13" s="1"/>
  <c r="P33" i="13"/>
  <c r="X33" i="13" s="1"/>
  <c r="O33" i="13"/>
  <c r="W33" i="13" s="1"/>
  <c r="AI32" i="13"/>
  <c r="AH32" i="13"/>
  <c r="AG32" i="13"/>
  <c r="AF32" i="13"/>
  <c r="AE32" i="13"/>
  <c r="U32" i="13"/>
  <c r="S32" i="13"/>
  <c r="R32" i="13"/>
  <c r="Z32" i="13" s="1"/>
  <c r="Q32" i="13"/>
  <c r="P32" i="13"/>
  <c r="X32" i="13" s="1"/>
  <c r="O32" i="13"/>
  <c r="AI31" i="13"/>
  <c r="AH31" i="13"/>
  <c r="AG31" i="13"/>
  <c r="AF31" i="13"/>
  <c r="AE31" i="13"/>
  <c r="U31" i="13"/>
  <c r="S31" i="13"/>
  <c r="R31" i="13"/>
  <c r="Q31" i="13"/>
  <c r="P31" i="13"/>
  <c r="O31" i="13"/>
  <c r="AI30" i="13"/>
  <c r="AH30" i="13"/>
  <c r="AG30" i="13"/>
  <c r="AF30" i="13"/>
  <c r="AE30" i="13"/>
  <c r="U30" i="13"/>
  <c r="S30" i="13"/>
  <c r="AA30" i="13" s="1"/>
  <c r="R30" i="13"/>
  <c r="Q30" i="13"/>
  <c r="Y30" i="13" s="1"/>
  <c r="P30" i="13"/>
  <c r="X30" i="13" s="1"/>
  <c r="O30" i="13"/>
  <c r="W30" i="13" s="1"/>
  <c r="AI29" i="13"/>
  <c r="AH29" i="13"/>
  <c r="AG29" i="13"/>
  <c r="AF29" i="13"/>
  <c r="AE29" i="13"/>
  <c r="U29" i="13"/>
  <c r="S29" i="13"/>
  <c r="AA29" i="13" s="1"/>
  <c r="R29" i="13"/>
  <c r="Z29" i="13" s="1"/>
  <c r="Q29" i="13"/>
  <c r="Y29" i="13" s="1"/>
  <c r="P29" i="13"/>
  <c r="X29" i="13" s="1"/>
  <c r="O29" i="13"/>
  <c r="W29" i="13" s="1"/>
  <c r="AI28" i="13"/>
  <c r="AH28" i="13"/>
  <c r="AG28" i="13"/>
  <c r="AF28" i="13"/>
  <c r="AE28" i="13"/>
  <c r="U28" i="13"/>
  <c r="S28" i="13"/>
  <c r="R28" i="13"/>
  <c r="Z28" i="13" s="1"/>
  <c r="Q28" i="13"/>
  <c r="P28" i="13"/>
  <c r="O28" i="13"/>
  <c r="AI27" i="13"/>
  <c r="AH27" i="13"/>
  <c r="AG27" i="13"/>
  <c r="AF27" i="13"/>
  <c r="AE27" i="13"/>
  <c r="U27" i="13"/>
  <c r="S27" i="13"/>
  <c r="R27" i="13"/>
  <c r="Q27" i="13"/>
  <c r="P27" i="13"/>
  <c r="X27" i="13" s="1"/>
  <c r="O27" i="13"/>
  <c r="AI26" i="13"/>
  <c r="AH26" i="13"/>
  <c r="AG26" i="13"/>
  <c r="AF26" i="13"/>
  <c r="AE26" i="13"/>
  <c r="U26" i="13"/>
  <c r="S26" i="13"/>
  <c r="AA26" i="13" s="1"/>
  <c r="R26" i="13"/>
  <c r="Z26" i="13" s="1"/>
  <c r="Q26" i="13"/>
  <c r="Y26" i="13" s="1"/>
  <c r="P26" i="13"/>
  <c r="O26" i="13"/>
  <c r="W26" i="13" s="1"/>
  <c r="AI25" i="13"/>
  <c r="AH25" i="13"/>
  <c r="AG25" i="13"/>
  <c r="AF25" i="13"/>
  <c r="AE25" i="13"/>
  <c r="U25" i="13"/>
  <c r="S25" i="13"/>
  <c r="R25" i="13"/>
  <c r="Q25" i="13"/>
  <c r="P25" i="13"/>
  <c r="O25" i="13"/>
  <c r="AI24" i="13"/>
  <c r="AH24" i="13"/>
  <c r="AG24" i="13"/>
  <c r="AF24" i="13"/>
  <c r="AE24" i="13"/>
  <c r="U24" i="13"/>
  <c r="S24" i="13"/>
  <c r="AA24" i="13" s="1"/>
  <c r="R24" i="13"/>
  <c r="Z24" i="13" s="1"/>
  <c r="Q24" i="13"/>
  <c r="Y24" i="13" s="1"/>
  <c r="P24" i="13"/>
  <c r="X24" i="13" s="1"/>
  <c r="O24" i="13"/>
  <c r="W24" i="13" s="1"/>
  <c r="AI23" i="13"/>
  <c r="AH23" i="13"/>
  <c r="AG23" i="13"/>
  <c r="AF23" i="13"/>
  <c r="AE23" i="13"/>
  <c r="U23" i="13"/>
  <c r="S23" i="13"/>
  <c r="R23" i="13"/>
  <c r="Q23" i="13"/>
  <c r="P23" i="13"/>
  <c r="X23" i="13" s="1"/>
  <c r="O23" i="13"/>
  <c r="AI18" i="13"/>
  <c r="AH18" i="13"/>
  <c r="AG18" i="13"/>
  <c r="AF18" i="13"/>
  <c r="AE18" i="13"/>
  <c r="U18" i="13"/>
  <c r="S18" i="13"/>
  <c r="R18" i="13"/>
  <c r="Q18" i="13"/>
  <c r="P18" i="13"/>
  <c r="X18" i="13" s="1"/>
  <c r="O18" i="13"/>
  <c r="AI17" i="13"/>
  <c r="AH17" i="13"/>
  <c r="AG17" i="13"/>
  <c r="AF17" i="13"/>
  <c r="AE17" i="13"/>
  <c r="U17" i="13"/>
  <c r="S17" i="13"/>
  <c r="AA17" i="13" s="1"/>
  <c r="R17" i="13"/>
  <c r="Q17" i="13"/>
  <c r="Y17" i="13" s="1"/>
  <c r="P17" i="13"/>
  <c r="O17" i="13"/>
  <c r="W17" i="13" s="1"/>
  <c r="AI16" i="13"/>
  <c r="AH16" i="13"/>
  <c r="AG16" i="13"/>
  <c r="AF16" i="13"/>
  <c r="AE16" i="13"/>
  <c r="U16" i="13"/>
  <c r="S16" i="13"/>
  <c r="R16" i="13"/>
  <c r="Q16" i="13"/>
  <c r="P16" i="13"/>
  <c r="X16" i="13" s="1"/>
  <c r="O16" i="13"/>
  <c r="AI15" i="13"/>
  <c r="AH15" i="13"/>
  <c r="AG15" i="13"/>
  <c r="AF15" i="13"/>
  <c r="AE15" i="13"/>
  <c r="U15" i="13"/>
  <c r="S15" i="13"/>
  <c r="R15" i="13"/>
  <c r="Q15" i="13"/>
  <c r="Y15" i="13" s="1"/>
  <c r="P15" i="13"/>
  <c r="O15" i="13"/>
  <c r="W15" i="13" s="1"/>
  <c r="AI10" i="13"/>
  <c r="AH10" i="13"/>
  <c r="AG10" i="13"/>
  <c r="AF10" i="13"/>
  <c r="AE10" i="13"/>
  <c r="U10" i="13"/>
  <c r="S10" i="13"/>
  <c r="AA10" i="13" s="1"/>
  <c r="R10" i="13"/>
  <c r="Z10" i="13" s="1"/>
  <c r="Q10" i="13"/>
  <c r="Y10" i="13" s="1"/>
  <c r="P10" i="13"/>
  <c r="X10" i="13" s="1"/>
  <c r="O10" i="13"/>
  <c r="AI9" i="13"/>
  <c r="AH9" i="13"/>
  <c r="AG9" i="13"/>
  <c r="AF9" i="13"/>
  <c r="AE9" i="13"/>
  <c r="U9" i="13"/>
  <c r="S9" i="13"/>
  <c r="AA9" i="13" s="1"/>
  <c r="R9" i="13"/>
  <c r="Z9" i="13" s="1"/>
  <c r="Q9" i="13"/>
  <c r="P9" i="13"/>
  <c r="X9" i="13" s="1"/>
  <c r="O9" i="13"/>
  <c r="W9" i="13" s="1"/>
  <c r="AI8" i="13"/>
  <c r="AH8" i="13"/>
  <c r="AG8" i="13"/>
  <c r="AF8" i="13"/>
  <c r="AE8" i="13"/>
  <c r="U8" i="13"/>
  <c r="S8" i="13"/>
  <c r="AA8" i="13" s="1"/>
  <c r="R8" i="13"/>
  <c r="Q8" i="13"/>
  <c r="Y8" i="13" s="1"/>
  <c r="P8" i="13"/>
  <c r="X8" i="13" s="1"/>
  <c r="O8" i="13"/>
  <c r="AI7" i="13"/>
  <c r="AH7" i="13"/>
  <c r="AG7" i="13"/>
  <c r="AF7" i="13"/>
  <c r="AE7" i="13"/>
  <c r="U7" i="13"/>
  <c r="S7" i="13"/>
  <c r="R7" i="13"/>
  <c r="Q7" i="13"/>
  <c r="P7" i="13"/>
  <c r="O7" i="13"/>
  <c r="AU13" i="16" l="1"/>
  <c r="AB18" i="16"/>
  <c r="AU29" i="16"/>
  <c r="AU35" i="16"/>
  <c r="BN30" i="16"/>
  <c r="BO30" i="16" s="1"/>
  <c r="AZ32" i="16"/>
  <c r="AT5" i="16"/>
  <c r="AT13" i="16"/>
  <c r="BR30" i="16"/>
  <c r="BS30" i="16" s="1"/>
  <c r="AT35" i="16"/>
  <c r="BF30" i="16"/>
  <c r="BG30" i="16" s="1"/>
  <c r="AZ30" i="16"/>
  <c r="AZ43" i="16" s="1"/>
  <c r="AV14" i="16"/>
  <c r="AV36" i="16"/>
  <c r="AV12" i="16"/>
  <c r="AU28" i="15"/>
  <c r="AS33" i="15"/>
  <c r="AU34" i="15"/>
  <c r="BN34" i="15"/>
  <c r="BO34" i="15" s="1"/>
  <c r="AU12" i="15"/>
  <c r="AT4" i="15"/>
  <c r="AT12" i="15"/>
  <c r="AB31" i="15"/>
  <c r="AZ28" i="15"/>
  <c r="AS3" i="15"/>
  <c r="AB7" i="15"/>
  <c r="BN28" i="15"/>
  <c r="BO28" i="15" s="1"/>
  <c r="AS11" i="15"/>
  <c r="AS27" i="15"/>
  <c r="Z7" i="14"/>
  <c r="Z31" i="14"/>
  <c r="AA7" i="14"/>
  <c r="Z10" i="14"/>
  <c r="W9" i="14"/>
  <c r="W33" i="14"/>
  <c r="X9" i="14"/>
  <c r="AA24" i="14"/>
  <c r="X33" i="14"/>
  <c r="AA48" i="14"/>
  <c r="Y33" i="14"/>
  <c r="Z33" i="14"/>
  <c r="AA9" i="14"/>
  <c r="AW29" i="14" s="1"/>
  <c r="AA33" i="14"/>
  <c r="W8" i="14"/>
  <c r="AS12" i="14" s="1"/>
  <c r="X8" i="14"/>
  <c r="AT4" i="14" s="1"/>
  <c r="Y8" i="14"/>
  <c r="W18" i="14"/>
  <c r="Z29" i="14"/>
  <c r="W46" i="14"/>
  <c r="X18" i="14"/>
  <c r="W25" i="14"/>
  <c r="AA29" i="14"/>
  <c r="X46" i="14"/>
  <c r="AB46" i="14" s="1"/>
  <c r="W49" i="14"/>
  <c r="AA53" i="14"/>
  <c r="AA8" i="14"/>
  <c r="Y18" i="14"/>
  <c r="AB18" i="14" s="1"/>
  <c r="X25" i="14"/>
  <c r="AT13" i="14" s="1"/>
  <c r="W28" i="14"/>
  <c r="Y46" i="14"/>
  <c r="X49" i="14"/>
  <c r="AB49" i="14" s="1"/>
  <c r="W52" i="14"/>
  <c r="W7" i="14"/>
  <c r="Y25" i="14"/>
  <c r="X28" i="14"/>
  <c r="W31" i="14"/>
  <c r="Z46" i="14"/>
  <c r="Y49" i="14"/>
  <c r="X52" i="14"/>
  <c r="Z18" i="14"/>
  <c r="X7" i="14"/>
  <c r="W10" i="14"/>
  <c r="AS14" i="14" s="1"/>
  <c r="AA18" i="14"/>
  <c r="Z25" i="14"/>
  <c r="X31" i="14"/>
  <c r="W34" i="14"/>
  <c r="AS30" i="14" s="1"/>
  <c r="AA46" i="14"/>
  <c r="Z49" i="14"/>
  <c r="Y52" i="14"/>
  <c r="Z30" i="13"/>
  <c r="Z53" i="13"/>
  <c r="W8" i="13"/>
  <c r="Z23" i="13"/>
  <c r="W25" i="13"/>
  <c r="X45" i="13"/>
  <c r="W48" i="13"/>
  <c r="W45" i="13"/>
  <c r="X25" i="13"/>
  <c r="BN32" i="13" s="1"/>
  <c r="BO32" i="13" s="1"/>
  <c r="Y45" i="13"/>
  <c r="X48" i="13"/>
  <c r="Z18" i="13"/>
  <c r="AV6" i="13" s="1"/>
  <c r="Y25" i="13"/>
  <c r="X28" i="13"/>
  <c r="Z45" i="13"/>
  <c r="AB45" i="13" s="1"/>
  <c r="Y48" i="13"/>
  <c r="AB48" i="13" s="1"/>
  <c r="X7" i="13"/>
  <c r="W10" i="13"/>
  <c r="Z25" i="13"/>
  <c r="X31" i="13"/>
  <c r="W34" i="13"/>
  <c r="AA45" i="13"/>
  <c r="Z48" i="13"/>
  <c r="AT33" i="15"/>
  <c r="AT11" i="15"/>
  <c r="AT27" i="15"/>
  <c r="AB15" i="15"/>
  <c r="AZ32" i="15"/>
  <c r="AZ45" i="15" s="1"/>
  <c r="BF30" i="15"/>
  <c r="BG30" i="15" s="1"/>
  <c r="BR32" i="15"/>
  <c r="BS32" i="15" s="1"/>
  <c r="AT3" i="15"/>
  <c r="AV4" i="15"/>
  <c r="AA27" i="14"/>
  <c r="Z52" i="14"/>
  <c r="AU28" i="16"/>
  <c r="AZ30" i="15"/>
  <c r="AW13" i="15"/>
  <c r="BJ31" i="16"/>
  <c r="BK31" i="16" s="1"/>
  <c r="AW4" i="16"/>
  <c r="AB15" i="16"/>
  <c r="AV34" i="15"/>
  <c r="BJ28" i="15"/>
  <c r="BK28" i="15" s="1"/>
  <c r="AV12" i="15"/>
  <c r="AB16" i="15"/>
  <c r="BA57" i="15" s="1"/>
  <c r="AW28" i="16"/>
  <c r="BF28" i="16"/>
  <c r="BG28" i="16" s="1"/>
  <c r="AZ28" i="16"/>
  <c r="BA28" i="16" s="1"/>
  <c r="AB16" i="16"/>
  <c r="AU5" i="15"/>
  <c r="AV28" i="15"/>
  <c r="BJ27" i="15"/>
  <c r="AZ27" i="15"/>
  <c r="AU35" i="15"/>
  <c r="AU29" i="15"/>
  <c r="BJ33" i="16"/>
  <c r="BK33" i="16" s="1"/>
  <c r="BR37" i="16"/>
  <c r="BR36" i="16"/>
  <c r="BS27" i="16"/>
  <c r="AV4" i="16"/>
  <c r="AZ33" i="16"/>
  <c r="AB28" i="16"/>
  <c r="BJ30" i="16"/>
  <c r="BK30" i="16" s="1"/>
  <c r="AB48" i="16"/>
  <c r="AU34" i="16"/>
  <c r="AS33" i="16"/>
  <c r="BF27" i="16"/>
  <c r="AS27" i="16"/>
  <c r="AS11" i="16"/>
  <c r="AS3" i="16"/>
  <c r="AB7" i="16"/>
  <c r="AZ27" i="16"/>
  <c r="AW34" i="16"/>
  <c r="AZ31" i="16"/>
  <c r="AB32" i="16"/>
  <c r="AV33" i="16"/>
  <c r="AV27" i="16"/>
  <c r="AV11" i="16"/>
  <c r="AV3" i="16"/>
  <c r="AU12" i="16"/>
  <c r="AW33" i="16"/>
  <c r="AW27" i="16"/>
  <c r="AW11" i="16"/>
  <c r="AW3" i="16"/>
  <c r="AV34" i="16"/>
  <c r="BJ28" i="16"/>
  <c r="BK28" i="16" s="1"/>
  <c r="AW12" i="16"/>
  <c r="AZ45" i="16"/>
  <c r="BA32" i="16"/>
  <c r="BB45" i="16" s="1"/>
  <c r="BA59" i="16"/>
  <c r="AZ59" i="16"/>
  <c r="AB44" i="16"/>
  <c r="BJ32" i="16"/>
  <c r="BK32" i="16" s="1"/>
  <c r="BN37" i="16"/>
  <c r="BN36" i="16"/>
  <c r="BO27" i="16"/>
  <c r="AS4" i="16"/>
  <c r="BK27" i="16"/>
  <c r="AS34" i="16"/>
  <c r="AV28" i="16"/>
  <c r="AZ47" i="16"/>
  <c r="BA34" i="16"/>
  <c r="BB47" i="16" s="1"/>
  <c r="BA29" i="16"/>
  <c r="BB42" i="16" s="1"/>
  <c r="AZ42" i="16"/>
  <c r="BA58" i="16"/>
  <c r="AZ58" i="16"/>
  <c r="AU33" i="16"/>
  <c r="AU27" i="16"/>
  <c r="AU11" i="16"/>
  <c r="AU3" i="16"/>
  <c r="AS28" i="16"/>
  <c r="AS12" i="16"/>
  <c r="AW29" i="15"/>
  <c r="AS13" i="15"/>
  <c r="AW36" i="15"/>
  <c r="AS29" i="15"/>
  <c r="BA32" i="15"/>
  <c r="AZ40" i="15"/>
  <c r="BG27" i="15"/>
  <c r="AB45" i="15"/>
  <c r="BN32" i="15"/>
  <c r="BO32" i="15" s="1"/>
  <c r="BK27" i="15"/>
  <c r="BJ37" i="15"/>
  <c r="AW5" i="15"/>
  <c r="AS5" i="15"/>
  <c r="AW30" i="15"/>
  <c r="BS27" i="15"/>
  <c r="BN33" i="15"/>
  <c r="BO33" i="15" s="1"/>
  <c r="AB49" i="15"/>
  <c r="AB33" i="15"/>
  <c r="BN31" i="15"/>
  <c r="BO31" i="15" s="1"/>
  <c r="BA56" i="15"/>
  <c r="AZ56" i="15"/>
  <c r="AZ47" i="15"/>
  <c r="BA34" i="15"/>
  <c r="BB47" i="15" s="1"/>
  <c r="AZ43" i="15"/>
  <c r="BA30" i="15"/>
  <c r="AZ29" i="15"/>
  <c r="AV35" i="15"/>
  <c r="AV13" i="15"/>
  <c r="AV29" i="15"/>
  <c r="AV5" i="15"/>
  <c r="AW35" i="15"/>
  <c r="AB9" i="15"/>
  <c r="BN27" i="15"/>
  <c r="AW6" i="15"/>
  <c r="AS6" i="15"/>
  <c r="BA28" i="15"/>
  <c r="BB41" i="15" s="1"/>
  <c r="AZ41" i="15"/>
  <c r="AZ33" i="15"/>
  <c r="AZ31" i="15"/>
  <c r="AB29" i="15"/>
  <c r="BN30" i="15"/>
  <c r="BO30" i="15" s="1"/>
  <c r="BR29" i="15"/>
  <c r="BS29" i="15" s="1"/>
  <c r="AB26" i="15"/>
  <c r="BA59" i="15" s="1"/>
  <c r="AS35" i="15"/>
  <c r="AS14" i="15"/>
  <c r="AS30" i="15"/>
  <c r="AA47" i="14"/>
  <c r="Z28" i="14"/>
  <c r="AL5" i="13"/>
  <c r="AA15" i="13"/>
  <c r="AP3" i="13"/>
  <c r="AL3" i="13"/>
  <c r="Y9" i="13"/>
  <c r="BN27" i="13" s="1"/>
  <c r="AZ6" i="14"/>
  <c r="AM5" i="14"/>
  <c r="AM6" i="14"/>
  <c r="Y53" i="13"/>
  <c r="AB53" i="13" s="1"/>
  <c r="BC34" i="13"/>
  <c r="Z51" i="14"/>
  <c r="AB51" i="14" s="1"/>
  <c r="AL3" i="14"/>
  <c r="AM4" i="14"/>
  <c r="BA3" i="14"/>
  <c r="BB6" i="14"/>
  <c r="Z53" i="14"/>
  <c r="BE4" i="14"/>
  <c r="BI4" i="14"/>
  <c r="Y54" i="14"/>
  <c r="X50" i="14"/>
  <c r="AT6" i="14" s="1"/>
  <c r="AN3" i="14"/>
  <c r="BG5" i="14"/>
  <c r="Y48" i="14"/>
  <c r="AB48" i="14" s="1"/>
  <c r="AZ4" i="14"/>
  <c r="AL5" i="14"/>
  <c r="AB49" i="13"/>
  <c r="AN4" i="13"/>
  <c r="Y47" i="13"/>
  <c r="AN4" i="14"/>
  <c r="AO5" i="14"/>
  <c r="BR32" i="14"/>
  <c r="BS32" i="14" s="1"/>
  <c r="AP4" i="14"/>
  <c r="Z44" i="14"/>
  <c r="AA43" i="14"/>
  <c r="AP5" i="13"/>
  <c r="BC32" i="13"/>
  <c r="Y43" i="13"/>
  <c r="AP5" i="14"/>
  <c r="BR31" i="14"/>
  <c r="BS31" i="14" s="1"/>
  <c r="AB34" i="14"/>
  <c r="AA31" i="14"/>
  <c r="AB31" i="14" s="1"/>
  <c r="Z32" i="14"/>
  <c r="Y32" i="13"/>
  <c r="AM6" i="13"/>
  <c r="BB5" i="13"/>
  <c r="AB30" i="14"/>
  <c r="BF3" i="14"/>
  <c r="BG6" i="14"/>
  <c r="BG4" i="14"/>
  <c r="BI3" i="13"/>
  <c r="AY3" i="13"/>
  <c r="BF4" i="13"/>
  <c r="BA6" i="13"/>
  <c r="Y28" i="13"/>
  <c r="BF3" i="13"/>
  <c r="BC30" i="13"/>
  <c r="Y24" i="14"/>
  <c r="BJ29" i="14" s="1"/>
  <c r="BK29" i="14" s="1"/>
  <c r="BH3" i="14"/>
  <c r="AY3" i="14"/>
  <c r="BI3" i="14"/>
  <c r="BH4" i="14"/>
  <c r="AO4" i="14"/>
  <c r="BF5" i="14"/>
  <c r="AL6" i="14"/>
  <c r="BC29" i="14"/>
  <c r="Z23" i="14"/>
  <c r="AV11" i="14" s="1"/>
  <c r="AB26" i="14"/>
  <c r="AN5" i="14"/>
  <c r="AP6" i="14"/>
  <c r="BG4" i="13"/>
  <c r="BG3" i="13"/>
  <c r="BH6" i="13"/>
  <c r="AM5" i="13"/>
  <c r="AB24" i="13"/>
  <c r="X26" i="13"/>
  <c r="BR29" i="13" s="1"/>
  <c r="BS29" i="13" s="1"/>
  <c r="AO4" i="13"/>
  <c r="BE6" i="13"/>
  <c r="BI6" i="13"/>
  <c r="AL6" i="13"/>
  <c r="AP6" i="13"/>
  <c r="W23" i="13"/>
  <c r="AA25" i="13"/>
  <c r="BN29" i="13" s="1"/>
  <c r="BO29" i="13" s="1"/>
  <c r="BG5" i="13"/>
  <c r="BF6" i="13"/>
  <c r="AO3" i="13"/>
  <c r="BJ29" i="13"/>
  <c r="BK29" i="13" s="1"/>
  <c r="AN6" i="14"/>
  <c r="BH5" i="14"/>
  <c r="AO3" i="14"/>
  <c r="AY5" i="14"/>
  <c r="BC5" i="14"/>
  <c r="AU36" i="14"/>
  <c r="BE6" i="14"/>
  <c r="BI6" i="14"/>
  <c r="AO6" i="14"/>
  <c r="AP3" i="14"/>
  <c r="AL4" i="14"/>
  <c r="BF6" i="14"/>
  <c r="BC28" i="14"/>
  <c r="AM3" i="14"/>
  <c r="AA16" i="14"/>
  <c r="AW4" i="14" s="1"/>
  <c r="Z17" i="14"/>
  <c r="BN30" i="14" s="1"/>
  <c r="BO30" i="14" s="1"/>
  <c r="AT11" i="14"/>
  <c r="AO6" i="13"/>
  <c r="BE4" i="13"/>
  <c r="BI4" i="13"/>
  <c r="BE5" i="13"/>
  <c r="BI5" i="13"/>
  <c r="Z16" i="13"/>
  <c r="X17" i="13"/>
  <c r="Y16" i="13"/>
  <c r="BH4" i="13"/>
  <c r="W18" i="13"/>
  <c r="AS14" i="13" s="1"/>
  <c r="AN3" i="13"/>
  <c r="BC28" i="13"/>
  <c r="BH3" i="13"/>
  <c r="Z9" i="14"/>
  <c r="AT3" i="14"/>
  <c r="Z8" i="14"/>
  <c r="BJ27" i="14" s="1"/>
  <c r="BB4" i="14"/>
  <c r="BC3" i="14"/>
  <c r="BA5" i="14"/>
  <c r="BA3" i="13"/>
  <c r="AZ6" i="13"/>
  <c r="Z8" i="13"/>
  <c r="BB4" i="13"/>
  <c r="BC3" i="13"/>
  <c r="AY5" i="13"/>
  <c r="BB6" i="13"/>
  <c r="BA5" i="13"/>
  <c r="Z7" i="13"/>
  <c r="AZ4" i="13"/>
  <c r="BC5" i="13"/>
  <c r="AT29" i="14"/>
  <c r="AT35" i="14"/>
  <c r="AT5" i="14"/>
  <c r="BR27" i="14"/>
  <c r="AB10" i="14"/>
  <c r="AW30" i="14"/>
  <c r="AW36" i="14"/>
  <c r="AW14" i="14"/>
  <c r="AW6" i="14"/>
  <c r="BR28" i="14"/>
  <c r="BS28" i="14" s="1"/>
  <c r="AS29" i="14"/>
  <c r="AS13" i="14"/>
  <c r="AS35" i="14"/>
  <c r="AS5" i="14"/>
  <c r="AV30" i="14"/>
  <c r="AV6" i="14"/>
  <c r="AV14" i="14"/>
  <c r="AV36" i="14"/>
  <c r="BB3" i="14"/>
  <c r="BG3" i="14"/>
  <c r="BA4" i="14"/>
  <c r="BF4" i="14"/>
  <c r="Y9" i="14"/>
  <c r="AZ5" i="14"/>
  <c r="BE5" i="14"/>
  <c r="BI5" i="14"/>
  <c r="AT14" i="14"/>
  <c r="AY6" i="14"/>
  <c r="BC6" i="14"/>
  <c r="BH6" i="14"/>
  <c r="Z16" i="14"/>
  <c r="AU14" i="14"/>
  <c r="BF30" i="14"/>
  <c r="BG30" i="14" s="1"/>
  <c r="AB27" i="14"/>
  <c r="AB43" i="14"/>
  <c r="BF33" i="14"/>
  <c r="BG33" i="14" s="1"/>
  <c r="AB47" i="14"/>
  <c r="BF27" i="14"/>
  <c r="AB7" i="14"/>
  <c r="AB15" i="14"/>
  <c r="AB24" i="14"/>
  <c r="AB29" i="14"/>
  <c r="BN31" i="14"/>
  <c r="BO31" i="14" s="1"/>
  <c r="AB33" i="14"/>
  <c r="AB45" i="14"/>
  <c r="AT27" i="14"/>
  <c r="AS28" i="14"/>
  <c r="BF28" i="14"/>
  <c r="BG28" i="14" s="1"/>
  <c r="BN33" i="14"/>
  <c r="BO33" i="14" s="1"/>
  <c r="BR29" i="14"/>
  <c r="BS29" i="14" s="1"/>
  <c r="BR33" i="14"/>
  <c r="BS33" i="14" s="1"/>
  <c r="BC34" i="14"/>
  <c r="BC27" i="14"/>
  <c r="AZ3" i="14"/>
  <c r="BE3" i="14"/>
  <c r="AY4" i="14"/>
  <c r="BC4" i="14"/>
  <c r="BB5" i="14"/>
  <c r="BA6" i="14"/>
  <c r="Y23" i="14"/>
  <c r="AU33" i="14" s="1"/>
  <c r="W23" i="14"/>
  <c r="AS27" i="14" s="1"/>
  <c r="AS11" i="14"/>
  <c r="Y28" i="14"/>
  <c r="Y32" i="14"/>
  <c r="AB32" i="14" s="1"/>
  <c r="Y44" i="14"/>
  <c r="AT30" i="14"/>
  <c r="AT33" i="14"/>
  <c r="AB54" i="14"/>
  <c r="BN29" i="14"/>
  <c r="BO29" i="14" s="1"/>
  <c r="BC30" i="14"/>
  <c r="BC31" i="14"/>
  <c r="BC32" i="14"/>
  <c r="BC33" i="14"/>
  <c r="AW28" i="14"/>
  <c r="AU30" i="14"/>
  <c r="AB52" i="14"/>
  <c r="W16" i="13"/>
  <c r="AL4" i="13"/>
  <c r="Y18" i="13"/>
  <c r="AN6" i="13"/>
  <c r="Y7" i="13"/>
  <c r="BH5" i="13"/>
  <c r="AV30" i="13"/>
  <c r="AV36" i="13"/>
  <c r="AA31" i="13"/>
  <c r="Z31" i="13"/>
  <c r="W31" i="13"/>
  <c r="AA46" i="13"/>
  <c r="Z46" i="13"/>
  <c r="W46" i="13"/>
  <c r="AA16" i="13"/>
  <c r="AP4" i="13"/>
  <c r="AY4" i="13"/>
  <c r="BC4" i="13"/>
  <c r="BF5" i="13"/>
  <c r="BG6" i="13"/>
  <c r="Z15" i="13"/>
  <c r="BC31" i="13"/>
  <c r="BR31" i="13"/>
  <c r="BS31" i="13" s="1"/>
  <c r="BC33" i="13"/>
  <c r="W7" i="13"/>
  <c r="AA7" i="13"/>
  <c r="AU36" i="13"/>
  <c r="AS36" i="13"/>
  <c r="BR27" i="13"/>
  <c r="AB10" i="13"/>
  <c r="X15" i="13"/>
  <c r="AM3" i="13"/>
  <c r="AZ3" i="13"/>
  <c r="BJ27" i="13"/>
  <c r="AB8" i="13"/>
  <c r="AN5" i="13"/>
  <c r="Z17" i="13"/>
  <c r="AO5" i="13"/>
  <c r="BC29" i="13"/>
  <c r="AA27" i="13"/>
  <c r="Z27" i="13"/>
  <c r="W27" i="13"/>
  <c r="AA42" i="13"/>
  <c r="Z42" i="13"/>
  <c r="W42" i="13"/>
  <c r="BN33" i="13"/>
  <c r="BO33" i="13" s="1"/>
  <c r="AA50" i="13"/>
  <c r="Z50" i="13"/>
  <c r="W50" i="13"/>
  <c r="X51" i="13"/>
  <c r="AM4" i="13"/>
  <c r="AA51" i="13"/>
  <c r="Z51" i="13"/>
  <c r="AV28" i="13" s="1"/>
  <c r="W51" i="13"/>
  <c r="AA52" i="13"/>
  <c r="Z52" i="13"/>
  <c r="W52" i="13"/>
  <c r="AS5" i="13" s="1"/>
  <c r="BB3" i="13"/>
  <c r="BA4" i="13"/>
  <c r="AZ5" i="13"/>
  <c r="AY6" i="13"/>
  <c r="BC6" i="13"/>
  <c r="AA23" i="13"/>
  <c r="Y27" i="13"/>
  <c r="W28" i="13"/>
  <c r="AA28" i="13"/>
  <c r="AB30" i="13"/>
  <c r="Y31" i="13"/>
  <c r="W32" i="13"/>
  <c r="AA32" i="13"/>
  <c r="AB34" i="13"/>
  <c r="Y42" i="13"/>
  <c r="W43" i="13"/>
  <c r="AA43" i="13"/>
  <c r="Y46" i="13"/>
  <c r="W47" i="13"/>
  <c r="AA47" i="13"/>
  <c r="Y50" i="13"/>
  <c r="Y51" i="13"/>
  <c r="Y52" i="13"/>
  <c r="AA18" i="13"/>
  <c r="AW6" i="13" s="1"/>
  <c r="BN31" i="13"/>
  <c r="BO31" i="13" s="1"/>
  <c r="AB33" i="13"/>
  <c r="AB44" i="13"/>
  <c r="X47" i="13"/>
  <c r="BR33" i="13"/>
  <c r="BS33" i="13" s="1"/>
  <c r="BN30" i="13"/>
  <c r="BO30" i="13" s="1"/>
  <c r="AB29" i="13"/>
  <c r="X43" i="13"/>
  <c r="BC27" i="13"/>
  <c r="BE3" i="13"/>
  <c r="Y23" i="13"/>
  <c r="AI54" i="12"/>
  <c r="AH54" i="12"/>
  <c r="AG54" i="12"/>
  <c r="AF54" i="12"/>
  <c r="AE54" i="12"/>
  <c r="AI53" i="12"/>
  <c r="AH53" i="12"/>
  <c r="AG53" i="12"/>
  <c r="AF53" i="12"/>
  <c r="AE53" i="12"/>
  <c r="AI52" i="12"/>
  <c r="AH52" i="12"/>
  <c r="AG52" i="12"/>
  <c r="AF52" i="12"/>
  <c r="AE52" i="12"/>
  <c r="AI51" i="12"/>
  <c r="AH51" i="12"/>
  <c r="AG51" i="12"/>
  <c r="AF51" i="12"/>
  <c r="AE51" i="12"/>
  <c r="AI50" i="12"/>
  <c r="AH50" i="12"/>
  <c r="AG50" i="12"/>
  <c r="AF50" i="12"/>
  <c r="AE50" i="12"/>
  <c r="AI49" i="12"/>
  <c r="AH49" i="12"/>
  <c r="AG49" i="12"/>
  <c r="AF49" i="12"/>
  <c r="AE49" i="12"/>
  <c r="AI48" i="12"/>
  <c r="AH48" i="12"/>
  <c r="AG48" i="12"/>
  <c r="AF48" i="12"/>
  <c r="AE48" i="12"/>
  <c r="AI47" i="12"/>
  <c r="AH47" i="12"/>
  <c r="AG47" i="12"/>
  <c r="AF47" i="12"/>
  <c r="AE47" i="12"/>
  <c r="AI46" i="12"/>
  <c r="AH46" i="12"/>
  <c r="AG46" i="12"/>
  <c r="AF46" i="12"/>
  <c r="AE46" i="12"/>
  <c r="AI45" i="12"/>
  <c r="AH45" i="12"/>
  <c r="AG45" i="12"/>
  <c r="AF45" i="12"/>
  <c r="AE45" i="12"/>
  <c r="AI44" i="12"/>
  <c r="AH44" i="12"/>
  <c r="AG44" i="12"/>
  <c r="AF44" i="12"/>
  <c r="AE44" i="12"/>
  <c r="AI43" i="12"/>
  <c r="AH43" i="12"/>
  <c r="AG43" i="12"/>
  <c r="AF43" i="12"/>
  <c r="AE43" i="12"/>
  <c r="AI34" i="12"/>
  <c r="AH34" i="12"/>
  <c r="AG34" i="12"/>
  <c r="AF34" i="12"/>
  <c r="AE34" i="12"/>
  <c r="AI33" i="12"/>
  <c r="AH33" i="12"/>
  <c r="AG33" i="12"/>
  <c r="AF33" i="12"/>
  <c r="AE33" i="12"/>
  <c r="AI32" i="12"/>
  <c r="AH32" i="12"/>
  <c r="AG32" i="12"/>
  <c r="AF32" i="12"/>
  <c r="AE32" i="12"/>
  <c r="AI31" i="12"/>
  <c r="AH31" i="12"/>
  <c r="AG31" i="12"/>
  <c r="AF31" i="12"/>
  <c r="AE31" i="12"/>
  <c r="AI30" i="12"/>
  <c r="AH30" i="12"/>
  <c r="AG30" i="12"/>
  <c r="AF30" i="12"/>
  <c r="AE30" i="12"/>
  <c r="AI29" i="12"/>
  <c r="AH29" i="12"/>
  <c r="AG29" i="12"/>
  <c r="AF29" i="12"/>
  <c r="AE29" i="12"/>
  <c r="AI28" i="12"/>
  <c r="AH28" i="12"/>
  <c r="AG28" i="12"/>
  <c r="AF28" i="12"/>
  <c r="AE28" i="12"/>
  <c r="AI27" i="12"/>
  <c r="AH27" i="12"/>
  <c r="AG27" i="12"/>
  <c r="AF27" i="12"/>
  <c r="AE27" i="12"/>
  <c r="AI26" i="12"/>
  <c r="AH26" i="12"/>
  <c r="AG26" i="12"/>
  <c r="AF26" i="12"/>
  <c r="AE26" i="12"/>
  <c r="AI25" i="12"/>
  <c r="AH25" i="12"/>
  <c r="AG25" i="12"/>
  <c r="AF25" i="12"/>
  <c r="AE25" i="12"/>
  <c r="AI24" i="12"/>
  <c r="AH24" i="12"/>
  <c r="AG24" i="12"/>
  <c r="AF24" i="12"/>
  <c r="AE24" i="12"/>
  <c r="AI23" i="12"/>
  <c r="AH23" i="12"/>
  <c r="AG23" i="12"/>
  <c r="AF23" i="12"/>
  <c r="AE23" i="12"/>
  <c r="AI18" i="12"/>
  <c r="AH18" i="12"/>
  <c r="AG18" i="12"/>
  <c r="AF18" i="12"/>
  <c r="AE18" i="12"/>
  <c r="AI17" i="12"/>
  <c r="AH17" i="12"/>
  <c r="AG17" i="12"/>
  <c r="AF17" i="12"/>
  <c r="AE17" i="12"/>
  <c r="AI16" i="12"/>
  <c r="AH16" i="12"/>
  <c r="AG16" i="12"/>
  <c r="AF16" i="12"/>
  <c r="AE16" i="12"/>
  <c r="AI15" i="12"/>
  <c r="AH15" i="12"/>
  <c r="AG15" i="12"/>
  <c r="AF15" i="12"/>
  <c r="AE15" i="12"/>
  <c r="AI10" i="12"/>
  <c r="AH10" i="12"/>
  <c r="AG10" i="12"/>
  <c r="AF10" i="12"/>
  <c r="AE10" i="12"/>
  <c r="AI9" i="12"/>
  <c r="AH9" i="12"/>
  <c r="AG9" i="12"/>
  <c r="AF9" i="12"/>
  <c r="AE9" i="12"/>
  <c r="AI8" i="12"/>
  <c r="AH8" i="12"/>
  <c r="AG8" i="12"/>
  <c r="AF8" i="12"/>
  <c r="AE8" i="12"/>
  <c r="AI7" i="12"/>
  <c r="AH7" i="12"/>
  <c r="AG7" i="12"/>
  <c r="AF7" i="12"/>
  <c r="AE7" i="12"/>
  <c r="BA30" i="16" l="1"/>
  <c r="BB43" i="16" s="1"/>
  <c r="BJ36" i="15"/>
  <c r="AT28" i="14"/>
  <c r="AT12" i="14"/>
  <c r="BN32" i="14"/>
  <c r="BO32" i="14" s="1"/>
  <c r="AW13" i="14"/>
  <c r="AU6" i="14"/>
  <c r="BJ34" i="14"/>
  <c r="BK34" i="14" s="1"/>
  <c r="AW35" i="14"/>
  <c r="AW5" i="14"/>
  <c r="AS34" i="14"/>
  <c r="AS6" i="14"/>
  <c r="BN34" i="14"/>
  <c r="BO34" i="14" s="1"/>
  <c r="AT34" i="14"/>
  <c r="AB25" i="14"/>
  <c r="BR30" i="14"/>
  <c r="BS30" i="14" s="1"/>
  <c r="BR34" i="14"/>
  <c r="BS34" i="14" s="1"/>
  <c r="AS4" i="14"/>
  <c r="AS36" i="14"/>
  <c r="AV14" i="13"/>
  <c r="AT5" i="13"/>
  <c r="BR30" i="13"/>
  <c r="BS30" i="13" s="1"/>
  <c r="AZ41" i="16"/>
  <c r="BB41" i="16"/>
  <c r="BA27" i="15"/>
  <c r="BB40" i="15" s="1"/>
  <c r="BB43" i="15"/>
  <c r="BB45" i="15"/>
  <c r="BF37" i="15"/>
  <c r="BF36" i="15"/>
  <c r="BF34" i="14"/>
  <c r="BG34" i="14" s="1"/>
  <c r="BN28" i="14"/>
  <c r="BO28" i="14" s="1"/>
  <c r="BF32" i="14"/>
  <c r="BG32" i="14" s="1"/>
  <c r="BR32" i="13"/>
  <c r="BS32" i="13" s="1"/>
  <c r="AZ36" i="15"/>
  <c r="BA57" i="16"/>
  <c r="AZ57" i="15"/>
  <c r="BJ36" i="16"/>
  <c r="AZ57" i="16"/>
  <c r="AZ46" i="16"/>
  <c r="BA33" i="16"/>
  <c r="BB46" i="16" s="1"/>
  <c r="AZ37" i="16"/>
  <c r="AZ36" i="16"/>
  <c r="BA27" i="16"/>
  <c r="BB40" i="16" s="1"/>
  <c r="AZ40" i="16"/>
  <c r="BJ37" i="16"/>
  <c r="BA56" i="16"/>
  <c r="AZ56" i="16"/>
  <c r="BF36" i="16"/>
  <c r="BF37" i="16"/>
  <c r="BG27" i="16"/>
  <c r="AZ44" i="16"/>
  <c r="BA31" i="16"/>
  <c r="BB44" i="16" s="1"/>
  <c r="AZ37" i="15"/>
  <c r="BR37" i="15"/>
  <c r="AZ59" i="15"/>
  <c r="BN37" i="15"/>
  <c r="BN36" i="15"/>
  <c r="BO27" i="15"/>
  <c r="BA58" i="15"/>
  <c r="AZ58" i="15"/>
  <c r="BA31" i="15"/>
  <c r="BB44" i="15" s="1"/>
  <c r="AZ44" i="15"/>
  <c r="AZ46" i="15"/>
  <c r="BA33" i="15"/>
  <c r="BB46" i="15" s="1"/>
  <c r="BA29" i="15"/>
  <c r="BB42" i="15" s="1"/>
  <c r="AZ42" i="15"/>
  <c r="BR36" i="15"/>
  <c r="AB44" i="14"/>
  <c r="AV27" i="14"/>
  <c r="AT30" i="13"/>
  <c r="AT6" i="13"/>
  <c r="AW5" i="13"/>
  <c r="AT14" i="13"/>
  <c r="AB25" i="13"/>
  <c r="AT36" i="13"/>
  <c r="AB26" i="13"/>
  <c r="AT13" i="13"/>
  <c r="AT35" i="13"/>
  <c r="BN28" i="13"/>
  <c r="BO28" i="13" s="1"/>
  <c r="AT29" i="13"/>
  <c r="AU14" i="13"/>
  <c r="AB8" i="14"/>
  <c r="AZ27" i="14"/>
  <c r="AZ40" i="14" s="1"/>
  <c r="AU30" i="13"/>
  <c r="AU6" i="13"/>
  <c r="BR34" i="13"/>
  <c r="BS34" i="13" s="1"/>
  <c r="AB9" i="13"/>
  <c r="AB23" i="13"/>
  <c r="AU5" i="13"/>
  <c r="AB15" i="13"/>
  <c r="AW12" i="14"/>
  <c r="AT36" i="14"/>
  <c r="BN27" i="14"/>
  <c r="AV33" i="14"/>
  <c r="AW34" i="14"/>
  <c r="BF31" i="14"/>
  <c r="BG31" i="14" s="1"/>
  <c r="AW11" i="14"/>
  <c r="AW3" i="14"/>
  <c r="AV3" i="14"/>
  <c r="AB50" i="14"/>
  <c r="AZ33" i="14"/>
  <c r="BA33" i="14" s="1"/>
  <c r="AV34" i="13"/>
  <c r="AW29" i="13"/>
  <c r="AT12" i="13"/>
  <c r="AW35" i="13"/>
  <c r="AS29" i="13"/>
  <c r="AB53" i="14"/>
  <c r="AZ34" i="14"/>
  <c r="AZ47" i="14" s="1"/>
  <c r="AV5" i="14"/>
  <c r="AV29" i="14"/>
  <c r="BJ33" i="14"/>
  <c r="BK33" i="14" s="1"/>
  <c r="AT34" i="13"/>
  <c r="BJ32" i="14"/>
  <c r="BK32" i="14" s="1"/>
  <c r="AV12" i="14"/>
  <c r="AZ32" i="14"/>
  <c r="AZ45" i="14" s="1"/>
  <c r="AU12" i="13"/>
  <c r="AU4" i="13"/>
  <c r="AW27" i="14"/>
  <c r="AW33" i="14"/>
  <c r="BJ31" i="14"/>
  <c r="BK31" i="14" s="1"/>
  <c r="AU12" i="14"/>
  <c r="AS34" i="13"/>
  <c r="AW12" i="13"/>
  <c r="AW28" i="13"/>
  <c r="AV33" i="13"/>
  <c r="AV35" i="14"/>
  <c r="AB17" i="14"/>
  <c r="AB16" i="14"/>
  <c r="BJ28" i="14"/>
  <c r="BK28" i="14" s="1"/>
  <c r="AS30" i="13"/>
  <c r="AS6" i="13"/>
  <c r="AV3" i="13"/>
  <c r="AW36" i="13"/>
  <c r="AT33" i="13"/>
  <c r="BF28" i="13"/>
  <c r="BG28" i="13" s="1"/>
  <c r="AV13" i="14"/>
  <c r="BA27" i="14"/>
  <c r="AZ30" i="14"/>
  <c r="AU28" i="14"/>
  <c r="AV28" i="14"/>
  <c r="AU3" i="14"/>
  <c r="BJ30" i="14"/>
  <c r="BK30" i="14" s="1"/>
  <c r="AZ29" i="14"/>
  <c r="BF29" i="14"/>
  <c r="BG29" i="14" s="1"/>
  <c r="AB23" i="14"/>
  <c r="AZ56" i="14" s="1"/>
  <c r="AZ28" i="14"/>
  <c r="AS3" i="14"/>
  <c r="AU34" i="14"/>
  <c r="AV34" i="14"/>
  <c r="BS27" i="14"/>
  <c r="AU11" i="14"/>
  <c r="BK27" i="14"/>
  <c r="AZ31" i="14"/>
  <c r="AU4" i="14"/>
  <c r="AV4" i="14"/>
  <c r="BA59" i="14"/>
  <c r="AZ59" i="14"/>
  <c r="AU27" i="14"/>
  <c r="BA56" i="14"/>
  <c r="BG27" i="14"/>
  <c r="AB28" i="14"/>
  <c r="AU35" i="14"/>
  <c r="AU13" i="14"/>
  <c r="AU29" i="14"/>
  <c r="AU5" i="14"/>
  <c r="AS33" i="14"/>
  <c r="AB9" i="14"/>
  <c r="AS28" i="13"/>
  <c r="BK27" i="13"/>
  <c r="AS13" i="13"/>
  <c r="BF29" i="13"/>
  <c r="BG29" i="13" s="1"/>
  <c r="AU29" i="13"/>
  <c r="AT11" i="13"/>
  <c r="AW4" i="13"/>
  <c r="AV4" i="13"/>
  <c r="AT4" i="13"/>
  <c r="AW33" i="13"/>
  <c r="AW27" i="13"/>
  <c r="AW11" i="13"/>
  <c r="AW3" i="13"/>
  <c r="AT3" i="13"/>
  <c r="AW30" i="13"/>
  <c r="AU35" i="13"/>
  <c r="AB18" i="13"/>
  <c r="BA59" i="13" s="1"/>
  <c r="BF31" i="13"/>
  <c r="BG31" i="13" s="1"/>
  <c r="AB31" i="13"/>
  <c r="AZ31" i="13"/>
  <c r="AS35" i="13"/>
  <c r="AU28" i="13"/>
  <c r="AZ29" i="13"/>
  <c r="BJ28" i="13"/>
  <c r="BK28" i="13" s="1"/>
  <c r="AB16" i="13"/>
  <c r="AV13" i="13"/>
  <c r="AV11" i="13"/>
  <c r="AB43" i="13"/>
  <c r="BJ32" i="13"/>
  <c r="BK32" i="13" s="1"/>
  <c r="AU13" i="13"/>
  <c r="AV35" i="13"/>
  <c r="AW34" i="13"/>
  <c r="BJ34" i="13"/>
  <c r="BK34" i="13" s="1"/>
  <c r="AB51" i="13"/>
  <c r="BF30" i="13"/>
  <c r="BG30" i="13" s="1"/>
  <c r="AB27" i="13"/>
  <c r="AZ30" i="13"/>
  <c r="BS27" i="13"/>
  <c r="AV12" i="13"/>
  <c r="AT28" i="13"/>
  <c r="AS11" i="13"/>
  <c r="AB7" i="13"/>
  <c r="AS33" i="13"/>
  <c r="BF27" i="13"/>
  <c r="AS27" i="13"/>
  <c r="AS3" i="13"/>
  <c r="AZ27" i="13"/>
  <c r="BR28" i="13"/>
  <c r="BS28" i="13" s="1"/>
  <c r="AB46" i="13"/>
  <c r="BF33" i="13"/>
  <c r="BG33" i="13" s="1"/>
  <c r="AZ33" i="13"/>
  <c r="AW13" i="13"/>
  <c r="AU34" i="13"/>
  <c r="AV29" i="13"/>
  <c r="AV27" i="13"/>
  <c r="AB47" i="13"/>
  <c r="BJ33" i="13"/>
  <c r="BK33" i="13" s="1"/>
  <c r="AB32" i="13"/>
  <c r="BJ31" i="13"/>
  <c r="BK31" i="13" s="1"/>
  <c r="AB28" i="13"/>
  <c r="BJ30" i="13"/>
  <c r="BK30" i="13" s="1"/>
  <c r="AZ28" i="13"/>
  <c r="AB52" i="13"/>
  <c r="BN34" i="13"/>
  <c r="BO34" i="13" s="1"/>
  <c r="AZ34" i="13"/>
  <c r="AB50" i="13"/>
  <c r="BF34" i="13"/>
  <c r="BG34" i="13" s="1"/>
  <c r="BF32" i="13"/>
  <c r="BG32" i="13" s="1"/>
  <c r="AB42" i="13"/>
  <c r="AZ32" i="13"/>
  <c r="AS4" i="13"/>
  <c r="AS12" i="13"/>
  <c r="AT27" i="13"/>
  <c r="AW14" i="13"/>
  <c r="AB17" i="13"/>
  <c r="BN37" i="13"/>
  <c r="BO27" i="13"/>
  <c r="AU33" i="13"/>
  <c r="AU27" i="13"/>
  <c r="AU11" i="13"/>
  <c r="AU3" i="13"/>
  <c r="AV5" i="13"/>
  <c r="U54" i="12"/>
  <c r="S54" i="12"/>
  <c r="AA54" i="12" s="1"/>
  <c r="R54" i="12"/>
  <c r="Z54" i="12" s="1"/>
  <c r="Q54" i="12"/>
  <c r="Y54" i="12" s="1"/>
  <c r="P54" i="12"/>
  <c r="X54" i="12" s="1"/>
  <c r="O54" i="12"/>
  <c r="W54" i="12" s="1"/>
  <c r="U53" i="12"/>
  <c r="S53" i="12"/>
  <c r="R53" i="12"/>
  <c r="Q53" i="12"/>
  <c r="P53" i="12"/>
  <c r="O53" i="12"/>
  <c r="U52" i="12"/>
  <c r="S52" i="12"/>
  <c r="AA52" i="12" s="1"/>
  <c r="R52" i="12"/>
  <c r="Q52" i="12"/>
  <c r="P52" i="12"/>
  <c r="X52" i="12" s="1"/>
  <c r="O52" i="12"/>
  <c r="W52" i="12" s="1"/>
  <c r="U51" i="12"/>
  <c r="S51" i="12"/>
  <c r="AA51" i="12" s="1"/>
  <c r="R51" i="12"/>
  <c r="Q51" i="12"/>
  <c r="Y51" i="12" s="1"/>
  <c r="P51" i="12"/>
  <c r="X51" i="12" s="1"/>
  <c r="O51" i="12"/>
  <c r="W51" i="12" s="1"/>
  <c r="U50" i="12"/>
  <c r="S50" i="12"/>
  <c r="R50" i="12"/>
  <c r="Q50" i="12"/>
  <c r="P50" i="12"/>
  <c r="O50" i="12"/>
  <c r="U49" i="12"/>
  <c r="S49" i="12"/>
  <c r="R49" i="12"/>
  <c r="Q49" i="12"/>
  <c r="P49" i="12"/>
  <c r="X49" i="12" s="1"/>
  <c r="O49" i="12"/>
  <c r="U48" i="12"/>
  <c r="S48" i="12"/>
  <c r="AA48" i="12" s="1"/>
  <c r="R48" i="12"/>
  <c r="Q48" i="12"/>
  <c r="P48" i="12"/>
  <c r="X48" i="12" s="1"/>
  <c r="O48" i="12"/>
  <c r="W48" i="12" s="1"/>
  <c r="U47" i="12"/>
  <c r="S47" i="12"/>
  <c r="R47" i="12"/>
  <c r="Q47" i="12"/>
  <c r="Y47" i="12" s="1"/>
  <c r="P47" i="12"/>
  <c r="X47" i="12" s="1"/>
  <c r="O47" i="12"/>
  <c r="W47" i="12" s="1"/>
  <c r="U46" i="12"/>
  <c r="S46" i="12"/>
  <c r="AA46" i="12" s="1"/>
  <c r="R46" i="12"/>
  <c r="Q46" i="12"/>
  <c r="Y46" i="12" s="1"/>
  <c r="P46" i="12"/>
  <c r="X46" i="12" s="1"/>
  <c r="O46" i="12"/>
  <c r="W46" i="12" s="1"/>
  <c r="U45" i="12"/>
  <c r="S45" i="12"/>
  <c r="R45" i="12"/>
  <c r="Q45" i="12"/>
  <c r="P45" i="12"/>
  <c r="O45" i="12"/>
  <c r="U44" i="12"/>
  <c r="S44" i="12"/>
  <c r="AA44" i="12" s="1"/>
  <c r="R44" i="12"/>
  <c r="Q44" i="12"/>
  <c r="P44" i="12"/>
  <c r="X44" i="12" s="1"/>
  <c r="O44" i="12"/>
  <c r="W44" i="12" s="1"/>
  <c r="U43" i="12"/>
  <c r="S43" i="12"/>
  <c r="AA43" i="12" s="1"/>
  <c r="R43" i="12"/>
  <c r="Q43" i="12"/>
  <c r="Y43" i="12" s="1"/>
  <c r="P43" i="12"/>
  <c r="X43" i="12" s="1"/>
  <c r="O43" i="12"/>
  <c r="W43" i="12" s="1"/>
  <c r="U34" i="12"/>
  <c r="S34" i="12"/>
  <c r="R34" i="12"/>
  <c r="Q34" i="12"/>
  <c r="P34" i="12"/>
  <c r="O34" i="12"/>
  <c r="U33" i="12"/>
  <c r="S33" i="12"/>
  <c r="R33" i="12"/>
  <c r="Q33" i="12"/>
  <c r="P33" i="12"/>
  <c r="X33" i="12" s="1"/>
  <c r="O33" i="12"/>
  <c r="U32" i="12"/>
  <c r="S32" i="12"/>
  <c r="AA32" i="12" s="1"/>
  <c r="R32" i="12"/>
  <c r="Q32" i="12"/>
  <c r="P32" i="12"/>
  <c r="X32" i="12" s="1"/>
  <c r="O32" i="12"/>
  <c r="W32" i="12" s="1"/>
  <c r="U31" i="12"/>
  <c r="S31" i="12"/>
  <c r="R31" i="12"/>
  <c r="Q31" i="12"/>
  <c r="Y31" i="12" s="1"/>
  <c r="P31" i="12"/>
  <c r="X31" i="12" s="1"/>
  <c r="O31" i="12"/>
  <c r="W31" i="12" s="1"/>
  <c r="U30" i="12"/>
  <c r="S30" i="12"/>
  <c r="AA30" i="12" s="1"/>
  <c r="R30" i="12"/>
  <c r="Q30" i="12"/>
  <c r="Y30" i="12" s="1"/>
  <c r="P30" i="12"/>
  <c r="X30" i="12" s="1"/>
  <c r="O30" i="12"/>
  <c r="W30" i="12" s="1"/>
  <c r="U29" i="12"/>
  <c r="S29" i="12"/>
  <c r="R29" i="12"/>
  <c r="Q29" i="12"/>
  <c r="P29" i="12"/>
  <c r="O29" i="12"/>
  <c r="U28" i="12"/>
  <c r="S28" i="12"/>
  <c r="AA28" i="12" s="1"/>
  <c r="R28" i="12"/>
  <c r="Q28" i="12"/>
  <c r="P28" i="12"/>
  <c r="X28" i="12" s="1"/>
  <c r="O28" i="12"/>
  <c r="W28" i="12" s="1"/>
  <c r="U27" i="12"/>
  <c r="S27" i="12"/>
  <c r="AA27" i="12" s="1"/>
  <c r="R27" i="12"/>
  <c r="Q27" i="12"/>
  <c r="Y27" i="12" s="1"/>
  <c r="P27" i="12"/>
  <c r="X27" i="12" s="1"/>
  <c r="O27" i="12"/>
  <c r="W27" i="12" s="1"/>
  <c r="U26" i="12"/>
  <c r="S26" i="12"/>
  <c r="R26" i="12"/>
  <c r="Q26" i="12"/>
  <c r="P26" i="12"/>
  <c r="O26" i="12"/>
  <c r="U25" i="12"/>
  <c r="S25" i="12"/>
  <c r="R25" i="12"/>
  <c r="Q25" i="12"/>
  <c r="P25" i="12"/>
  <c r="X25" i="12" s="1"/>
  <c r="O25" i="12"/>
  <c r="U24" i="12"/>
  <c r="S24" i="12"/>
  <c r="R24" i="12"/>
  <c r="Q24" i="12"/>
  <c r="P24" i="12"/>
  <c r="O24" i="12"/>
  <c r="U23" i="12"/>
  <c r="S23" i="12"/>
  <c r="R23" i="12"/>
  <c r="Q23" i="12"/>
  <c r="Y23" i="12" s="1"/>
  <c r="P23" i="12"/>
  <c r="X23" i="12" s="1"/>
  <c r="O23" i="12"/>
  <c r="W23" i="12" s="1"/>
  <c r="U18" i="12"/>
  <c r="S18" i="12"/>
  <c r="AA18" i="12" s="1"/>
  <c r="R18" i="12"/>
  <c r="Q18" i="12"/>
  <c r="Y18" i="12" s="1"/>
  <c r="P18" i="12"/>
  <c r="X18" i="12" s="1"/>
  <c r="O18" i="12"/>
  <c r="W18" i="12" s="1"/>
  <c r="U17" i="12"/>
  <c r="S17" i="12"/>
  <c r="R17" i="12"/>
  <c r="Q17" i="12"/>
  <c r="P17" i="12"/>
  <c r="O17" i="12"/>
  <c r="U16" i="12"/>
  <c r="S16" i="12"/>
  <c r="AA16" i="12" s="1"/>
  <c r="R16" i="12"/>
  <c r="Q16" i="12"/>
  <c r="Y16" i="12" s="1"/>
  <c r="P16" i="12"/>
  <c r="X16" i="12" s="1"/>
  <c r="O16" i="12"/>
  <c r="W16" i="12" s="1"/>
  <c r="U15" i="12"/>
  <c r="S15" i="12"/>
  <c r="AA15" i="12" s="1"/>
  <c r="R15" i="12"/>
  <c r="Q15" i="12"/>
  <c r="Y15" i="12" s="1"/>
  <c r="P15" i="12"/>
  <c r="X15" i="12" s="1"/>
  <c r="O15" i="12"/>
  <c r="W15" i="12" s="1"/>
  <c r="U10" i="12"/>
  <c r="S10" i="12"/>
  <c r="R10" i="12"/>
  <c r="Q10" i="12"/>
  <c r="P10" i="12"/>
  <c r="O10" i="12"/>
  <c r="U9" i="12"/>
  <c r="S9" i="12"/>
  <c r="R9" i="12"/>
  <c r="Q9" i="12"/>
  <c r="P9" i="12"/>
  <c r="X9" i="12" s="1"/>
  <c r="O9" i="12"/>
  <c r="U8" i="12"/>
  <c r="S8" i="12"/>
  <c r="AA8" i="12" s="1"/>
  <c r="R8" i="12"/>
  <c r="Q8" i="12"/>
  <c r="P8" i="12"/>
  <c r="X8" i="12" s="1"/>
  <c r="O8" i="12"/>
  <c r="W8" i="12" s="1"/>
  <c r="U7" i="12"/>
  <c r="S7" i="12"/>
  <c r="R7" i="12"/>
  <c r="Q7" i="12"/>
  <c r="P7" i="12"/>
  <c r="X7" i="12" s="1"/>
  <c r="O7" i="12"/>
  <c r="BN37" i="14" l="1"/>
  <c r="BR36" i="14"/>
  <c r="BR37" i="14"/>
  <c r="AA10" i="12"/>
  <c r="AA50" i="12"/>
  <c r="W50" i="12"/>
  <c r="W34" i="12"/>
  <c r="Z7" i="12"/>
  <c r="X26" i="12"/>
  <c r="X34" i="12"/>
  <c r="X50" i="12"/>
  <c r="W10" i="12"/>
  <c r="W26" i="12"/>
  <c r="X10" i="12"/>
  <c r="Y10" i="12"/>
  <c r="AA23" i="12"/>
  <c r="Y26" i="12"/>
  <c r="AA31" i="12"/>
  <c r="Y34" i="12"/>
  <c r="AA47" i="12"/>
  <c r="X17" i="12"/>
  <c r="Z26" i="12"/>
  <c r="X29" i="12"/>
  <c r="X45" i="12"/>
  <c r="X53" i="12"/>
  <c r="AZ46" i="14"/>
  <c r="AZ52" i="15"/>
  <c r="AZ53" i="15"/>
  <c r="AZ50" i="15"/>
  <c r="AZ53" i="16"/>
  <c r="AZ52" i="16"/>
  <c r="AZ51" i="16"/>
  <c r="AZ50" i="16"/>
  <c r="AZ51" i="15"/>
  <c r="BA32" i="14"/>
  <c r="BF36" i="14"/>
  <c r="BF37" i="14"/>
  <c r="AZ57" i="14"/>
  <c r="BO27" i="14"/>
  <c r="BN36" i="14"/>
  <c r="BA58" i="13"/>
  <c r="BA34" i="14"/>
  <c r="BN36" i="13"/>
  <c r="BJ37" i="14"/>
  <c r="BJ36" i="14"/>
  <c r="BA57" i="13"/>
  <c r="AZ57" i="13"/>
  <c r="BR37" i="13"/>
  <c r="BA58" i="14"/>
  <c r="AZ58" i="14"/>
  <c r="BA28" i="14"/>
  <c r="AZ41" i="14"/>
  <c r="BA57" i="14"/>
  <c r="AZ37" i="14"/>
  <c r="BA31" i="14"/>
  <c r="AZ44" i="14"/>
  <c r="AZ43" i="14"/>
  <c r="BA30" i="14"/>
  <c r="AZ42" i="14"/>
  <c r="BA29" i="14"/>
  <c r="AZ36" i="14"/>
  <c r="BA28" i="13"/>
  <c r="AZ41" i="13"/>
  <c r="AZ44" i="13"/>
  <c r="BA31" i="13"/>
  <c r="BA34" i="13"/>
  <c r="AZ47" i="13"/>
  <c r="BA30" i="13"/>
  <c r="AZ43" i="13"/>
  <c r="AZ58" i="13"/>
  <c r="AZ42" i="13"/>
  <c r="BA29" i="13"/>
  <c r="BJ37" i="13"/>
  <c r="BA56" i="13"/>
  <c r="AZ56" i="13"/>
  <c r="BJ36" i="13"/>
  <c r="BF36" i="13"/>
  <c r="BF37" i="13"/>
  <c r="BG27" i="13"/>
  <c r="BR36" i="13"/>
  <c r="AZ59" i="13"/>
  <c r="AZ45" i="13"/>
  <c r="BA32" i="13"/>
  <c r="AZ46" i="13"/>
  <c r="BA33" i="13"/>
  <c r="AZ36" i="13"/>
  <c r="BA27" i="13"/>
  <c r="AZ37" i="13"/>
  <c r="AZ40" i="13"/>
  <c r="Y9" i="12"/>
  <c r="Y17" i="12"/>
  <c r="Y29" i="12"/>
  <c r="Y49" i="12"/>
  <c r="Y53" i="12"/>
  <c r="Y8" i="12"/>
  <c r="Z25" i="12"/>
  <c r="AA26" i="12"/>
  <c r="AB26" i="12" s="1"/>
  <c r="Y28" i="12"/>
  <c r="Y32" i="12"/>
  <c r="Y44" i="12"/>
  <c r="Y48" i="12"/>
  <c r="Z49" i="12"/>
  <c r="Y52" i="12"/>
  <c r="Y25" i="12"/>
  <c r="Y33" i="12"/>
  <c r="Y45" i="12"/>
  <c r="W9" i="12"/>
  <c r="AA9" i="12"/>
  <c r="W17" i="12"/>
  <c r="AA17" i="12"/>
  <c r="Z24" i="12"/>
  <c r="W29" i="12"/>
  <c r="AA29" i="12"/>
  <c r="W33" i="12"/>
  <c r="AA33" i="12"/>
  <c r="W45" i="12"/>
  <c r="AA45" i="12"/>
  <c r="Z48" i="12"/>
  <c r="W49" i="12"/>
  <c r="AA49" i="12"/>
  <c r="Z52" i="12"/>
  <c r="W53" i="12"/>
  <c r="AA53" i="12"/>
  <c r="AB54" i="12"/>
  <c r="Z27" i="12"/>
  <c r="AB27" i="12" s="1"/>
  <c r="Z31" i="12"/>
  <c r="Z53" i="12"/>
  <c r="Z51" i="12"/>
  <c r="AB51" i="12" s="1"/>
  <c r="Y50" i="12"/>
  <c r="Z47" i="12"/>
  <c r="AB47" i="12" s="1"/>
  <c r="Z43" i="12"/>
  <c r="Z46" i="12"/>
  <c r="AB46" i="12" s="1"/>
  <c r="Z45" i="12"/>
  <c r="Z44" i="12"/>
  <c r="AA34" i="12"/>
  <c r="Z34" i="12"/>
  <c r="Z33" i="12"/>
  <c r="Z32" i="12"/>
  <c r="Z30" i="12"/>
  <c r="AB30" i="12" s="1"/>
  <c r="Z29" i="12"/>
  <c r="Z28" i="12"/>
  <c r="Y24" i="12"/>
  <c r="Z23" i="12"/>
  <c r="AB23" i="12" s="1"/>
  <c r="Z16" i="12"/>
  <c r="AB16" i="12" s="1"/>
  <c r="Z18" i="12"/>
  <c r="AB18" i="12" s="1"/>
  <c r="Z17" i="12"/>
  <c r="Z15" i="12"/>
  <c r="AB15" i="12" s="1"/>
  <c r="Z10" i="12"/>
  <c r="Z9" i="12"/>
  <c r="Z8" i="12"/>
  <c r="W7" i="12"/>
  <c r="AA7" i="12"/>
  <c r="X24" i="12"/>
  <c r="W25" i="12"/>
  <c r="AA25" i="12"/>
  <c r="Y7" i="12"/>
  <c r="W24" i="12"/>
  <c r="AA24" i="12"/>
  <c r="Z50" i="12"/>
  <c r="AB31" i="12" l="1"/>
  <c r="AB8" i="12"/>
  <c r="AB10" i="12"/>
  <c r="AB28" i="12"/>
  <c r="AB17" i="12"/>
  <c r="AB52" i="12"/>
  <c r="AB32" i="12"/>
  <c r="AZ53" i="14"/>
  <c r="AZ50" i="14"/>
  <c r="AZ51" i="14"/>
  <c r="AZ52" i="14"/>
  <c r="AZ52" i="13"/>
  <c r="AZ51" i="13"/>
  <c r="AZ53" i="13"/>
  <c r="AZ50" i="13"/>
  <c r="AB9" i="12"/>
  <c r="AB43" i="12"/>
  <c r="AB33" i="12"/>
  <c r="AB48" i="12"/>
  <c r="AB49" i="12"/>
  <c r="AB53" i="12"/>
  <c r="AB45" i="12"/>
  <c r="AB44" i="12"/>
  <c r="AB34" i="12"/>
  <c r="AB7" i="12"/>
  <c r="AB29" i="12"/>
  <c r="AB25" i="12"/>
  <c r="AB24" i="12"/>
  <c r="AB50" i="12"/>
</calcChain>
</file>

<file path=xl/sharedStrings.xml><?xml version="1.0" encoding="utf-8"?>
<sst xmlns="http://schemas.openxmlformats.org/spreadsheetml/2006/main" count="4030" uniqueCount="93">
  <si>
    <t>SBP_7feats.svl</t>
  </si>
  <si>
    <t>Hits</t>
  </si>
  <si>
    <t>Actives</t>
  </si>
  <si>
    <t>Active Rate</t>
  </si>
  <si>
    <t>DB Active</t>
  </si>
  <si>
    <t>Enrichment</t>
  </si>
  <si>
    <t>GH</t>
  </si>
  <si>
    <t>avg active rate</t>
  </si>
  <si>
    <t>avg enrichment</t>
  </si>
  <si>
    <t>avg. GH</t>
  </si>
  <si>
    <t>max GH</t>
  </si>
  <si>
    <t>3 Features</t>
  </si>
  <si>
    <t>4 Features</t>
  </si>
  <si>
    <t>5 Features</t>
  </si>
  <si>
    <t>6 Features</t>
  </si>
  <si>
    <t>7 Features</t>
  </si>
  <si>
    <t>3 Feats.</t>
  </si>
  <si>
    <t>4 Feats.</t>
  </si>
  <si>
    <t>5 Feats.</t>
  </si>
  <si>
    <t>6 Feats.</t>
  </si>
  <si>
    <t>7 Feats.</t>
  </si>
  <si>
    <t>3 feats</t>
  </si>
  <si>
    <t>4 feats</t>
  </si>
  <si>
    <t>5 feats</t>
  </si>
  <si>
    <t>6 feats</t>
  </si>
  <si>
    <t>7 feats</t>
  </si>
  <si>
    <t>5HT2B</t>
  </si>
  <si>
    <t>dE(class)</t>
  </si>
  <si>
    <t>dE</t>
  </si>
  <si>
    <t>dU(class)</t>
  </si>
  <si>
    <t>dU</t>
  </si>
  <si>
    <t>A2A</t>
  </si>
  <si>
    <t>Beta 2</t>
  </si>
  <si>
    <t>H1</t>
  </si>
  <si>
    <t>M1</t>
  </si>
  <si>
    <t>OPRD</t>
  </si>
  <si>
    <t>Enrichments &gt; 1</t>
  </si>
  <si>
    <t>OPRK</t>
  </si>
  <si>
    <t>OPRM</t>
  </si>
  <si>
    <t>Enrichments &gt; 2</t>
  </si>
  <si>
    <t>Max. Enrichments</t>
  </si>
  <si>
    <t>Best Enrichment</t>
  </si>
  <si>
    <t>&gt; 1.5</t>
  </si>
  <si>
    <t xml:space="preserve">&gt; 2  </t>
  </si>
  <si>
    <t>Best GH</t>
  </si>
  <si>
    <t>Best EF Score Type</t>
  </si>
  <si>
    <t>Score</t>
  </si>
  <si>
    <t>Freq.</t>
  </si>
  <si>
    <t>Corr. GH</t>
  </si>
  <si>
    <t>EF &gt;1.5</t>
  </si>
  <si>
    <t>EF&gt;2</t>
  </si>
  <si>
    <t>Max</t>
  </si>
  <si>
    <t>Copy</t>
  </si>
  <si>
    <t>5HT1B</t>
  </si>
  <si>
    <t>5HT2C</t>
  </si>
  <si>
    <t>A2C</t>
  </si>
  <si>
    <t>M2</t>
  </si>
  <si>
    <t>M4</t>
  </si>
  <si>
    <t>Beta 3</t>
  </si>
  <si>
    <t>Beta 4</t>
  </si>
  <si>
    <t>Beta 5</t>
  </si>
  <si>
    <t>Score Type</t>
  </si>
  <si>
    <t>Receptor</t>
  </si>
  <si>
    <t>max_feat</t>
  </si>
  <si>
    <t>avg_feat</t>
  </si>
  <si>
    <t>max_centr</t>
  </si>
  <si>
    <t>min_centr</t>
  </si>
  <si>
    <t>avg_centr</t>
  </si>
  <si>
    <t>hyd</t>
  </si>
  <si>
    <t>don</t>
  </si>
  <si>
    <t>acc</t>
  </si>
  <si>
    <t>donhyd</t>
  </si>
  <si>
    <t>catdon</t>
  </si>
  <si>
    <t>hydaro</t>
  </si>
  <si>
    <t>aniacc</t>
  </si>
  <si>
    <t>donacc</t>
  </si>
  <si>
    <t>features</t>
  </si>
  <si>
    <t>all_same</t>
  </si>
  <si>
    <t>hyd_prop</t>
  </si>
  <si>
    <t>don_prop</t>
  </si>
  <si>
    <t>acc_prop</t>
  </si>
  <si>
    <t>donhyd_prop</t>
  </si>
  <si>
    <t>catdon_prop</t>
  </si>
  <si>
    <t>hydaro_prop</t>
  </si>
  <si>
    <t>aniacc_prop</t>
  </si>
  <si>
    <t>donacc_prop</t>
  </si>
  <si>
    <t>quality</t>
  </si>
  <si>
    <t>search_features</t>
  </si>
  <si>
    <t>min_feat</t>
  </si>
  <si>
    <t>Max EF Hits</t>
  </si>
  <si>
    <t>max EF feats</t>
  </si>
  <si>
    <t>best enrichment</t>
  </si>
  <si>
    <t>corr. 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</si>
</sst>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0" fillId="0" borderId="1" xfId="0" applyBorder="1"/>
    <xf numFmtId="164" fontId="0" fillId="0" borderId="0" xfId="2" applyNumberFormat="1" applyFont="1"/>
    <xf numFmtId="43" fontId="0" fillId="0" borderId="0" xfId="1" applyFont="1"/>
    <xf numFmtId="43" fontId="0" fillId="0" borderId="0" xfId="0" applyNumberFormat="1"/>
    <xf numFmtId="2" fontId="0" fillId="0" borderId="0" xfId="0" applyNumberFormat="1"/>
    <xf numFmtId="164" fontId="0" fillId="0" borderId="2" xfId="2" applyNumberFormat="1" applyFont="1" applyBorder="1"/>
    <xf numFmtId="43" fontId="0" fillId="0" borderId="2" xfId="0" applyNumberFormat="1" applyBorder="1"/>
    <xf numFmtId="2" fontId="0" fillId="0" borderId="2" xfId="0" applyNumberFormat="1" applyBorder="1"/>
    <xf numFmtId="164" fontId="0" fillId="0" borderId="1" xfId="2" applyNumberFormat="1" applyFont="1" applyBorder="1"/>
    <xf numFmtId="43" fontId="0" fillId="0" borderId="1" xfId="1" applyFont="1" applyBorder="1"/>
    <xf numFmtId="164" fontId="0" fillId="0" borderId="3" xfId="2" applyNumberFormat="1" applyFont="1" applyBorder="1"/>
    <xf numFmtId="43" fontId="0" fillId="0" borderId="3" xfId="0" applyNumberFormat="1" applyBorder="1"/>
    <xf numFmtId="43" fontId="0" fillId="0" borderId="1" xfId="0" applyNumberFormat="1" applyBorder="1"/>
    <xf numFmtId="2" fontId="0" fillId="0" borderId="1" xfId="0" applyNumberFormat="1" applyBorder="1"/>
    <xf numFmtId="2" fontId="0" fillId="0" borderId="3" xfId="0" applyNumberFormat="1" applyBorder="1"/>
    <xf numFmtId="165" fontId="0" fillId="0" borderId="1" xfId="0" applyNumberFormat="1" applyBorder="1"/>
    <xf numFmtId="0" fontId="0" fillId="0" borderId="4" xfId="0" applyBorder="1"/>
    <xf numFmtId="43" fontId="0" fillId="0" borderId="5" xfId="0" applyNumberFormat="1" applyBorder="1"/>
    <xf numFmtId="0" fontId="0" fillId="0" borderId="6" xfId="0" applyBorder="1"/>
    <xf numFmtId="43" fontId="0" fillId="0" borderId="7" xfId="0" applyNumberFormat="1" applyBorder="1"/>
    <xf numFmtId="0" fontId="0" fillId="0" borderId="8" xfId="0" applyBorder="1"/>
    <xf numFmtId="43" fontId="0" fillId="0" borderId="9" xfId="0" applyNumberFormat="1" applyBorder="1"/>
    <xf numFmtId="0" fontId="0" fillId="0" borderId="7" xfId="0" applyBorder="1"/>
    <xf numFmtId="165" fontId="0" fillId="0" borderId="2" xfId="0" applyNumberFormat="1" applyBorder="1"/>
    <xf numFmtId="0" fontId="0" fillId="0" borderId="0" xfId="0" applyFill="1" applyBorder="1"/>
    <xf numFmtId="165" fontId="0" fillId="0" borderId="0" xfId="0" applyNumberFormat="1"/>
    <xf numFmtId="43" fontId="0" fillId="0" borderId="0" xfId="1" applyFont="1" applyBorder="1"/>
    <xf numFmtId="164" fontId="0" fillId="0" borderId="0" xfId="2" applyNumberFormat="1" applyFont="1" applyFill="1"/>
    <xf numFmtId="43" fontId="0" fillId="0" borderId="0" xfId="1" applyFont="1" applyFill="1"/>
    <xf numFmtId="164" fontId="0" fillId="0" borderId="1" xfId="2" applyNumberFormat="1" applyFont="1" applyFill="1" applyBorder="1"/>
    <xf numFmtId="43" fontId="0" fillId="0" borderId="1" xfId="1" applyFont="1" applyFill="1" applyBorder="1"/>
    <xf numFmtId="0" fontId="0" fillId="0" borderId="0" xfId="0" applyFont="1"/>
    <xf numFmtId="0" fontId="0" fillId="0" borderId="1" xfId="0" applyFont="1" applyBorder="1"/>
    <xf numFmtId="0" fontId="0" fillId="0" borderId="0" xfId="0" applyFont="1" applyBorder="1"/>
    <xf numFmtId="0" fontId="0" fillId="0" borderId="0" xfId="0" applyBorder="1"/>
    <xf numFmtId="0" fontId="0" fillId="0" borderId="1" xfId="0" applyFill="1" applyBorder="1"/>
    <xf numFmtId="164" fontId="0" fillId="0" borderId="0" xfId="2" applyNumberFormat="1" applyFont="1" applyBorder="1"/>
    <xf numFmtId="164" fontId="0" fillId="0" borderId="0" xfId="2" applyNumberFormat="1" applyFont="1" applyFill="1" applyBorder="1"/>
    <xf numFmtId="43" fontId="0" fillId="0" borderId="0" xfId="1" applyFont="1" applyFill="1" applyBorder="1"/>
    <xf numFmtId="165" fontId="0" fillId="0" borderId="0" xfId="1" applyNumberFormat="1" applyFont="1" applyFill="1" applyBorder="1"/>
    <xf numFmtId="165" fontId="0" fillId="0" borderId="0" xfId="1" applyNumberFormat="1" applyFont="1" applyFill="1"/>
    <xf numFmtId="165" fontId="0" fillId="0" borderId="1" xfId="1" applyNumberFormat="1" applyFont="1" applyFill="1" applyBorder="1"/>
    <xf numFmtId="165" fontId="0" fillId="0" borderId="0" xfId="1" applyNumberFormat="1" applyFont="1" applyBorder="1"/>
    <xf numFmtId="165" fontId="0" fillId="0" borderId="0" xfId="1" applyNumberFormat="1" applyFont="1"/>
    <xf numFmtId="165" fontId="0" fillId="0" borderId="1" xfId="1" applyNumberFormat="1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2ACF0-33E5-4D59-9EE0-24806D7BCEC5}">
  <sheetPr codeName="Sheet24"/>
  <dimension ref="A1:AD261"/>
  <sheetViews>
    <sheetView zoomScale="70" zoomScaleNormal="70" workbookViewId="0">
      <selection activeCell="N12" sqref="N12"/>
    </sheetView>
  </sheetViews>
  <sheetFormatPr defaultRowHeight="14.4" x14ac:dyDescent="0.3"/>
  <sheetData>
    <row r="1" spans="1:30" x14ac:dyDescent="0.3">
      <c r="A1" t="s">
        <v>62</v>
      </c>
      <c r="B1" t="s">
        <v>61</v>
      </c>
      <c r="C1" t="s">
        <v>1</v>
      </c>
      <c r="D1" t="s">
        <v>5</v>
      </c>
      <c r="E1" t="s">
        <v>87</v>
      </c>
      <c r="F1" t="s">
        <v>63</v>
      </c>
      <c r="G1" t="s">
        <v>88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  <c r="T1" t="s">
        <v>76</v>
      </c>
      <c r="U1" t="s">
        <v>77</v>
      </c>
      <c r="V1" t="s">
        <v>78</v>
      </c>
      <c r="W1" t="s">
        <v>79</v>
      </c>
      <c r="X1" t="s">
        <v>80</v>
      </c>
      <c r="Y1" t="s">
        <v>81</v>
      </c>
      <c r="Z1" t="s">
        <v>82</v>
      </c>
      <c r="AA1" t="s">
        <v>83</v>
      </c>
      <c r="AB1" t="s">
        <v>84</v>
      </c>
      <c r="AC1" t="s">
        <v>85</v>
      </c>
      <c r="AD1" t="s">
        <v>86</v>
      </c>
    </row>
    <row r="2" spans="1:30" x14ac:dyDescent="0.3">
      <c r="A2" t="s">
        <v>53</v>
      </c>
      <c r="B2" t="s">
        <v>27</v>
      </c>
      <c r="C2">
        <v>563</v>
      </c>
      <c r="D2">
        <v>1.0106571936056838</v>
      </c>
      <c r="E2">
        <v>3</v>
      </c>
      <c r="F2">
        <v>14.777996999999999</v>
      </c>
      <c r="G2">
        <v>1.4728123</v>
      </c>
      <c r="H2">
        <v>8.9583931000000003</v>
      </c>
      <c r="I2">
        <v>10.749083000000001</v>
      </c>
      <c r="J2">
        <v>5.0763645000000004</v>
      </c>
      <c r="K2">
        <v>7.9048370999999999</v>
      </c>
      <c r="L2">
        <v>5</v>
      </c>
      <c r="M2">
        <v>1</v>
      </c>
      <c r="N2">
        <v>1</v>
      </c>
      <c r="O2">
        <v>0</v>
      </c>
      <c r="P2">
        <v>0</v>
      </c>
      <c r="Q2">
        <v>0</v>
      </c>
      <c r="R2">
        <v>0</v>
      </c>
      <c r="S2">
        <v>0</v>
      </c>
      <c r="T2">
        <v>7</v>
      </c>
      <c r="U2">
        <v>0</v>
      </c>
      <c r="V2">
        <v>0.71428571399999996</v>
      </c>
      <c r="W2">
        <v>0.14285714299999999</v>
      </c>
      <c r="X2">
        <v>0.14285714299999999</v>
      </c>
      <c r="Y2">
        <v>0</v>
      </c>
      <c r="Z2">
        <v>0</v>
      </c>
      <c r="AA2">
        <v>0</v>
      </c>
      <c r="AB2">
        <v>0</v>
      </c>
      <c r="AC2">
        <v>0</v>
      </c>
      <c r="AD2">
        <f>IF(D2&gt;2, 1, 0)</f>
        <v>0</v>
      </c>
    </row>
    <row r="3" spans="1:30" x14ac:dyDescent="0.3">
      <c r="A3" t="s">
        <v>53</v>
      </c>
      <c r="B3" t="s">
        <v>27</v>
      </c>
      <c r="C3">
        <v>170</v>
      </c>
      <c r="D3">
        <v>1.8537556561085973</v>
      </c>
      <c r="E3">
        <v>4</v>
      </c>
      <c r="F3">
        <v>14.777996999999999</v>
      </c>
      <c r="G3">
        <v>1.4728123</v>
      </c>
      <c r="H3">
        <v>8.9583931000000003</v>
      </c>
      <c r="I3">
        <v>10.749083000000001</v>
      </c>
      <c r="J3">
        <v>5.0763645000000004</v>
      </c>
      <c r="K3">
        <v>7.9048370999999999</v>
      </c>
      <c r="L3">
        <v>5</v>
      </c>
      <c r="M3">
        <v>1</v>
      </c>
      <c r="N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7</v>
      </c>
      <c r="U3">
        <v>0</v>
      </c>
      <c r="V3">
        <v>0.71428571399999996</v>
      </c>
      <c r="W3">
        <v>0.14285714299999999</v>
      </c>
      <c r="X3">
        <v>0.14285714299999999</v>
      </c>
      <c r="Y3">
        <v>0</v>
      </c>
      <c r="Z3">
        <v>0</v>
      </c>
      <c r="AA3">
        <v>0</v>
      </c>
      <c r="AB3">
        <v>0</v>
      </c>
      <c r="AC3">
        <v>0</v>
      </c>
      <c r="AD3">
        <f t="shared" ref="AD3:AD66" si="0">IF(D3&gt;2, 1, 0)</f>
        <v>0</v>
      </c>
    </row>
    <row r="4" spans="1:30" x14ac:dyDescent="0.3">
      <c r="A4" t="s">
        <v>53</v>
      </c>
      <c r="B4" t="s">
        <v>27</v>
      </c>
      <c r="C4">
        <v>11</v>
      </c>
      <c r="D4">
        <v>0</v>
      </c>
      <c r="E4">
        <v>5</v>
      </c>
      <c r="F4">
        <v>14.777996999999999</v>
      </c>
      <c r="G4">
        <v>1.4728123</v>
      </c>
      <c r="H4">
        <v>8.9583931000000003</v>
      </c>
      <c r="I4">
        <v>10.749083000000001</v>
      </c>
      <c r="J4">
        <v>5.0763645000000004</v>
      </c>
      <c r="K4">
        <v>7.9048370999999999</v>
      </c>
      <c r="L4">
        <v>5</v>
      </c>
      <c r="M4">
        <v>1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7</v>
      </c>
      <c r="U4">
        <v>0</v>
      </c>
      <c r="V4">
        <v>0.71428571399999996</v>
      </c>
      <c r="W4">
        <v>0.14285714299999999</v>
      </c>
      <c r="X4">
        <v>0.14285714299999999</v>
      </c>
      <c r="Y4">
        <v>0</v>
      </c>
      <c r="Z4">
        <v>0</v>
      </c>
      <c r="AA4">
        <v>0</v>
      </c>
      <c r="AB4">
        <v>0</v>
      </c>
      <c r="AC4">
        <v>0</v>
      </c>
      <c r="AD4">
        <f t="shared" si="0"/>
        <v>0</v>
      </c>
    </row>
    <row r="5" spans="1:30" x14ac:dyDescent="0.3">
      <c r="A5" t="s">
        <v>53</v>
      </c>
      <c r="B5" t="s">
        <v>27</v>
      </c>
      <c r="C5">
        <v>-99999</v>
      </c>
      <c r="D5">
        <v>0</v>
      </c>
      <c r="E5">
        <v>6</v>
      </c>
      <c r="F5">
        <v>14.777996999999999</v>
      </c>
      <c r="G5">
        <v>1.4728123</v>
      </c>
      <c r="H5">
        <v>8.9583931000000003</v>
      </c>
      <c r="I5">
        <v>10.749083000000001</v>
      </c>
      <c r="J5">
        <v>5.0763645000000004</v>
      </c>
      <c r="K5">
        <v>7.9048370999999999</v>
      </c>
      <c r="L5">
        <v>5</v>
      </c>
      <c r="M5">
        <v>1</v>
      </c>
      <c r="N5">
        <v>1</v>
      </c>
      <c r="O5">
        <v>0</v>
      </c>
      <c r="P5">
        <v>0</v>
      </c>
      <c r="Q5">
        <v>0</v>
      </c>
      <c r="R5">
        <v>0</v>
      </c>
      <c r="S5">
        <v>0</v>
      </c>
      <c r="T5">
        <v>7</v>
      </c>
      <c r="U5">
        <v>0</v>
      </c>
      <c r="V5">
        <v>0.71428571399999996</v>
      </c>
      <c r="W5">
        <v>0.14285714299999999</v>
      </c>
      <c r="X5">
        <v>0.14285714299999999</v>
      </c>
      <c r="Y5">
        <v>0</v>
      </c>
      <c r="Z5">
        <v>0</v>
      </c>
      <c r="AA5">
        <v>0</v>
      </c>
      <c r="AB5">
        <v>0</v>
      </c>
      <c r="AC5">
        <v>0</v>
      </c>
      <c r="AD5">
        <f t="shared" si="0"/>
        <v>0</v>
      </c>
    </row>
    <row r="6" spans="1:30" x14ac:dyDescent="0.3">
      <c r="A6" t="s">
        <v>53</v>
      </c>
      <c r="B6" t="s">
        <v>27</v>
      </c>
      <c r="C6">
        <v>-99999</v>
      </c>
      <c r="D6">
        <v>0</v>
      </c>
      <c r="E6">
        <v>7</v>
      </c>
      <c r="F6">
        <v>14.777996999999999</v>
      </c>
      <c r="G6">
        <v>1.4728123</v>
      </c>
      <c r="H6">
        <v>8.9583931000000003</v>
      </c>
      <c r="I6">
        <v>10.749083000000001</v>
      </c>
      <c r="J6">
        <v>5.0763645000000004</v>
      </c>
      <c r="K6">
        <v>7.9048370999999999</v>
      </c>
      <c r="L6">
        <v>5</v>
      </c>
      <c r="M6">
        <v>1</v>
      </c>
      <c r="N6">
        <v>1</v>
      </c>
      <c r="O6">
        <v>0</v>
      </c>
      <c r="P6">
        <v>0</v>
      </c>
      <c r="Q6">
        <v>0</v>
      </c>
      <c r="R6">
        <v>0</v>
      </c>
      <c r="S6">
        <v>0</v>
      </c>
      <c r="T6">
        <v>7</v>
      </c>
      <c r="U6">
        <v>0</v>
      </c>
      <c r="V6">
        <v>0.71428571399999996</v>
      </c>
      <c r="W6">
        <v>0.14285714299999999</v>
      </c>
      <c r="X6">
        <v>0.14285714299999999</v>
      </c>
      <c r="Y6">
        <v>0</v>
      </c>
      <c r="Z6">
        <v>0</v>
      </c>
      <c r="AA6">
        <v>0</v>
      </c>
      <c r="AB6">
        <v>0</v>
      </c>
      <c r="AC6">
        <v>0</v>
      </c>
      <c r="AD6">
        <f t="shared" si="0"/>
        <v>0</v>
      </c>
    </row>
    <row r="7" spans="1:30" x14ac:dyDescent="0.3">
      <c r="A7" t="s">
        <v>53</v>
      </c>
      <c r="B7" t="s">
        <v>28</v>
      </c>
      <c r="C7">
        <v>492</v>
      </c>
      <c r="D7">
        <v>1.1031269543464666</v>
      </c>
      <c r="E7">
        <v>3</v>
      </c>
      <c r="F7">
        <v>17.045998000000001</v>
      </c>
      <c r="G7">
        <v>1.1645132</v>
      </c>
      <c r="H7">
        <v>11.312481999999999</v>
      </c>
      <c r="I7">
        <v>10.601196</v>
      </c>
      <c r="J7">
        <v>5.3994144999999998</v>
      </c>
      <c r="K7">
        <v>8.8649368000000006</v>
      </c>
      <c r="L7">
        <v>2</v>
      </c>
      <c r="M7">
        <v>1</v>
      </c>
      <c r="N7">
        <v>0</v>
      </c>
      <c r="O7">
        <v>0</v>
      </c>
      <c r="P7">
        <v>3</v>
      </c>
      <c r="Q7">
        <v>1</v>
      </c>
      <c r="R7">
        <v>0</v>
      </c>
      <c r="S7">
        <v>0</v>
      </c>
      <c r="T7">
        <v>7</v>
      </c>
      <c r="U7">
        <v>0</v>
      </c>
      <c r="V7">
        <v>0.28571428599999998</v>
      </c>
      <c r="W7">
        <v>0.14285714299999999</v>
      </c>
      <c r="X7">
        <v>0</v>
      </c>
      <c r="Y7">
        <v>0</v>
      </c>
      <c r="Z7">
        <v>0.428571429</v>
      </c>
      <c r="AA7">
        <v>0.14285714299999999</v>
      </c>
      <c r="AB7">
        <v>0</v>
      </c>
      <c r="AC7">
        <v>0</v>
      </c>
      <c r="AD7">
        <f t="shared" si="0"/>
        <v>0</v>
      </c>
    </row>
    <row r="8" spans="1:30" x14ac:dyDescent="0.3">
      <c r="A8" t="s">
        <v>53</v>
      </c>
      <c r="B8" t="s">
        <v>28</v>
      </c>
      <c r="C8">
        <v>26</v>
      </c>
      <c r="D8">
        <v>2.0201183431952665</v>
      </c>
      <c r="E8">
        <v>4</v>
      </c>
      <c r="F8">
        <v>17.045998000000001</v>
      </c>
      <c r="G8">
        <v>1.1645132</v>
      </c>
      <c r="H8">
        <v>11.312481999999999</v>
      </c>
      <c r="I8">
        <v>10.601196</v>
      </c>
      <c r="J8">
        <v>5.3994144999999998</v>
      </c>
      <c r="K8">
        <v>8.8649368000000006</v>
      </c>
      <c r="L8">
        <v>2</v>
      </c>
      <c r="M8">
        <v>1</v>
      </c>
      <c r="N8">
        <v>0</v>
      </c>
      <c r="O8">
        <v>0</v>
      </c>
      <c r="P8">
        <v>3</v>
      </c>
      <c r="Q8">
        <v>1</v>
      </c>
      <c r="R8">
        <v>0</v>
      </c>
      <c r="S8">
        <v>0</v>
      </c>
      <c r="T8">
        <v>7</v>
      </c>
      <c r="U8">
        <v>0</v>
      </c>
      <c r="V8">
        <v>0.28571428599999998</v>
      </c>
      <c r="W8">
        <v>0.14285714299999999</v>
      </c>
      <c r="X8">
        <v>0</v>
      </c>
      <c r="Y8">
        <v>0</v>
      </c>
      <c r="Z8">
        <v>0.428571429</v>
      </c>
      <c r="AA8">
        <v>0.14285714299999999</v>
      </c>
      <c r="AB8">
        <v>0</v>
      </c>
      <c r="AC8">
        <v>0</v>
      </c>
      <c r="AD8">
        <f t="shared" si="0"/>
        <v>1</v>
      </c>
    </row>
    <row r="9" spans="1:30" x14ac:dyDescent="0.3">
      <c r="A9" t="s">
        <v>53</v>
      </c>
      <c r="B9" t="s">
        <v>28</v>
      </c>
      <c r="C9">
        <v>-99999</v>
      </c>
      <c r="D9">
        <v>0</v>
      </c>
      <c r="E9">
        <v>5</v>
      </c>
      <c r="F9">
        <v>17.045998000000001</v>
      </c>
      <c r="G9">
        <v>1.1645132</v>
      </c>
      <c r="H9">
        <v>11.312481999999999</v>
      </c>
      <c r="I9">
        <v>10.601196</v>
      </c>
      <c r="J9">
        <v>5.3994144999999998</v>
      </c>
      <c r="K9">
        <v>8.8649368000000006</v>
      </c>
      <c r="L9">
        <v>2</v>
      </c>
      <c r="M9">
        <v>1</v>
      </c>
      <c r="N9">
        <v>0</v>
      </c>
      <c r="O9">
        <v>0</v>
      </c>
      <c r="P9">
        <v>3</v>
      </c>
      <c r="Q9">
        <v>1</v>
      </c>
      <c r="R9">
        <v>0</v>
      </c>
      <c r="S9">
        <v>0</v>
      </c>
      <c r="T9">
        <v>7</v>
      </c>
      <c r="U9">
        <v>0</v>
      </c>
      <c r="V9">
        <v>0.28571428599999998</v>
      </c>
      <c r="W9">
        <v>0.14285714299999999</v>
      </c>
      <c r="X9">
        <v>0</v>
      </c>
      <c r="Y9">
        <v>0</v>
      </c>
      <c r="Z9">
        <v>0.428571429</v>
      </c>
      <c r="AA9">
        <v>0.14285714299999999</v>
      </c>
      <c r="AB9">
        <v>0</v>
      </c>
      <c r="AC9">
        <v>0</v>
      </c>
      <c r="AD9">
        <f t="shared" si="0"/>
        <v>0</v>
      </c>
    </row>
    <row r="10" spans="1:30" x14ac:dyDescent="0.3">
      <c r="A10" t="s">
        <v>53</v>
      </c>
      <c r="B10" t="s">
        <v>28</v>
      </c>
      <c r="C10">
        <v>-99999</v>
      </c>
      <c r="D10">
        <v>0</v>
      </c>
      <c r="E10">
        <v>6</v>
      </c>
      <c r="F10">
        <v>17.045998000000001</v>
      </c>
      <c r="G10">
        <v>1.1645132</v>
      </c>
      <c r="H10">
        <v>11.312481999999999</v>
      </c>
      <c r="I10">
        <v>10.601196</v>
      </c>
      <c r="J10">
        <v>5.3994144999999998</v>
      </c>
      <c r="K10">
        <v>8.8649368000000006</v>
      </c>
      <c r="L10">
        <v>2</v>
      </c>
      <c r="M10">
        <v>1</v>
      </c>
      <c r="N10">
        <v>0</v>
      </c>
      <c r="O10">
        <v>0</v>
      </c>
      <c r="P10">
        <v>3</v>
      </c>
      <c r="Q10">
        <v>1</v>
      </c>
      <c r="R10">
        <v>0</v>
      </c>
      <c r="S10">
        <v>0</v>
      </c>
      <c r="T10">
        <v>7</v>
      </c>
      <c r="U10">
        <v>0</v>
      </c>
      <c r="V10">
        <v>0.28571428599999998</v>
      </c>
      <c r="W10">
        <v>0.14285714299999999</v>
      </c>
      <c r="X10">
        <v>0</v>
      </c>
      <c r="Y10">
        <v>0</v>
      </c>
      <c r="Z10">
        <v>0.428571429</v>
      </c>
      <c r="AA10">
        <v>0.14285714299999999</v>
      </c>
      <c r="AB10">
        <v>0</v>
      </c>
      <c r="AC10">
        <v>0</v>
      </c>
      <c r="AD10">
        <f t="shared" si="0"/>
        <v>0</v>
      </c>
    </row>
    <row r="11" spans="1:30" x14ac:dyDescent="0.3">
      <c r="A11" t="s">
        <v>53</v>
      </c>
      <c r="B11" t="s">
        <v>28</v>
      </c>
      <c r="C11">
        <v>-99999</v>
      </c>
      <c r="D11">
        <v>0</v>
      </c>
      <c r="E11">
        <v>7</v>
      </c>
      <c r="F11">
        <v>17.045998000000001</v>
      </c>
      <c r="G11">
        <v>1.1645132</v>
      </c>
      <c r="H11">
        <v>11.312481999999999</v>
      </c>
      <c r="I11">
        <v>10.601196</v>
      </c>
      <c r="J11">
        <v>5.3994144999999998</v>
      </c>
      <c r="K11">
        <v>8.8649368000000006</v>
      </c>
      <c r="L11">
        <v>2</v>
      </c>
      <c r="M11">
        <v>1</v>
      </c>
      <c r="N11">
        <v>0</v>
      </c>
      <c r="O11">
        <v>0</v>
      </c>
      <c r="P11">
        <v>3</v>
      </c>
      <c r="Q11">
        <v>1</v>
      </c>
      <c r="R11">
        <v>0</v>
      </c>
      <c r="S11">
        <v>0</v>
      </c>
      <c r="T11">
        <v>7</v>
      </c>
      <c r="U11">
        <v>0</v>
      </c>
      <c r="V11">
        <v>0.28571428599999998</v>
      </c>
      <c r="W11">
        <v>0.14285714299999999</v>
      </c>
      <c r="X11">
        <v>0</v>
      </c>
      <c r="Y11">
        <v>0</v>
      </c>
      <c r="Z11">
        <v>0.428571429</v>
      </c>
      <c r="AA11">
        <v>0.14285714299999999</v>
      </c>
      <c r="AB11">
        <v>0</v>
      </c>
      <c r="AC11">
        <v>0</v>
      </c>
      <c r="AD11">
        <f t="shared" si="0"/>
        <v>0</v>
      </c>
    </row>
    <row r="12" spans="1:30" x14ac:dyDescent="0.3">
      <c r="A12" t="s">
        <v>53</v>
      </c>
      <c r="B12" t="s">
        <v>29</v>
      </c>
      <c r="C12">
        <v>561</v>
      </c>
      <c r="D12">
        <v>1.0142602495543671</v>
      </c>
      <c r="E12">
        <v>3</v>
      </c>
      <c r="F12">
        <v>17.218178000000002</v>
      </c>
      <c r="G12">
        <v>1.4178815</v>
      </c>
      <c r="H12">
        <v>9.4414654000000002</v>
      </c>
      <c r="I12">
        <v>10.749083000000001</v>
      </c>
      <c r="J12">
        <v>5.5635157</v>
      </c>
      <c r="K12">
        <v>7.8157972999999998</v>
      </c>
      <c r="L12">
        <v>7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7</v>
      </c>
      <c r="U12">
        <v>1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f t="shared" si="0"/>
        <v>0</v>
      </c>
    </row>
    <row r="13" spans="1:30" x14ac:dyDescent="0.3">
      <c r="A13" t="s">
        <v>53</v>
      </c>
      <c r="B13" t="s">
        <v>29</v>
      </c>
      <c r="C13">
        <v>359</v>
      </c>
      <c r="D13">
        <v>0.99974287550889229</v>
      </c>
      <c r="E13">
        <v>4</v>
      </c>
      <c r="F13">
        <v>17.218178000000002</v>
      </c>
      <c r="G13">
        <v>1.4178815</v>
      </c>
      <c r="H13">
        <v>9.4414654000000002</v>
      </c>
      <c r="I13">
        <v>10.749083000000001</v>
      </c>
      <c r="J13">
        <v>5.5635157</v>
      </c>
      <c r="K13">
        <v>7.8157972999999998</v>
      </c>
      <c r="L13">
        <v>7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7</v>
      </c>
      <c r="U13">
        <v>1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f t="shared" si="0"/>
        <v>0</v>
      </c>
    </row>
    <row r="14" spans="1:30" x14ac:dyDescent="0.3">
      <c r="A14" t="s">
        <v>53</v>
      </c>
      <c r="B14" t="s">
        <v>29</v>
      </c>
      <c r="C14">
        <v>11</v>
      </c>
      <c r="D14">
        <v>0</v>
      </c>
      <c r="E14">
        <v>5</v>
      </c>
      <c r="F14">
        <v>17.218178000000002</v>
      </c>
      <c r="G14">
        <v>1.4178815</v>
      </c>
      <c r="H14">
        <v>9.4414654000000002</v>
      </c>
      <c r="I14">
        <v>10.749083000000001</v>
      </c>
      <c r="J14">
        <v>5.5635157</v>
      </c>
      <c r="K14">
        <v>7.8157972999999998</v>
      </c>
      <c r="L14">
        <v>7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7</v>
      </c>
      <c r="U14">
        <v>1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f t="shared" si="0"/>
        <v>0</v>
      </c>
    </row>
    <row r="15" spans="1:30" x14ac:dyDescent="0.3">
      <c r="A15" t="s">
        <v>53</v>
      </c>
      <c r="B15" t="s">
        <v>29</v>
      </c>
      <c r="C15">
        <v>1</v>
      </c>
      <c r="D15">
        <v>0</v>
      </c>
      <c r="E15">
        <v>6</v>
      </c>
      <c r="F15">
        <v>17.218178000000002</v>
      </c>
      <c r="G15">
        <v>1.4178815</v>
      </c>
      <c r="H15">
        <v>9.4414654000000002</v>
      </c>
      <c r="I15">
        <v>10.749083000000001</v>
      </c>
      <c r="J15">
        <v>5.5635157</v>
      </c>
      <c r="K15">
        <v>7.8157972999999998</v>
      </c>
      <c r="L15">
        <v>7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7</v>
      </c>
      <c r="U15">
        <v>1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f t="shared" si="0"/>
        <v>0</v>
      </c>
    </row>
    <row r="16" spans="1:30" x14ac:dyDescent="0.3">
      <c r="A16" t="s">
        <v>53</v>
      </c>
      <c r="B16" t="s">
        <v>29</v>
      </c>
      <c r="C16">
        <v>-99999</v>
      </c>
      <c r="D16">
        <v>0</v>
      </c>
      <c r="E16">
        <v>7</v>
      </c>
      <c r="F16">
        <v>17.218178000000002</v>
      </c>
      <c r="G16">
        <v>1.4178815</v>
      </c>
      <c r="H16">
        <v>9.4414654000000002</v>
      </c>
      <c r="I16">
        <v>10.749083000000001</v>
      </c>
      <c r="J16">
        <v>5.5635157</v>
      </c>
      <c r="K16">
        <v>7.8157972999999998</v>
      </c>
      <c r="L16">
        <v>7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7</v>
      </c>
      <c r="U16">
        <v>1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f t="shared" si="0"/>
        <v>0</v>
      </c>
    </row>
    <row r="17" spans="1:30" x14ac:dyDescent="0.3">
      <c r="A17" t="s">
        <v>53</v>
      </c>
      <c r="B17" t="s">
        <v>30</v>
      </c>
      <c r="C17">
        <v>46</v>
      </c>
      <c r="D17">
        <v>0.95150501672240806</v>
      </c>
      <c r="E17">
        <v>3</v>
      </c>
      <c r="F17">
        <v>6.8858695000000001</v>
      </c>
      <c r="G17">
        <v>1.1372836</v>
      </c>
      <c r="H17">
        <v>3.8683982000000001</v>
      </c>
      <c r="I17">
        <v>8.9874220000000005</v>
      </c>
      <c r="J17">
        <v>6.1781515999999996</v>
      </c>
      <c r="K17">
        <v>7.9408025999999996</v>
      </c>
      <c r="L17">
        <v>1</v>
      </c>
      <c r="M17">
        <v>0</v>
      </c>
      <c r="N17">
        <v>0</v>
      </c>
      <c r="O17">
        <v>0</v>
      </c>
      <c r="P17">
        <v>6</v>
      </c>
      <c r="Q17">
        <v>0</v>
      </c>
      <c r="R17">
        <v>0</v>
      </c>
      <c r="S17">
        <v>0</v>
      </c>
      <c r="T17">
        <v>7</v>
      </c>
      <c r="U17">
        <v>0</v>
      </c>
      <c r="V17">
        <v>0.14285714299999999</v>
      </c>
      <c r="W17">
        <v>0</v>
      </c>
      <c r="X17">
        <v>0</v>
      </c>
      <c r="Y17">
        <v>0</v>
      </c>
      <c r="Z17">
        <v>0.85714285700000004</v>
      </c>
      <c r="AA17">
        <v>0</v>
      </c>
      <c r="AB17">
        <v>0</v>
      </c>
      <c r="AC17">
        <v>0</v>
      </c>
      <c r="AD17">
        <f t="shared" si="0"/>
        <v>0</v>
      </c>
    </row>
    <row r="18" spans="1:30" x14ac:dyDescent="0.3">
      <c r="A18" t="s">
        <v>53</v>
      </c>
      <c r="B18" t="s">
        <v>30</v>
      </c>
      <c r="C18">
        <v>18</v>
      </c>
      <c r="D18">
        <v>0.48632478632478632</v>
      </c>
      <c r="E18">
        <v>4</v>
      </c>
      <c r="F18">
        <v>6.8858695000000001</v>
      </c>
      <c r="G18">
        <v>1.1372836</v>
      </c>
      <c r="H18">
        <v>3.8683982000000001</v>
      </c>
      <c r="I18">
        <v>8.9874220000000005</v>
      </c>
      <c r="J18">
        <v>6.1781515999999996</v>
      </c>
      <c r="K18">
        <v>7.9408025999999996</v>
      </c>
      <c r="L18">
        <v>1</v>
      </c>
      <c r="M18">
        <v>0</v>
      </c>
      <c r="N18">
        <v>0</v>
      </c>
      <c r="O18">
        <v>0</v>
      </c>
      <c r="P18">
        <v>6</v>
      </c>
      <c r="Q18">
        <v>0</v>
      </c>
      <c r="R18">
        <v>0</v>
      </c>
      <c r="S18">
        <v>0</v>
      </c>
      <c r="T18">
        <v>7</v>
      </c>
      <c r="U18">
        <v>0</v>
      </c>
      <c r="V18">
        <v>0.14285714299999999</v>
      </c>
      <c r="W18">
        <v>0</v>
      </c>
      <c r="X18">
        <v>0</v>
      </c>
      <c r="Y18">
        <v>0</v>
      </c>
      <c r="Z18">
        <v>0.85714285700000004</v>
      </c>
      <c r="AA18">
        <v>0</v>
      </c>
      <c r="AB18">
        <v>0</v>
      </c>
      <c r="AC18">
        <v>0</v>
      </c>
      <c r="AD18">
        <f t="shared" si="0"/>
        <v>0</v>
      </c>
    </row>
    <row r="19" spans="1:30" x14ac:dyDescent="0.3">
      <c r="A19" t="s">
        <v>53</v>
      </c>
      <c r="B19" t="s">
        <v>30</v>
      </c>
      <c r="C19">
        <v>2</v>
      </c>
      <c r="D19">
        <v>4.3769230769230774</v>
      </c>
      <c r="E19">
        <v>5</v>
      </c>
      <c r="F19">
        <v>6.8858695000000001</v>
      </c>
      <c r="G19">
        <v>1.1372836</v>
      </c>
      <c r="H19">
        <v>3.8683982000000001</v>
      </c>
      <c r="I19">
        <v>8.9874220000000005</v>
      </c>
      <c r="J19">
        <v>6.1781515999999996</v>
      </c>
      <c r="K19">
        <v>7.9408025999999996</v>
      </c>
      <c r="L19">
        <v>1</v>
      </c>
      <c r="M19">
        <v>0</v>
      </c>
      <c r="N19">
        <v>0</v>
      </c>
      <c r="O19">
        <v>0</v>
      </c>
      <c r="P19">
        <v>6</v>
      </c>
      <c r="Q19">
        <v>0</v>
      </c>
      <c r="R19">
        <v>0</v>
      </c>
      <c r="S19">
        <v>0</v>
      </c>
      <c r="T19">
        <v>7</v>
      </c>
      <c r="U19">
        <v>0</v>
      </c>
      <c r="V19">
        <v>0.14285714299999999</v>
      </c>
      <c r="W19">
        <v>0</v>
      </c>
      <c r="X19">
        <v>0</v>
      </c>
      <c r="Y19">
        <v>0</v>
      </c>
      <c r="Z19">
        <v>0.85714285700000004</v>
      </c>
      <c r="AA19">
        <v>0</v>
      </c>
      <c r="AB19">
        <v>0</v>
      </c>
      <c r="AC19">
        <v>0</v>
      </c>
      <c r="AD19">
        <f t="shared" si="0"/>
        <v>1</v>
      </c>
    </row>
    <row r="20" spans="1:30" x14ac:dyDescent="0.3">
      <c r="A20" t="s">
        <v>53</v>
      </c>
      <c r="B20" t="s">
        <v>30</v>
      </c>
      <c r="C20">
        <v>-99999</v>
      </c>
      <c r="D20">
        <v>0</v>
      </c>
      <c r="E20">
        <v>6</v>
      </c>
      <c r="F20">
        <v>6.8858695000000001</v>
      </c>
      <c r="G20">
        <v>1.1372836</v>
      </c>
      <c r="H20">
        <v>3.8683982000000001</v>
      </c>
      <c r="I20">
        <v>8.9874220000000005</v>
      </c>
      <c r="J20">
        <v>6.1781515999999996</v>
      </c>
      <c r="K20">
        <v>7.9408025999999996</v>
      </c>
      <c r="L20">
        <v>1</v>
      </c>
      <c r="M20">
        <v>0</v>
      </c>
      <c r="N20">
        <v>0</v>
      </c>
      <c r="O20">
        <v>0</v>
      </c>
      <c r="P20">
        <v>6</v>
      </c>
      <c r="Q20">
        <v>0</v>
      </c>
      <c r="R20">
        <v>0</v>
      </c>
      <c r="S20">
        <v>0</v>
      </c>
      <c r="T20">
        <v>7</v>
      </c>
      <c r="U20">
        <v>0</v>
      </c>
      <c r="V20">
        <v>0.14285714299999999</v>
      </c>
      <c r="W20">
        <v>0</v>
      </c>
      <c r="X20">
        <v>0</v>
      </c>
      <c r="Y20">
        <v>0</v>
      </c>
      <c r="Z20">
        <v>0.85714285700000004</v>
      </c>
      <c r="AA20">
        <v>0</v>
      </c>
      <c r="AB20">
        <v>0</v>
      </c>
      <c r="AC20">
        <v>0</v>
      </c>
      <c r="AD20">
        <f t="shared" si="0"/>
        <v>0</v>
      </c>
    </row>
    <row r="21" spans="1:30" x14ac:dyDescent="0.3">
      <c r="A21" t="s">
        <v>53</v>
      </c>
      <c r="B21" t="s">
        <v>30</v>
      </c>
      <c r="C21">
        <v>-99999</v>
      </c>
      <c r="D21">
        <v>0</v>
      </c>
      <c r="E21">
        <v>7</v>
      </c>
      <c r="F21">
        <v>6.8858695000000001</v>
      </c>
      <c r="G21">
        <v>1.1372836</v>
      </c>
      <c r="H21">
        <v>3.8683982000000001</v>
      </c>
      <c r="I21">
        <v>8.9874220000000005</v>
      </c>
      <c r="J21">
        <v>6.1781515999999996</v>
      </c>
      <c r="K21">
        <v>7.9408025999999996</v>
      </c>
      <c r="L21">
        <v>1</v>
      </c>
      <c r="M21">
        <v>0</v>
      </c>
      <c r="N21">
        <v>0</v>
      </c>
      <c r="O21">
        <v>0</v>
      </c>
      <c r="P21">
        <v>6</v>
      </c>
      <c r="Q21">
        <v>0</v>
      </c>
      <c r="R21">
        <v>0</v>
      </c>
      <c r="S21">
        <v>0</v>
      </c>
      <c r="T21">
        <v>7</v>
      </c>
      <c r="U21">
        <v>0</v>
      </c>
      <c r="V21">
        <v>0.14285714299999999</v>
      </c>
      <c r="W21">
        <v>0</v>
      </c>
      <c r="X21">
        <v>0</v>
      </c>
      <c r="Y21">
        <v>0</v>
      </c>
      <c r="Z21">
        <v>0.85714285700000004</v>
      </c>
      <c r="AA21">
        <v>0</v>
      </c>
      <c r="AB21">
        <v>0</v>
      </c>
      <c r="AC21">
        <v>0</v>
      </c>
      <c r="AD21">
        <f t="shared" si="0"/>
        <v>0</v>
      </c>
    </row>
    <row r="22" spans="1:30" x14ac:dyDescent="0.3">
      <c r="A22" t="s">
        <v>53</v>
      </c>
      <c r="B22" t="s">
        <v>27</v>
      </c>
      <c r="C22">
        <v>566</v>
      </c>
      <c r="D22">
        <v>1.0053003533568905</v>
      </c>
      <c r="E22">
        <v>3</v>
      </c>
      <c r="F22">
        <v>15.960495</v>
      </c>
      <c r="G22">
        <v>2.5101347000000001</v>
      </c>
      <c r="H22">
        <v>8.3628254000000002</v>
      </c>
      <c r="I22">
        <v>9.0420493999999998</v>
      </c>
      <c r="J22">
        <v>3.9519479</v>
      </c>
      <c r="K22">
        <v>6.7691536000000001</v>
      </c>
      <c r="L22">
        <v>5</v>
      </c>
      <c r="M22">
        <v>1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7</v>
      </c>
      <c r="U22">
        <v>0</v>
      </c>
      <c r="V22">
        <v>0.71428571399999996</v>
      </c>
      <c r="W22">
        <v>0.14285714299999999</v>
      </c>
      <c r="X22">
        <v>0</v>
      </c>
      <c r="Y22">
        <v>0</v>
      </c>
      <c r="Z22">
        <v>0</v>
      </c>
      <c r="AA22">
        <v>0.14285714299999999</v>
      </c>
      <c r="AB22">
        <v>0</v>
      </c>
      <c r="AC22">
        <v>0</v>
      </c>
      <c r="AD22">
        <f t="shared" si="0"/>
        <v>0</v>
      </c>
    </row>
    <row r="23" spans="1:30" x14ac:dyDescent="0.3">
      <c r="A23" t="s">
        <v>53</v>
      </c>
      <c r="B23" t="s">
        <v>27</v>
      </c>
      <c r="C23">
        <v>467</v>
      </c>
      <c r="D23">
        <v>0.94923061600517911</v>
      </c>
      <c r="E23">
        <v>4</v>
      </c>
      <c r="F23">
        <v>15.960495</v>
      </c>
      <c r="G23">
        <v>2.5101347000000001</v>
      </c>
      <c r="H23">
        <v>8.3628254000000002</v>
      </c>
      <c r="I23">
        <v>9.0420493999999998</v>
      </c>
      <c r="J23">
        <v>3.9519479</v>
      </c>
      <c r="K23">
        <v>6.7691536000000001</v>
      </c>
      <c r="L23">
        <v>5</v>
      </c>
      <c r="M23">
        <v>1</v>
      </c>
      <c r="N23">
        <v>0</v>
      </c>
      <c r="O23">
        <v>0</v>
      </c>
      <c r="P23">
        <v>0</v>
      </c>
      <c r="Q23">
        <v>1</v>
      </c>
      <c r="R23">
        <v>0</v>
      </c>
      <c r="S23">
        <v>0</v>
      </c>
      <c r="T23">
        <v>7</v>
      </c>
      <c r="U23">
        <v>0</v>
      </c>
      <c r="V23">
        <v>0.71428571399999996</v>
      </c>
      <c r="W23">
        <v>0.14285714299999999</v>
      </c>
      <c r="X23">
        <v>0</v>
      </c>
      <c r="Y23">
        <v>0</v>
      </c>
      <c r="Z23">
        <v>0</v>
      </c>
      <c r="AA23">
        <v>0.14285714299999999</v>
      </c>
      <c r="AB23">
        <v>0</v>
      </c>
      <c r="AC23">
        <v>0</v>
      </c>
      <c r="AD23">
        <f t="shared" si="0"/>
        <v>0</v>
      </c>
    </row>
    <row r="24" spans="1:30" x14ac:dyDescent="0.3">
      <c r="A24" t="s">
        <v>53</v>
      </c>
      <c r="B24" t="s">
        <v>27</v>
      </c>
      <c r="C24">
        <v>68</v>
      </c>
      <c r="D24">
        <v>1.1675786593707251</v>
      </c>
      <c r="E24">
        <v>5</v>
      </c>
      <c r="F24">
        <v>15.960495</v>
      </c>
      <c r="G24">
        <v>2.5101347000000001</v>
      </c>
      <c r="H24">
        <v>8.3628254000000002</v>
      </c>
      <c r="I24">
        <v>9.0420493999999998</v>
      </c>
      <c r="J24">
        <v>3.9519479</v>
      </c>
      <c r="K24">
        <v>6.7691536000000001</v>
      </c>
      <c r="L24">
        <v>5</v>
      </c>
      <c r="M24">
        <v>1</v>
      </c>
      <c r="N24">
        <v>0</v>
      </c>
      <c r="O24">
        <v>0</v>
      </c>
      <c r="P24">
        <v>0</v>
      </c>
      <c r="Q24">
        <v>1</v>
      </c>
      <c r="R24">
        <v>0</v>
      </c>
      <c r="S24">
        <v>0</v>
      </c>
      <c r="T24">
        <v>7</v>
      </c>
      <c r="U24">
        <v>0</v>
      </c>
      <c r="V24">
        <v>0.71428571399999996</v>
      </c>
      <c r="W24">
        <v>0.14285714299999999</v>
      </c>
      <c r="X24">
        <v>0</v>
      </c>
      <c r="Y24">
        <v>0</v>
      </c>
      <c r="Z24">
        <v>0</v>
      </c>
      <c r="AA24">
        <v>0.14285714299999999</v>
      </c>
      <c r="AB24">
        <v>0</v>
      </c>
      <c r="AC24">
        <v>0</v>
      </c>
      <c r="AD24">
        <f t="shared" si="0"/>
        <v>0</v>
      </c>
    </row>
    <row r="25" spans="1:30" x14ac:dyDescent="0.3">
      <c r="A25" t="s">
        <v>53</v>
      </c>
      <c r="B25" t="s">
        <v>27</v>
      </c>
      <c r="C25">
        <v>1</v>
      </c>
      <c r="D25">
        <v>6.6162790697674421</v>
      </c>
      <c r="E25">
        <v>6</v>
      </c>
      <c r="F25">
        <v>15.960495</v>
      </c>
      <c r="G25">
        <v>2.5101347000000001</v>
      </c>
      <c r="H25">
        <v>8.3628254000000002</v>
      </c>
      <c r="I25">
        <v>9.0420493999999998</v>
      </c>
      <c r="J25">
        <v>3.9519479</v>
      </c>
      <c r="K25">
        <v>6.7691536000000001</v>
      </c>
      <c r="L25">
        <v>5</v>
      </c>
      <c r="M25">
        <v>1</v>
      </c>
      <c r="N25">
        <v>0</v>
      </c>
      <c r="O25">
        <v>0</v>
      </c>
      <c r="P25">
        <v>0</v>
      </c>
      <c r="Q25">
        <v>1</v>
      </c>
      <c r="R25">
        <v>0</v>
      </c>
      <c r="S25">
        <v>0</v>
      </c>
      <c r="T25">
        <v>7</v>
      </c>
      <c r="U25">
        <v>0</v>
      </c>
      <c r="V25">
        <v>0.71428571399999996</v>
      </c>
      <c r="W25">
        <v>0.14285714299999999</v>
      </c>
      <c r="X25">
        <v>0</v>
      </c>
      <c r="Y25">
        <v>0</v>
      </c>
      <c r="Z25">
        <v>0</v>
      </c>
      <c r="AA25">
        <v>0.14285714299999999</v>
      </c>
      <c r="AB25">
        <v>0</v>
      </c>
      <c r="AC25">
        <v>0</v>
      </c>
      <c r="AD25">
        <f t="shared" si="0"/>
        <v>1</v>
      </c>
    </row>
    <row r="26" spans="1:30" x14ac:dyDescent="0.3">
      <c r="A26" t="s">
        <v>53</v>
      </c>
      <c r="B26" t="s">
        <v>27</v>
      </c>
      <c r="C26">
        <v>-99999</v>
      </c>
      <c r="D26">
        <v>0</v>
      </c>
      <c r="E26">
        <v>7</v>
      </c>
      <c r="F26">
        <v>15.960495</v>
      </c>
      <c r="G26">
        <v>2.5101347000000001</v>
      </c>
      <c r="H26">
        <v>8.3628254000000002</v>
      </c>
      <c r="I26">
        <v>9.0420493999999998</v>
      </c>
      <c r="J26">
        <v>3.9519479</v>
      </c>
      <c r="K26">
        <v>6.7691536000000001</v>
      </c>
      <c r="L26">
        <v>5</v>
      </c>
      <c r="M26">
        <v>1</v>
      </c>
      <c r="N26">
        <v>0</v>
      </c>
      <c r="O26">
        <v>0</v>
      </c>
      <c r="P26">
        <v>0</v>
      </c>
      <c r="Q26">
        <v>1</v>
      </c>
      <c r="R26">
        <v>0</v>
      </c>
      <c r="S26">
        <v>0</v>
      </c>
      <c r="T26">
        <v>7</v>
      </c>
      <c r="U26">
        <v>0</v>
      </c>
      <c r="V26">
        <v>0.71428571399999996</v>
      </c>
      <c r="W26">
        <v>0.14285714299999999</v>
      </c>
      <c r="X26">
        <v>0</v>
      </c>
      <c r="Y26">
        <v>0</v>
      </c>
      <c r="Z26">
        <v>0</v>
      </c>
      <c r="AA26">
        <v>0.14285714299999999</v>
      </c>
      <c r="AB26">
        <v>0</v>
      </c>
      <c r="AC26">
        <v>0</v>
      </c>
      <c r="AD26">
        <f t="shared" si="0"/>
        <v>0</v>
      </c>
    </row>
    <row r="27" spans="1:30" x14ac:dyDescent="0.3">
      <c r="A27" t="s">
        <v>26</v>
      </c>
      <c r="B27" t="s">
        <v>28</v>
      </c>
      <c r="C27">
        <v>20</v>
      </c>
      <c r="D27">
        <v>0.66162790697674423</v>
      </c>
      <c r="E27">
        <v>3</v>
      </c>
      <c r="F27">
        <v>12.564577999999999</v>
      </c>
      <c r="G27">
        <v>1.1551267999999999</v>
      </c>
      <c r="H27">
        <v>6.3851465999999997</v>
      </c>
      <c r="I27">
        <v>8.602169</v>
      </c>
      <c r="J27">
        <v>4.1178055000000002</v>
      </c>
      <c r="K27">
        <v>5.6137423999999996</v>
      </c>
      <c r="L27">
        <v>0</v>
      </c>
      <c r="M27">
        <v>0</v>
      </c>
      <c r="N27">
        <v>0</v>
      </c>
      <c r="O27">
        <v>0</v>
      </c>
      <c r="P27">
        <v>7</v>
      </c>
      <c r="Q27">
        <v>0</v>
      </c>
      <c r="R27">
        <v>0</v>
      </c>
      <c r="S27">
        <v>0</v>
      </c>
      <c r="T27">
        <v>7</v>
      </c>
      <c r="U27">
        <v>1</v>
      </c>
      <c r="V27">
        <v>0</v>
      </c>
      <c r="W27">
        <v>0</v>
      </c>
      <c r="X27">
        <v>0</v>
      </c>
      <c r="Y27">
        <v>0</v>
      </c>
      <c r="Z27">
        <v>1</v>
      </c>
      <c r="AA27">
        <v>0</v>
      </c>
      <c r="AB27">
        <v>0</v>
      </c>
      <c r="AC27">
        <v>0</v>
      </c>
      <c r="AD27">
        <f t="shared" si="0"/>
        <v>0</v>
      </c>
    </row>
    <row r="28" spans="1:30" x14ac:dyDescent="0.3">
      <c r="A28" t="s">
        <v>26</v>
      </c>
      <c r="B28" t="s">
        <v>28</v>
      </c>
      <c r="C28">
        <v>4</v>
      </c>
      <c r="D28">
        <v>0</v>
      </c>
      <c r="E28">
        <v>4</v>
      </c>
      <c r="F28">
        <v>12.564577999999999</v>
      </c>
      <c r="G28">
        <v>1.1551267999999999</v>
      </c>
      <c r="H28">
        <v>6.3851465999999997</v>
      </c>
      <c r="I28">
        <v>8.602169</v>
      </c>
      <c r="J28">
        <v>4.1178055000000002</v>
      </c>
      <c r="K28">
        <v>5.6137423999999996</v>
      </c>
      <c r="L28">
        <v>0</v>
      </c>
      <c r="M28">
        <v>0</v>
      </c>
      <c r="N28">
        <v>0</v>
      </c>
      <c r="O28">
        <v>0</v>
      </c>
      <c r="P28">
        <v>7</v>
      </c>
      <c r="Q28">
        <v>0</v>
      </c>
      <c r="R28">
        <v>0</v>
      </c>
      <c r="S28">
        <v>0</v>
      </c>
      <c r="T28">
        <v>7</v>
      </c>
      <c r="U28">
        <v>1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0</v>
      </c>
      <c r="AD28">
        <f t="shared" si="0"/>
        <v>0</v>
      </c>
    </row>
    <row r="29" spans="1:30" x14ac:dyDescent="0.3">
      <c r="A29" t="s">
        <v>26</v>
      </c>
      <c r="B29" t="s">
        <v>28</v>
      </c>
      <c r="C29">
        <v>-99999</v>
      </c>
      <c r="D29">
        <v>0</v>
      </c>
      <c r="E29">
        <v>5</v>
      </c>
      <c r="F29">
        <v>12.564577999999999</v>
      </c>
      <c r="G29">
        <v>1.1551267999999999</v>
      </c>
      <c r="H29">
        <v>6.3851465999999997</v>
      </c>
      <c r="I29">
        <v>8.602169</v>
      </c>
      <c r="J29">
        <v>4.1178055000000002</v>
      </c>
      <c r="K29">
        <v>5.6137423999999996</v>
      </c>
      <c r="L29">
        <v>0</v>
      </c>
      <c r="M29">
        <v>0</v>
      </c>
      <c r="N29">
        <v>0</v>
      </c>
      <c r="O29">
        <v>0</v>
      </c>
      <c r="P29">
        <v>7</v>
      </c>
      <c r="Q29">
        <v>0</v>
      </c>
      <c r="R29">
        <v>0</v>
      </c>
      <c r="S29">
        <v>0</v>
      </c>
      <c r="T29">
        <v>7</v>
      </c>
      <c r="U29">
        <v>1</v>
      </c>
      <c r="V29">
        <v>0</v>
      </c>
      <c r="W29">
        <v>0</v>
      </c>
      <c r="X29">
        <v>0</v>
      </c>
      <c r="Y29">
        <v>0</v>
      </c>
      <c r="Z29">
        <v>1</v>
      </c>
      <c r="AA29">
        <v>0</v>
      </c>
      <c r="AB29">
        <v>0</v>
      </c>
      <c r="AC29">
        <v>0</v>
      </c>
      <c r="AD29">
        <f t="shared" si="0"/>
        <v>0</v>
      </c>
    </row>
    <row r="30" spans="1:30" x14ac:dyDescent="0.3">
      <c r="A30" t="s">
        <v>26</v>
      </c>
      <c r="B30" t="s">
        <v>28</v>
      </c>
      <c r="C30">
        <v>-99999</v>
      </c>
      <c r="D30">
        <v>0</v>
      </c>
      <c r="E30">
        <v>6</v>
      </c>
      <c r="F30">
        <v>12.564577999999999</v>
      </c>
      <c r="G30">
        <v>1.1551267999999999</v>
      </c>
      <c r="H30">
        <v>6.3851465999999997</v>
      </c>
      <c r="I30">
        <v>8.602169</v>
      </c>
      <c r="J30">
        <v>4.1178055000000002</v>
      </c>
      <c r="K30">
        <v>5.6137423999999996</v>
      </c>
      <c r="L30">
        <v>0</v>
      </c>
      <c r="M30">
        <v>0</v>
      </c>
      <c r="N30">
        <v>0</v>
      </c>
      <c r="O30">
        <v>0</v>
      </c>
      <c r="P30">
        <v>7</v>
      </c>
      <c r="Q30">
        <v>0</v>
      </c>
      <c r="R30">
        <v>0</v>
      </c>
      <c r="S30">
        <v>0</v>
      </c>
      <c r="T30">
        <v>7</v>
      </c>
      <c r="U30">
        <v>1</v>
      </c>
      <c r="V30">
        <v>0</v>
      </c>
      <c r="W30">
        <v>0</v>
      </c>
      <c r="X30">
        <v>0</v>
      </c>
      <c r="Y30">
        <v>0</v>
      </c>
      <c r="Z30">
        <v>1</v>
      </c>
      <c r="AA30">
        <v>0</v>
      </c>
      <c r="AB30">
        <v>0</v>
      </c>
      <c r="AC30">
        <v>0</v>
      </c>
      <c r="AD30">
        <f t="shared" si="0"/>
        <v>0</v>
      </c>
    </row>
    <row r="31" spans="1:30" x14ac:dyDescent="0.3">
      <c r="A31" t="s">
        <v>26</v>
      </c>
      <c r="B31" t="s">
        <v>28</v>
      </c>
      <c r="C31">
        <v>-99999</v>
      </c>
      <c r="D31">
        <v>0</v>
      </c>
      <c r="E31">
        <v>7</v>
      </c>
      <c r="F31">
        <v>12.564577999999999</v>
      </c>
      <c r="G31">
        <v>1.1551267999999999</v>
      </c>
      <c r="H31">
        <v>6.3851465999999997</v>
      </c>
      <c r="I31">
        <v>8.602169</v>
      </c>
      <c r="J31">
        <v>4.1178055000000002</v>
      </c>
      <c r="K31">
        <v>5.6137423999999996</v>
      </c>
      <c r="L31">
        <v>0</v>
      </c>
      <c r="M31">
        <v>0</v>
      </c>
      <c r="N31">
        <v>0</v>
      </c>
      <c r="O31">
        <v>0</v>
      </c>
      <c r="P31">
        <v>7</v>
      </c>
      <c r="Q31">
        <v>0</v>
      </c>
      <c r="R31">
        <v>0</v>
      </c>
      <c r="S31">
        <v>0</v>
      </c>
      <c r="T31">
        <v>7</v>
      </c>
      <c r="U31">
        <v>1</v>
      </c>
      <c r="V31">
        <v>0</v>
      </c>
      <c r="W31">
        <v>0</v>
      </c>
      <c r="X31">
        <v>0</v>
      </c>
      <c r="Y31">
        <v>0</v>
      </c>
      <c r="Z31">
        <v>1</v>
      </c>
      <c r="AA31">
        <v>0</v>
      </c>
      <c r="AB31">
        <v>0</v>
      </c>
      <c r="AC31">
        <v>0</v>
      </c>
      <c r="AD31">
        <f t="shared" si="0"/>
        <v>0</v>
      </c>
    </row>
    <row r="32" spans="1:30" x14ac:dyDescent="0.3">
      <c r="A32" t="s">
        <v>26</v>
      </c>
      <c r="B32" t="s">
        <v>29</v>
      </c>
      <c r="C32">
        <v>544</v>
      </c>
      <c r="D32">
        <v>1.0094690492476062</v>
      </c>
      <c r="E32">
        <v>3</v>
      </c>
      <c r="F32">
        <v>14.334533</v>
      </c>
      <c r="G32">
        <v>0.65266376999999998</v>
      </c>
      <c r="H32">
        <v>7.6881456000000004</v>
      </c>
      <c r="I32">
        <v>7.7865976999999997</v>
      </c>
      <c r="J32">
        <v>5.1793035999999999</v>
      </c>
      <c r="K32">
        <v>6.0932545999999999</v>
      </c>
      <c r="L32">
        <v>7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7</v>
      </c>
      <c r="U32">
        <v>1</v>
      </c>
      <c r="V32">
        <v>1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f t="shared" si="0"/>
        <v>0</v>
      </c>
    </row>
    <row r="33" spans="1:30" x14ac:dyDescent="0.3">
      <c r="A33" t="s">
        <v>26</v>
      </c>
      <c r="B33" t="s">
        <v>29</v>
      </c>
      <c r="C33">
        <v>280</v>
      </c>
      <c r="D33">
        <v>0.85066445182724248</v>
      </c>
      <c r="E33">
        <v>4</v>
      </c>
      <c r="F33">
        <v>14.334533</v>
      </c>
      <c r="G33">
        <v>0.65266376999999998</v>
      </c>
      <c r="H33">
        <v>7.6881456000000004</v>
      </c>
      <c r="I33">
        <v>7.7865976999999997</v>
      </c>
      <c r="J33">
        <v>5.1793035999999999</v>
      </c>
      <c r="K33">
        <v>6.0932545999999999</v>
      </c>
      <c r="L33">
        <v>7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7</v>
      </c>
      <c r="U33">
        <v>1</v>
      </c>
      <c r="V33">
        <v>1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f t="shared" si="0"/>
        <v>0</v>
      </c>
    </row>
    <row r="34" spans="1:30" x14ac:dyDescent="0.3">
      <c r="A34" t="s">
        <v>26</v>
      </c>
      <c r="B34" t="s">
        <v>29</v>
      </c>
      <c r="C34">
        <v>18</v>
      </c>
      <c r="D34">
        <v>0.73514211886304914</v>
      </c>
      <c r="E34">
        <v>5</v>
      </c>
      <c r="F34">
        <v>14.334533</v>
      </c>
      <c r="G34">
        <v>0.65266376999999998</v>
      </c>
      <c r="H34">
        <v>7.6881456000000004</v>
      </c>
      <c r="I34">
        <v>7.7865976999999997</v>
      </c>
      <c r="J34">
        <v>5.1793035999999999</v>
      </c>
      <c r="K34">
        <v>6.0932545999999999</v>
      </c>
      <c r="L34">
        <v>7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7</v>
      </c>
      <c r="U34">
        <v>1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f t="shared" si="0"/>
        <v>0</v>
      </c>
    </row>
    <row r="35" spans="1:30" x14ac:dyDescent="0.3">
      <c r="A35" t="s">
        <v>26</v>
      </c>
      <c r="B35" t="s">
        <v>29</v>
      </c>
      <c r="C35">
        <v>3</v>
      </c>
      <c r="D35">
        <v>2.2054263565891472</v>
      </c>
      <c r="E35">
        <v>6</v>
      </c>
      <c r="F35">
        <v>14.334533</v>
      </c>
      <c r="G35">
        <v>0.65266376999999998</v>
      </c>
      <c r="H35">
        <v>7.6881456000000004</v>
      </c>
      <c r="I35">
        <v>7.7865976999999997</v>
      </c>
      <c r="J35">
        <v>5.1793035999999999</v>
      </c>
      <c r="K35">
        <v>6.0932545999999999</v>
      </c>
      <c r="L35">
        <v>7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7</v>
      </c>
      <c r="U35">
        <v>1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f t="shared" si="0"/>
        <v>1</v>
      </c>
    </row>
    <row r="36" spans="1:30" x14ac:dyDescent="0.3">
      <c r="A36" t="s">
        <v>26</v>
      </c>
      <c r="B36" t="s">
        <v>29</v>
      </c>
      <c r="C36">
        <v>-99999</v>
      </c>
      <c r="D36">
        <v>0</v>
      </c>
      <c r="E36">
        <v>7</v>
      </c>
      <c r="F36">
        <v>14.334533</v>
      </c>
      <c r="G36">
        <v>0.65266376999999998</v>
      </c>
      <c r="H36">
        <v>7.6881456000000004</v>
      </c>
      <c r="I36">
        <v>7.7865976999999997</v>
      </c>
      <c r="J36">
        <v>5.1793035999999999</v>
      </c>
      <c r="K36">
        <v>6.0932545999999999</v>
      </c>
      <c r="L36">
        <v>7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7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f t="shared" si="0"/>
        <v>0</v>
      </c>
    </row>
    <row r="37" spans="1:30" x14ac:dyDescent="0.3">
      <c r="A37" t="s">
        <v>26</v>
      </c>
      <c r="B37" t="s">
        <v>30</v>
      </c>
      <c r="C37">
        <v>17</v>
      </c>
      <c r="D37">
        <v>0.77838577291381672</v>
      </c>
      <c r="E37">
        <v>3</v>
      </c>
      <c r="F37">
        <v>5.3081598000000003</v>
      </c>
      <c r="G37">
        <v>0.51087475000000004</v>
      </c>
      <c r="H37">
        <v>2.6165864000000001</v>
      </c>
      <c r="I37">
        <v>9.2363853000000002</v>
      </c>
      <c r="J37">
        <v>6.5673928000000004</v>
      </c>
      <c r="K37">
        <v>8.3624115000000003</v>
      </c>
      <c r="L37">
        <v>0</v>
      </c>
      <c r="M37">
        <v>0</v>
      </c>
      <c r="N37">
        <v>0</v>
      </c>
      <c r="O37">
        <v>0</v>
      </c>
      <c r="P37">
        <v>7</v>
      </c>
      <c r="Q37">
        <v>0</v>
      </c>
      <c r="R37">
        <v>0</v>
      </c>
      <c r="S37">
        <v>0</v>
      </c>
      <c r="T37">
        <v>7</v>
      </c>
      <c r="U37">
        <v>1</v>
      </c>
      <c r="V37">
        <v>0</v>
      </c>
      <c r="W37">
        <v>0</v>
      </c>
      <c r="X37">
        <v>0</v>
      </c>
      <c r="Y37">
        <v>0</v>
      </c>
      <c r="Z37">
        <v>1</v>
      </c>
      <c r="AA37">
        <v>0</v>
      </c>
      <c r="AB37">
        <v>0</v>
      </c>
      <c r="AC37">
        <v>0</v>
      </c>
      <c r="AD37">
        <f t="shared" si="0"/>
        <v>0</v>
      </c>
    </row>
    <row r="38" spans="1:30" x14ac:dyDescent="0.3">
      <c r="A38" t="s">
        <v>26</v>
      </c>
      <c r="B38" t="s">
        <v>30</v>
      </c>
      <c r="C38">
        <v>1</v>
      </c>
      <c r="D38">
        <v>0</v>
      </c>
      <c r="E38">
        <v>4</v>
      </c>
      <c r="F38">
        <v>5.3081598000000003</v>
      </c>
      <c r="G38">
        <v>0.51087475000000004</v>
      </c>
      <c r="H38">
        <v>2.6165864000000001</v>
      </c>
      <c r="I38">
        <v>9.2363853000000002</v>
      </c>
      <c r="J38">
        <v>6.5673928000000004</v>
      </c>
      <c r="K38">
        <v>8.3624115000000003</v>
      </c>
      <c r="L38">
        <v>0</v>
      </c>
      <c r="M38">
        <v>0</v>
      </c>
      <c r="N38">
        <v>0</v>
      </c>
      <c r="O38">
        <v>0</v>
      </c>
      <c r="P38">
        <v>7</v>
      </c>
      <c r="Q38">
        <v>0</v>
      </c>
      <c r="R38">
        <v>0</v>
      </c>
      <c r="S38">
        <v>0</v>
      </c>
      <c r="T38">
        <v>7</v>
      </c>
      <c r="U38">
        <v>1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  <c r="AB38">
        <v>0</v>
      </c>
      <c r="AC38">
        <v>0</v>
      </c>
      <c r="AD38">
        <f t="shared" si="0"/>
        <v>0</v>
      </c>
    </row>
    <row r="39" spans="1:30" x14ac:dyDescent="0.3">
      <c r="A39" t="s">
        <v>26</v>
      </c>
      <c r="B39" t="s">
        <v>30</v>
      </c>
      <c r="C39">
        <v>-99999</v>
      </c>
      <c r="D39">
        <v>0</v>
      </c>
      <c r="E39">
        <v>5</v>
      </c>
      <c r="F39">
        <v>5.3081598000000003</v>
      </c>
      <c r="G39">
        <v>0.51087475000000004</v>
      </c>
      <c r="H39">
        <v>2.6165864000000001</v>
      </c>
      <c r="I39">
        <v>9.2363853000000002</v>
      </c>
      <c r="J39">
        <v>6.5673928000000004</v>
      </c>
      <c r="K39">
        <v>8.3624115000000003</v>
      </c>
      <c r="L39">
        <v>0</v>
      </c>
      <c r="M39">
        <v>0</v>
      </c>
      <c r="N39">
        <v>0</v>
      </c>
      <c r="O39">
        <v>0</v>
      </c>
      <c r="P39">
        <v>7</v>
      </c>
      <c r="Q39">
        <v>0</v>
      </c>
      <c r="R39">
        <v>0</v>
      </c>
      <c r="S39">
        <v>0</v>
      </c>
      <c r="T39">
        <v>7</v>
      </c>
      <c r="U39">
        <v>1</v>
      </c>
      <c r="V39">
        <v>0</v>
      </c>
      <c r="W39">
        <v>0</v>
      </c>
      <c r="X39">
        <v>0</v>
      </c>
      <c r="Y39">
        <v>0</v>
      </c>
      <c r="Z39">
        <v>1</v>
      </c>
      <c r="AA39">
        <v>0</v>
      </c>
      <c r="AB39">
        <v>0</v>
      </c>
      <c r="AC39">
        <v>0</v>
      </c>
      <c r="AD39">
        <f t="shared" si="0"/>
        <v>0</v>
      </c>
    </row>
    <row r="40" spans="1:30" x14ac:dyDescent="0.3">
      <c r="A40" t="s">
        <v>26</v>
      </c>
      <c r="B40" t="s">
        <v>30</v>
      </c>
      <c r="C40">
        <v>-99999</v>
      </c>
      <c r="D40">
        <v>0</v>
      </c>
      <c r="E40">
        <v>6</v>
      </c>
      <c r="F40">
        <v>5.3081598000000003</v>
      </c>
      <c r="G40">
        <v>0.51087475000000004</v>
      </c>
      <c r="H40">
        <v>2.6165864000000001</v>
      </c>
      <c r="I40">
        <v>9.2363853000000002</v>
      </c>
      <c r="J40">
        <v>6.5673928000000004</v>
      </c>
      <c r="K40">
        <v>8.3624115000000003</v>
      </c>
      <c r="L40">
        <v>0</v>
      </c>
      <c r="M40">
        <v>0</v>
      </c>
      <c r="N40">
        <v>0</v>
      </c>
      <c r="O40">
        <v>0</v>
      </c>
      <c r="P40">
        <v>7</v>
      </c>
      <c r="Q40">
        <v>0</v>
      </c>
      <c r="R40">
        <v>0</v>
      </c>
      <c r="S40">
        <v>0</v>
      </c>
      <c r="T40">
        <v>7</v>
      </c>
      <c r="U40">
        <v>1</v>
      </c>
      <c r="V40">
        <v>0</v>
      </c>
      <c r="W40">
        <v>0</v>
      </c>
      <c r="X40">
        <v>0</v>
      </c>
      <c r="Y40">
        <v>0</v>
      </c>
      <c r="Z40">
        <v>1</v>
      </c>
      <c r="AA40">
        <v>0</v>
      </c>
      <c r="AB40">
        <v>0</v>
      </c>
      <c r="AC40">
        <v>0</v>
      </c>
      <c r="AD40">
        <f t="shared" si="0"/>
        <v>0</v>
      </c>
    </row>
    <row r="41" spans="1:30" x14ac:dyDescent="0.3">
      <c r="A41" t="s">
        <v>26</v>
      </c>
      <c r="B41" t="s">
        <v>30</v>
      </c>
      <c r="C41">
        <v>-99999</v>
      </c>
      <c r="D41">
        <v>0</v>
      </c>
      <c r="E41">
        <v>7</v>
      </c>
      <c r="F41">
        <v>5.3081598000000003</v>
      </c>
      <c r="G41">
        <v>0.51087475000000004</v>
      </c>
      <c r="H41">
        <v>2.6165864000000001</v>
      </c>
      <c r="I41">
        <v>9.2363853000000002</v>
      </c>
      <c r="J41">
        <v>6.5673928000000004</v>
      </c>
      <c r="K41">
        <v>8.3624115000000003</v>
      </c>
      <c r="L41">
        <v>0</v>
      </c>
      <c r="M41">
        <v>0</v>
      </c>
      <c r="N41">
        <v>0</v>
      </c>
      <c r="O41">
        <v>0</v>
      </c>
      <c r="P41">
        <v>7</v>
      </c>
      <c r="Q41">
        <v>0</v>
      </c>
      <c r="R41">
        <v>0</v>
      </c>
      <c r="S41">
        <v>0</v>
      </c>
      <c r="T41">
        <v>7</v>
      </c>
      <c r="U41">
        <v>1</v>
      </c>
      <c r="V41">
        <v>0</v>
      </c>
      <c r="W41">
        <v>0</v>
      </c>
      <c r="X41">
        <v>0</v>
      </c>
      <c r="Y41">
        <v>0</v>
      </c>
      <c r="Z41">
        <v>1</v>
      </c>
      <c r="AA41">
        <v>0</v>
      </c>
      <c r="AB41">
        <v>0</v>
      </c>
      <c r="AC41">
        <v>0</v>
      </c>
      <c r="AD41">
        <f t="shared" si="0"/>
        <v>0</v>
      </c>
    </row>
    <row r="42" spans="1:30" x14ac:dyDescent="0.3">
      <c r="A42" t="s">
        <v>54</v>
      </c>
      <c r="B42" t="s">
        <v>27</v>
      </c>
      <c r="C42">
        <v>565</v>
      </c>
      <c r="D42">
        <v>1.0070796460176992</v>
      </c>
      <c r="E42">
        <v>3</v>
      </c>
      <c r="F42">
        <v>11.500634</v>
      </c>
      <c r="G42">
        <v>2.1901793000000001</v>
      </c>
      <c r="H42">
        <v>6.2673740000000002</v>
      </c>
      <c r="I42">
        <v>8.0793809999999997</v>
      </c>
      <c r="J42">
        <v>3.7707212000000001</v>
      </c>
      <c r="K42">
        <v>5.3373112999999996</v>
      </c>
      <c r="L42">
        <v>3</v>
      </c>
      <c r="M42">
        <v>1</v>
      </c>
      <c r="N42">
        <v>1</v>
      </c>
      <c r="O42">
        <v>0</v>
      </c>
      <c r="P42">
        <v>1</v>
      </c>
      <c r="Q42">
        <v>1</v>
      </c>
      <c r="R42">
        <v>0</v>
      </c>
      <c r="S42">
        <v>0</v>
      </c>
      <c r="T42">
        <v>7</v>
      </c>
      <c r="U42">
        <v>0</v>
      </c>
      <c r="V42">
        <v>0.428571429</v>
      </c>
      <c r="W42">
        <v>0.14285714299999999</v>
      </c>
      <c r="X42">
        <v>0.14285714299999999</v>
      </c>
      <c r="Y42">
        <v>0</v>
      </c>
      <c r="Z42">
        <v>0.14285714299999999</v>
      </c>
      <c r="AA42">
        <v>0.14285714299999999</v>
      </c>
      <c r="AB42">
        <v>0</v>
      </c>
      <c r="AC42">
        <v>0</v>
      </c>
      <c r="AD42">
        <f t="shared" si="0"/>
        <v>0</v>
      </c>
    </row>
    <row r="43" spans="1:30" x14ac:dyDescent="0.3">
      <c r="A43" t="s">
        <v>54</v>
      </c>
      <c r="B43" t="s">
        <v>27</v>
      </c>
      <c r="C43">
        <v>498</v>
      </c>
      <c r="D43">
        <v>1.0362846735780331</v>
      </c>
      <c r="E43">
        <v>4</v>
      </c>
      <c r="F43">
        <v>11.500634</v>
      </c>
      <c r="G43">
        <v>2.1901793000000001</v>
      </c>
      <c r="H43">
        <v>6.2673740000000002</v>
      </c>
      <c r="I43">
        <v>8.0793809999999997</v>
      </c>
      <c r="J43">
        <v>3.7707212000000001</v>
      </c>
      <c r="K43">
        <v>5.3373112999999996</v>
      </c>
      <c r="L43">
        <v>3</v>
      </c>
      <c r="M43">
        <v>1</v>
      </c>
      <c r="N43">
        <v>1</v>
      </c>
      <c r="O43">
        <v>0</v>
      </c>
      <c r="P43">
        <v>1</v>
      </c>
      <c r="Q43">
        <v>1</v>
      </c>
      <c r="R43">
        <v>0</v>
      </c>
      <c r="S43">
        <v>0</v>
      </c>
      <c r="T43">
        <v>7</v>
      </c>
      <c r="U43">
        <v>0</v>
      </c>
      <c r="V43">
        <v>0.428571429</v>
      </c>
      <c r="W43">
        <v>0.14285714299999999</v>
      </c>
      <c r="X43">
        <v>0.14285714299999999</v>
      </c>
      <c r="Y43">
        <v>0</v>
      </c>
      <c r="Z43">
        <v>0.14285714299999999</v>
      </c>
      <c r="AA43">
        <v>0.14285714299999999</v>
      </c>
      <c r="AB43">
        <v>0</v>
      </c>
      <c r="AC43">
        <v>0</v>
      </c>
      <c r="AD43">
        <f t="shared" si="0"/>
        <v>0</v>
      </c>
    </row>
    <row r="44" spans="1:30" x14ac:dyDescent="0.3">
      <c r="A44" t="s">
        <v>54</v>
      </c>
      <c r="B44" t="s">
        <v>27</v>
      </c>
      <c r="C44">
        <v>69</v>
      </c>
      <c r="D44">
        <v>0.47944051230198859</v>
      </c>
      <c r="E44">
        <v>5</v>
      </c>
      <c r="F44">
        <v>11.500634</v>
      </c>
      <c r="G44">
        <v>2.1901793000000001</v>
      </c>
      <c r="H44">
        <v>6.2673740000000002</v>
      </c>
      <c r="I44">
        <v>8.0793809999999997</v>
      </c>
      <c r="J44">
        <v>3.7707212000000001</v>
      </c>
      <c r="K44">
        <v>5.3373112999999996</v>
      </c>
      <c r="L44">
        <v>3</v>
      </c>
      <c r="M44">
        <v>1</v>
      </c>
      <c r="N44">
        <v>1</v>
      </c>
      <c r="O44">
        <v>0</v>
      </c>
      <c r="P44">
        <v>1</v>
      </c>
      <c r="Q44">
        <v>1</v>
      </c>
      <c r="R44">
        <v>0</v>
      </c>
      <c r="S44">
        <v>0</v>
      </c>
      <c r="T44">
        <v>7</v>
      </c>
      <c r="U44">
        <v>0</v>
      </c>
      <c r="V44">
        <v>0.428571429</v>
      </c>
      <c r="W44">
        <v>0.14285714299999999</v>
      </c>
      <c r="X44">
        <v>0.14285714299999999</v>
      </c>
      <c r="Y44">
        <v>0</v>
      </c>
      <c r="Z44">
        <v>0.14285714299999999</v>
      </c>
      <c r="AA44">
        <v>0.14285714299999999</v>
      </c>
      <c r="AB44">
        <v>0</v>
      </c>
      <c r="AC44">
        <v>0</v>
      </c>
      <c r="AD44">
        <f t="shared" si="0"/>
        <v>0</v>
      </c>
    </row>
    <row r="45" spans="1:30" x14ac:dyDescent="0.3">
      <c r="A45" t="s">
        <v>54</v>
      </c>
      <c r="B45" t="s">
        <v>27</v>
      </c>
      <c r="C45">
        <v>2</v>
      </c>
      <c r="D45">
        <v>0</v>
      </c>
      <c r="E45">
        <v>6</v>
      </c>
      <c r="F45">
        <v>11.500634</v>
      </c>
      <c r="G45">
        <v>2.1901793000000001</v>
      </c>
      <c r="H45">
        <v>6.2673740000000002</v>
      </c>
      <c r="I45">
        <v>8.0793809999999997</v>
      </c>
      <c r="J45">
        <v>3.7707212000000001</v>
      </c>
      <c r="K45">
        <v>5.3373112999999996</v>
      </c>
      <c r="L45">
        <v>3</v>
      </c>
      <c r="M45">
        <v>1</v>
      </c>
      <c r="N45">
        <v>1</v>
      </c>
      <c r="O45">
        <v>0</v>
      </c>
      <c r="P45">
        <v>1</v>
      </c>
      <c r="Q45">
        <v>1</v>
      </c>
      <c r="R45">
        <v>0</v>
      </c>
      <c r="S45">
        <v>0</v>
      </c>
      <c r="T45">
        <v>7</v>
      </c>
      <c r="U45">
        <v>0</v>
      </c>
      <c r="V45">
        <v>0.428571429</v>
      </c>
      <c r="W45">
        <v>0.14285714299999999</v>
      </c>
      <c r="X45">
        <v>0.14285714299999999</v>
      </c>
      <c r="Y45">
        <v>0</v>
      </c>
      <c r="Z45">
        <v>0.14285714299999999</v>
      </c>
      <c r="AA45">
        <v>0.14285714299999999</v>
      </c>
      <c r="AB45">
        <v>0</v>
      </c>
      <c r="AC45">
        <v>0</v>
      </c>
      <c r="AD45">
        <f t="shared" si="0"/>
        <v>0</v>
      </c>
    </row>
    <row r="46" spans="1:30" x14ac:dyDescent="0.3">
      <c r="A46" t="s">
        <v>54</v>
      </c>
      <c r="B46" t="s">
        <v>27</v>
      </c>
      <c r="C46">
        <v>-99999</v>
      </c>
      <c r="D46">
        <v>0</v>
      </c>
      <c r="E46">
        <v>7</v>
      </c>
      <c r="F46">
        <v>11.500634</v>
      </c>
      <c r="G46">
        <v>2.1901793000000001</v>
      </c>
      <c r="H46">
        <v>6.2673740000000002</v>
      </c>
      <c r="I46">
        <v>8.0793809999999997</v>
      </c>
      <c r="J46">
        <v>3.7707212000000001</v>
      </c>
      <c r="K46">
        <v>5.3373112999999996</v>
      </c>
      <c r="L46">
        <v>3</v>
      </c>
      <c r="M46">
        <v>1</v>
      </c>
      <c r="N46">
        <v>1</v>
      </c>
      <c r="O46">
        <v>0</v>
      </c>
      <c r="P46">
        <v>1</v>
      </c>
      <c r="Q46">
        <v>1</v>
      </c>
      <c r="R46">
        <v>0</v>
      </c>
      <c r="S46">
        <v>0</v>
      </c>
      <c r="T46">
        <v>7</v>
      </c>
      <c r="U46">
        <v>0</v>
      </c>
      <c r="V46">
        <v>0.428571429</v>
      </c>
      <c r="W46">
        <v>0.14285714299999999</v>
      </c>
      <c r="X46">
        <v>0.14285714299999999</v>
      </c>
      <c r="Y46">
        <v>0</v>
      </c>
      <c r="Z46">
        <v>0.14285714299999999</v>
      </c>
      <c r="AA46">
        <v>0.14285714299999999</v>
      </c>
      <c r="AB46">
        <v>0</v>
      </c>
      <c r="AC46">
        <v>0</v>
      </c>
      <c r="AD46">
        <f t="shared" si="0"/>
        <v>0</v>
      </c>
    </row>
    <row r="47" spans="1:30" x14ac:dyDescent="0.3">
      <c r="A47" t="s">
        <v>54</v>
      </c>
      <c r="B47" t="s">
        <v>28</v>
      </c>
      <c r="C47">
        <v>502</v>
      </c>
      <c r="D47">
        <v>1.0016677476141944</v>
      </c>
      <c r="E47">
        <v>3</v>
      </c>
      <c r="F47">
        <v>13.754384999999999</v>
      </c>
      <c r="G47">
        <v>1.6345235</v>
      </c>
      <c r="H47">
        <v>5.9744697000000002</v>
      </c>
      <c r="I47">
        <v>9.3874969000000004</v>
      </c>
      <c r="J47">
        <v>2.4649595999999998</v>
      </c>
      <c r="K47">
        <v>4.5810642000000001</v>
      </c>
      <c r="L47">
        <v>1</v>
      </c>
      <c r="M47">
        <v>0</v>
      </c>
      <c r="N47">
        <v>0</v>
      </c>
      <c r="O47">
        <v>0</v>
      </c>
      <c r="P47">
        <v>5</v>
      </c>
      <c r="Q47">
        <v>1</v>
      </c>
      <c r="R47">
        <v>0</v>
      </c>
      <c r="S47">
        <v>0</v>
      </c>
      <c r="T47">
        <v>7</v>
      </c>
      <c r="U47">
        <v>0</v>
      </c>
      <c r="V47">
        <v>0.14285714299999999</v>
      </c>
      <c r="W47">
        <v>0</v>
      </c>
      <c r="X47">
        <v>0</v>
      </c>
      <c r="Y47">
        <v>0</v>
      </c>
      <c r="Z47">
        <v>0.71428571399999996</v>
      </c>
      <c r="AA47">
        <v>0.14285714299999999</v>
      </c>
      <c r="AB47">
        <v>0</v>
      </c>
      <c r="AC47">
        <v>0</v>
      </c>
      <c r="AD47">
        <f t="shared" si="0"/>
        <v>0</v>
      </c>
    </row>
    <row r="48" spans="1:30" x14ac:dyDescent="0.3">
      <c r="A48" t="s">
        <v>54</v>
      </c>
      <c r="B48" t="s">
        <v>28</v>
      </c>
      <c r="C48">
        <v>40</v>
      </c>
      <c r="D48">
        <v>0.66162790697674423</v>
      </c>
      <c r="E48">
        <v>4</v>
      </c>
      <c r="F48">
        <v>13.754384999999999</v>
      </c>
      <c r="G48">
        <v>1.6345235</v>
      </c>
      <c r="H48">
        <v>5.9744697000000002</v>
      </c>
      <c r="I48">
        <v>9.3874969000000004</v>
      </c>
      <c r="J48">
        <v>2.4649595999999998</v>
      </c>
      <c r="K48">
        <v>4.5810642000000001</v>
      </c>
      <c r="L48">
        <v>1</v>
      </c>
      <c r="M48">
        <v>0</v>
      </c>
      <c r="N48">
        <v>0</v>
      </c>
      <c r="O48">
        <v>0</v>
      </c>
      <c r="P48">
        <v>5</v>
      </c>
      <c r="Q48">
        <v>1</v>
      </c>
      <c r="R48">
        <v>0</v>
      </c>
      <c r="S48">
        <v>0</v>
      </c>
      <c r="T48">
        <v>7</v>
      </c>
      <c r="U48">
        <v>0</v>
      </c>
      <c r="V48">
        <v>0.14285714299999999</v>
      </c>
      <c r="W48">
        <v>0</v>
      </c>
      <c r="X48">
        <v>0</v>
      </c>
      <c r="Y48">
        <v>0</v>
      </c>
      <c r="Z48">
        <v>0.71428571399999996</v>
      </c>
      <c r="AA48">
        <v>0.14285714299999999</v>
      </c>
      <c r="AB48">
        <v>0</v>
      </c>
      <c r="AC48">
        <v>0</v>
      </c>
      <c r="AD48">
        <f t="shared" si="0"/>
        <v>0</v>
      </c>
    </row>
    <row r="49" spans="1:30" x14ac:dyDescent="0.3">
      <c r="A49" t="s">
        <v>54</v>
      </c>
      <c r="B49" t="s">
        <v>28</v>
      </c>
      <c r="C49">
        <v>1</v>
      </c>
      <c r="D49">
        <v>0</v>
      </c>
      <c r="E49">
        <v>5</v>
      </c>
      <c r="F49">
        <v>13.754384999999999</v>
      </c>
      <c r="G49">
        <v>1.6345235</v>
      </c>
      <c r="H49">
        <v>5.9744697000000002</v>
      </c>
      <c r="I49">
        <v>9.3874969000000004</v>
      </c>
      <c r="J49">
        <v>2.4649595999999998</v>
      </c>
      <c r="K49">
        <v>4.5810642000000001</v>
      </c>
      <c r="L49">
        <v>1</v>
      </c>
      <c r="M49">
        <v>0</v>
      </c>
      <c r="N49">
        <v>0</v>
      </c>
      <c r="O49">
        <v>0</v>
      </c>
      <c r="P49">
        <v>5</v>
      </c>
      <c r="Q49">
        <v>1</v>
      </c>
      <c r="R49">
        <v>0</v>
      </c>
      <c r="S49">
        <v>0</v>
      </c>
      <c r="T49">
        <v>7</v>
      </c>
      <c r="U49">
        <v>0</v>
      </c>
      <c r="V49">
        <v>0.14285714299999999</v>
      </c>
      <c r="W49">
        <v>0</v>
      </c>
      <c r="X49">
        <v>0</v>
      </c>
      <c r="Y49">
        <v>0</v>
      </c>
      <c r="Z49">
        <v>0.71428571399999996</v>
      </c>
      <c r="AA49">
        <v>0.14285714299999999</v>
      </c>
      <c r="AB49">
        <v>0</v>
      </c>
      <c r="AC49">
        <v>0</v>
      </c>
      <c r="AD49">
        <f t="shared" si="0"/>
        <v>0</v>
      </c>
    </row>
    <row r="50" spans="1:30" x14ac:dyDescent="0.3">
      <c r="A50" t="s">
        <v>54</v>
      </c>
      <c r="B50" t="s">
        <v>28</v>
      </c>
      <c r="C50">
        <v>-99999</v>
      </c>
      <c r="D50">
        <v>0</v>
      </c>
      <c r="E50">
        <v>6</v>
      </c>
      <c r="F50">
        <v>13.754384999999999</v>
      </c>
      <c r="G50">
        <v>1.6345235</v>
      </c>
      <c r="H50">
        <v>5.9744697000000002</v>
      </c>
      <c r="I50">
        <v>9.3874969000000004</v>
      </c>
      <c r="J50">
        <v>2.4649595999999998</v>
      </c>
      <c r="K50">
        <v>4.5810642000000001</v>
      </c>
      <c r="L50">
        <v>1</v>
      </c>
      <c r="M50">
        <v>0</v>
      </c>
      <c r="N50">
        <v>0</v>
      </c>
      <c r="O50">
        <v>0</v>
      </c>
      <c r="P50">
        <v>5</v>
      </c>
      <c r="Q50">
        <v>1</v>
      </c>
      <c r="R50">
        <v>0</v>
      </c>
      <c r="S50">
        <v>0</v>
      </c>
      <c r="T50">
        <v>7</v>
      </c>
      <c r="U50">
        <v>0</v>
      </c>
      <c r="V50">
        <v>0.14285714299999999</v>
      </c>
      <c r="W50">
        <v>0</v>
      </c>
      <c r="X50">
        <v>0</v>
      </c>
      <c r="Y50">
        <v>0</v>
      </c>
      <c r="Z50">
        <v>0.71428571399999996</v>
      </c>
      <c r="AA50">
        <v>0.14285714299999999</v>
      </c>
      <c r="AB50">
        <v>0</v>
      </c>
      <c r="AC50">
        <v>0</v>
      </c>
      <c r="AD50">
        <f t="shared" si="0"/>
        <v>0</v>
      </c>
    </row>
    <row r="51" spans="1:30" x14ac:dyDescent="0.3">
      <c r="A51" t="s">
        <v>54</v>
      </c>
      <c r="B51" t="s">
        <v>28</v>
      </c>
      <c r="C51">
        <v>-99999</v>
      </c>
      <c r="D51">
        <v>0</v>
      </c>
      <c r="E51">
        <v>7</v>
      </c>
      <c r="F51">
        <v>13.754384999999999</v>
      </c>
      <c r="G51">
        <v>1.6345235</v>
      </c>
      <c r="H51">
        <v>5.9744697000000002</v>
      </c>
      <c r="I51">
        <v>9.3874969000000004</v>
      </c>
      <c r="J51">
        <v>2.4649595999999998</v>
      </c>
      <c r="K51">
        <v>4.5810642000000001</v>
      </c>
      <c r="L51">
        <v>1</v>
      </c>
      <c r="M51">
        <v>0</v>
      </c>
      <c r="N51">
        <v>0</v>
      </c>
      <c r="O51">
        <v>0</v>
      </c>
      <c r="P51">
        <v>5</v>
      </c>
      <c r="Q51">
        <v>1</v>
      </c>
      <c r="R51">
        <v>0</v>
      </c>
      <c r="S51">
        <v>0</v>
      </c>
      <c r="T51">
        <v>7</v>
      </c>
      <c r="U51">
        <v>0</v>
      </c>
      <c r="V51">
        <v>0.14285714299999999</v>
      </c>
      <c r="W51">
        <v>0</v>
      </c>
      <c r="X51">
        <v>0</v>
      </c>
      <c r="Y51">
        <v>0</v>
      </c>
      <c r="Z51">
        <v>0.71428571399999996</v>
      </c>
      <c r="AA51">
        <v>0.14285714299999999</v>
      </c>
      <c r="AB51">
        <v>0</v>
      </c>
      <c r="AC51">
        <v>0</v>
      </c>
      <c r="AD51">
        <f t="shared" si="0"/>
        <v>0</v>
      </c>
    </row>
    <row r="52" spans="1:30" x14ac:dyDescent="0.3">
      <c r="A52" t="s">
        <v>54</v>
      </c>
      <c r="B52" t="s">
        <v>29</v>
      </c>
      <c r="C52">
        <v>497</v>
      </c>
      <c r="D52">
        <v>0.91855785878059049</v>
      </c>
      <c r="E52">
        <v>3</v>
      </c>
      <c r="F52">
        <v>11.360661</v>
      </c>
      <c r="G52">
        <v>0.11567102</v>
      </c>
      <c r="H52">
        <v>6.8001317999999999</v>
      </c>
      <c r="I52">
        <v>8.9795073999999993</v>
      </c>
      <c r="J52">
        <v>3.6345336000000001</v>
      </c>
      <c r="K52">
        <v>6.2473387999999996</v>
      </c>
      <c r="L52">
        <v>4</v>
      </c>
      <c r="M52">
        <v>1</v>
      </c>
      <c r="N52">
        <v>2</v>
      </c>
      <c r="O52">
        <v>0</v>
      </c>
      <c r="P52">
        <v>0</v>
      </c>
      <c r="Q52">
        <v>0</v>
      </c>
      <c r="R52">
        <v>0</v>
      </c>
      <c r="S52">
        <v>0</v>
      </c>
      <c r="T52">
        <v>7</v>
      </c>
      <c r="U52">
        <v>0</v>
      </c>
      <c r="V52">
        <v>0.571428571</v>
      </c>
      <c r="W52">
        <v>0.14285714299999999</v>
      </c>
      <c r="X52">
        <v>0.28571428599999998</v>
      </c>
      <c r="Y52">
        <v>0</v>
      </c>
      <c r="Z52">
        <v>0</v>
      </c>
      <c r="AA52">
        <v>0</v>
      </c>
      <c r="AB52">
        <v>0</v>
      </c>
      <c r="AC52">
        <v>0</v>
      </c>
      <c r="AD52">
        <f t="shared" si="0"/>
        <v>0</v>
      </c>
    </row>
    <row r="53" spans="1:30" x14ac:dyDescent="0.3">
      <c r="A53" t="s">
        <v>54</v>
      </c>
      <c r="B53" t="s">
        <v>29</v>
      </c>
      <c r="C53">
        <v>186</v>
      </c>
      <c r="D53">
        <v>0.92485621405351337</v>
      </c>
      <c r="E53">
        <v>4</v>
      </c>
      <c r="F53">
        <v>11.360661</v>
      </c>
      <c r="G53">
        <v>0.11567102</v>
      </c>
      <c r="H53">
        <v>6.8001317999999999</v>
      </c>
      <c r="I53">
        <v>8.9795073999999993</v>
      </c>
      <c r="J53">
        <v>3.6345336000000001</v>
      </c>
      <c r="K53">
        <v>6.2473387999999996</v>
      </c>
      <c r="L53">
        <v>4</v>
      </c>
      <c r="M53">
        <v>1</v>
      </c>
      <c r="N53">
        <v>2</v>
      </c>
      <c r="O53">
        <v>0</v>
      </c>
      <c r="P53">
        <v>0</v>
      </c>
      <c r="Q53">
        <v>0</v>
      </c>
      <c r="R53">
        <v>0</v>
      </c>
      <c r="S53">
        <v>0</v>
      </c>
      <c r="T53">
        <v>7</v>
      </c>
      <c r="U53">
        <v>0</v>
      </c>
      <c r="V53">
        <v>0.571428571</v>
      </c>
      <c r="W53">
        <v>0.14285714299999999</v>
      </c>
      <c r="X53">
        <v>0.28571428599999998</v>
      </c>
      <c r="Y53">
        <v>0</v>
      </c>
      <c r="Z53">
        <v>0</v>
      </c>
      <c r="AA53">
        <v>0</v>
      </c>
      <c r="AB53">
        <v>0</v>
      </c>
      <c r="AC53">
        <v>0</v>
      </c>
      <c r="AD53">
        <f t="shared" si="0"/>
        <v>0</v>
      </c>
    </row>
    <row r="54" spans="1:30" x14ac:dyDescent="0.3">
      <c r="A54" t="s">
        <v>54</v>
      </c>
      <c r="B54" t="s">
        <v>29</v>
      </c>
      <c r="C54">
        <v>14</v>
      </c>
      <c r="D54">
        <v>0.47259136212624586</v>
      </c>
      <c r="E54">
        <v>5</v>
      </c>
      <c r="F54">
        <v>11.360661</v>
      </c>
      <c r="G54">
        <v>0.11567102</v>
      </c>
      <c r="H54">
        <v>6.8001317999999999</v>
      </c>
      <c r="I54">
        <v>8.9795073999999993</v>
      </c>
      <c r="J54">
        <v>3.6345336000000001</v>
      </c>
      <c r="K54">
        <v>6.2473387999999996</v>
      </c>
      <c r="L54">
        <v>4</v>
      </c>
      <c r="M54">
        <v>1</v>
      </c>
      <c r="N54">
        <v>2</v>
      </c>
      <c r="O54">
        <v>0</v>
      </c>
      <c r="P54">
        <v>0</v>
      </c>
      <c r="Q54">
        <v>0</v>
      </c>
      <c r="R54">
        <v>0</v>
      </c>
      <c r="S54">
        <v>0</v>
      </c>
      <c r="T54">
        <v>7</v>
      </c>
      <c r="U54">
        <v>0</v>
      </c>
      <c r="V54">
        <v>0.571428571</v>
      </c>
      <c r="W54">
        <v>0.14285714299999999</v>
      </c>
      <c r="X54">
        <v>0.28571428599999998</v>
      </c>
      <c r="Y54">
        <v>0</v>
      </c>
      <c r="Z54">
        <v>0</v>
      </c>
      <c r="AA54">
        <v>0</v>
      </c>
      <c r="AB54">
        <v>0</v>
      </c>
      <c r="AC54">
        <v>0</v>
      </c>
      <c r="AD54">
        <f t="shared" si="0"/>
        <v>0</v>
      </c>
    </row>
    <row r="55" spans="1:30" x14ac:dyDescent="0.3">
      <c r="A55" t="s">
        <v>54</v>
      </c>
      <c r="B55" t="s">
        <v>29</v>
      </c>
      <c r="C55">
        <v>-99999</v>
      </c>
      <c r="D55">
        <v>0</v>
      </c>
      <c r="E55">
        <v>6</v>
      </c>
      <c r="F55">
        <v>11.360661</v>
      </c>
      <c r="G55">
        <v>0.11567102</v>
      </c>
      <c r="H55">
        <v>6.8001317999999999</v>
      </c>
      <c r="I55">
        <v>8.9795073999999993</v>
      </c>
      <c r="J55">
        <v>3.6345336000000001</v>
      </c>
      <c r="K55">
        <v>6.2473387999999996</v>
      </c>
      <c r="L55">
        <v>4</v>
      </c>
      <c r="M55">
        <v>1</v>
      </c>
      <c r="N55">
        <v>2</v>
      </c>
      <c r="O55">
        <v>0</v>
      </c>
      <c r="P55">
        <v>0</v>
      </c>
      <c r="Q55">
        <v>0</v>
      </c>
      <c r="R55">
        <v>0</v>
      </c>
      <c r="S55">
        <v>0</v>
      </c>
      <c r="T55">
        <v>7</v>
      </c>
      <c r="U55">
        <v>0</v>
      </c>
      <c r="V55">
        <v>0.571428571</v>
      </c>
      <c r="W55">
        <v>0.14285714299999999</v>
      </c>
      <c r="X55">
        <v>0.28571428599999998</v>
      </c>
      <c r="Y55">
        <v>0</v>
      </c>
      <c r="Z55">
        <v>0</v>
      </c>
      <c r="AA55">
        <v>0</v>
      </c>
      <c r="AB55">
        <v>0</v>
      </c>
      <c r="AC55">
        <v>0</v>
      </c>
      <c r="AD55">
        <f t="shared" si="0"/>
        <v>0</v>
      </c>
    </row>
    <row r="56" spans="1:30" x14ac:dyDescent="0.3">
      <c r="A56" t="s">
        <v>54</v>
      </c>
      <c r="B56" t="s">
        <v>29</v>
      </c>
      <c r="C56">
        <v>-99999</v>
      </c>
      <c r="D56">
        <v>0</v>
      </c>
      <c r="E56">
        <v>7</v>
      </c>
      <c r="F56">
        <v>11.360661</v>
      </c>
      <c r="G56">
        <v>0.11567102</v>
      </c>
      <c r="H56">
        <v>6.8001317999999999</v>
      </c>
      <c r="I56">
        <v>8.9795073999999993</v>
      </c>
      <c r="J56">
        <v>3.6345336000000001</v>
      </c>
      <c r="K56">
        <v>6.2473387999999996</v>
      </c>
      <c r="L56">
        <v>4</v>
      </c>
      <c r="M56">
        <v>1</v>
      </c>
      <c r="N56">
        <v>2</v>
      </c>
      <c r="O56">
        <v>0</v>
      </c>
      <c r="P56">
        <v>0</v>
      </c>
      <c r="Q56">
        <v>0</v>
      </c>
      <c r="R56">
        <v>0</v>
      </c>
      <c r="S56">
        <v>0</v>
      </c>
      <c r="T56">
        <v>7</v>
      </c>
      <c r="U56">
        <v>0</v>
      </c>
      <c r="V56">
        <v>0.571428571</v>
      </c>
      <c r="W56">
        <v>0.14285714299999999</v>
      </c>
      <c r="X56">
        <v>0.28571428599999998</v>
      </c>
      <c r="Y56">
        <v>0</v>
      </c>
      <c r="Z56">
        <v>0</v>
      </c>
      <c r="AA56">
        <v>0</v>
      </c>
      <c r="AB56">
        <v>0</v>
      </c>
      <c r="AC56">
        <v>0</v>
      </c>
      <c r="AD56">
        <f t="shared" si="0"/>
        <v>0</v>
      </c>
    </row>
    <row r="57" spans="1:30" x14ac:dyDescent="0.3">
      <c r="A57" t="s">
        <v>54</v>
      </c>
      <c r="B57" t="s">
        <v>30</v>
      </c>
      <c r="C57">
        <v>18</v>
      </c>
      <c r="D57">
        <v>0.73514211886304914</v>
      </c>
      <c r="E57">
        <v>3</v>
      </c>
      <c r="F57">
        <v>5.6438432000000001</v>
      </c>
      <c r="G57">
        <v>0.92898899000000001</v>
      </c>
      <c r="H57">
        <v>3.0367812999999999</v>
      </c>
      <c r="I57">
        <v>4.8750286000000003</v>
      </c>
      <c r="J57">
        <v>1.7678758000000001</v>
      </c>
      <c r="K57">
        <v>3.4752147</v>
      </c>
      <c r="L57">
        <v>0</v>
      </c>
      <c r="M57">
        <v>0</v>
      </c>
      <c r="N57">
        <v>0</v>
      </c>
      <c r="O57">
        <v>0</v>
      </c>
      <c r="P57">
        <v>7</v>
      </c>
      <c r="Q57">
        <v>0</v>
      </c>
      <c r="R57">
        <v>0</v>
      </c>
      <c r="S57">
        <v>0</v>
      </c>
      <c r="T57">
        <v>7</v>
      </c>
      <c r="U57">
        <v>1</v>
      </c>
      <c r="V57">
        <v>0</v>
      </c>
      <c r="W57">
        <v>0</v>
      </c>
      <c r="X57">
        <v>0</v>
      </c>
      <c r="Y57">
        <v>0</v>
      </c>
      <c r="Z57">
        <v>1</v>
      </c>
      <c r="AA57">
        <v>0</v>
      </c>
      <c r="AB57">
        <v>0</v>
      </c>
      <c r="AC57">
        <v>0</v>
      </c>
      <c r="AD57">
        <f t="shared" si="0"/>
        <v>0</v>
      </c>
    </row>
    <row r="58" spans="1:30" x14ac:dyDescent="0.3">
      <c r="A58" t="s">
        <v>54</v>
      </c>
      <c r="B58" t="s">
        <v>30</v>
      </c>
      <c r="C58">
        <v>3</v>
      </c>
      <c r="D58">
        <v>0</v>
      </c>
      <c r="E58">
        <v>4</v>
      </c>
      <c r="F58">
        <v>5.6438432000000001</v>
      </c>
      <c r="G58">
        <v>0.92898899000000001</v>
      </c>
      <c r="H58">
        <v>3.0367812999999999</v>
      </c>
      <c r="I58">
        <v>4.8750286000000003</v>
      </c>
      <c r="J58">
        <v>1.7678758000000001</v>
      </c>
      <c r="K58">
        <v>3.4752147</v>
      </c>
      <c r="L58">
        <v>0</v>
      </c>
      <c r="M58">
        <v>0</v>
      </c>
      <c r="N58">
        <v>0</v>
      </c>
      <c r="O58">
        <v>0</v>
      </c>
      <c r="P58">
        <v>7</v>
      </c>
      <c r="Q58">
        <v>0</v>
      </c>
      <c r="R58">
        <v>0</v>
      </c>
      <c r="S58">
        <v>0</v>
      </c>
      <c r="T58">
        <v>7</v>
      </c>
      <c r="U58">
        <v>1</v>
      </c>
      <c r="V58">
        <v>0</v>
      </c>
      <c r="W58">
        <v>0</v>
      </c>
      <c r="X58">
        <v>0</v>
      </c>
      <c r="Y58">
        <v>0</v>
      </c>
      <c r="Z58">
        <v>1</v>
      </c>
      <c r="AA58">
        <v>0</v>
      </c>
      <c r="AB58">
        <v>0</v>
      </c>
      <c r="AC58">
        <v>0</v>
      </c>
      <c r="AD58">
        <f t="shared" si="0"/>
        <v>0</v>
      </c>
    </row>
    <row r="59" spans="1:30" x14ac:dyDescent="0.3">
      <c r="A59" t="s">
        <v>54</v>
      </c>
      <c r="B59" t="s">
        <v>30</v>
      </c>
      <c r="C59">
        <v>-99999</v>
      </c>
      <c r="D59">
        <v>0</v>
      </c>
      <c r="E59">
        <v>5</v>
      </c>
      <c r="F59">
        <v>5.6438432000000001</v>
      </c>
      <c r="G59">
        <v>0.92898899000000001</v>
      </c>
      <c r="H59">
        <v>3.0367812999999999</v>
      </c>
      <c r="I59">
        <v>4.8750286000000003</v>
      </c>
      <c r="J59">
        <v>1.7678758000000001</v>
      </c>
      <c r="K59">
        <v>3.4752147</v>
      </c>
      <c r="L59">
        <v>0</v>
      </c>
      <c r="M59">
        <v>0</v>
      </c>
      <c r="N59">
        <v>0</v>
      </c>
      <c r="O59">
        <v>0</v>
      </c>
      <c r="P59">
        <v>7</v>
      </c>
      <c r="Q59">
        <v>0</v>
      </c>
      <c r="R59">
        <v>0</v>
      </c>
      <c r="S59">
        <v>0</v>
      </c>
      <c r="T59">
        <v>7</v>
      </c>
      <c r="U59">
        <v>1</v>
      </c>
      <c r="V59">
        <v>0</v>
      </c>
      <c r="W59">
        <v>0</v>
      </c>
      <c r="X59">
        <v>0</v>
      </c>
      <c r="Y59">
        <v>0</v>
      </c>
      <c r="Z59">
        <v>1</v>
      </c>
      <c r="AA59">
        <v>0</v>
      </c>
      <c r="AB59">
        <v>0</v>
      </c>
      <c r="AC59">
        <v>0</v>
      </c>
      <c r="AD59">
        <f t="shared" si="0"/>
        <v>0</v>
      </c>
    </row>
    <row r="60" spans="1:30" x14ac:dyDescent="0.3">
      <c r="A60" t="s">
        <v>54</v>
      </c>
      <c r="B60" t="s">
        <v>30</v>
      </c>
      <c r="C60">
        <v>-99999</v>
      </c>
      <c r="D60">
        <v>0</v>
      </c>
      <c r="E60">
        <v>6</v>
      </c>
      <c r="F60">
        <v>5.6438432000000001</v>
      </c>
      <c r="G60">
        <v>0.92898899000000001</v>
      </c>
      <c r="H60">
        <v>3.0367812999999999</v>
      </c>
      <c r="I60">
        <v>4.8750286000000003</v>
      </c>
      <c r="J60">
        <v>1.7678758000000001</v>
      </c>
      <c r="K60">
        <v>3.4752147</v>
      </c>
      <c r="L60">
        <v>0</v>
      </c>
      <c r="M60">
        <v>0</v>
      </c>
      <c r="N60">
        <v>0</v>
      </c>
      <c r="O60">
        <v>0</v>
      </c>
      <c r="P60">
        <v>7</v>
      </c>
      <c r="Q60">
        <v>0</v>
      </c>
      <c r="R60">
        <v>0</v>
      </c>
      <c r="S60">
        <v>0</v>
      </c>
      <c r="T60">
        <v>7</v>
      </c>
      <c r="U60">
        <v>1</v>
      </c>
      <c r="V60">
        <v>0</v>
      </c>
      <c r="W60">
        <v>0</v>
      </c>
      <c r="X60">
        <v>0</v>
      </c>
      <c r="Y60">
        <v>0</v>
      </c>
      <c r="Z60">
        <v>1</v>
      </c>
      <c r="AA60">
        <v>0</v>
      </c>
      <c r="AB60">
        <v>0</v>
      </c>
      <c r="AC60">
        <v>0</v>
      </c>
      <c r="AD60">
        <f t="shared" si="0"/>
        <v>0</v>
      </c>
    </row>
    <row r="61" spans="1:30" x14ac:dyDescent="0.3">
      <c r="A61" t="s">
        <v>54</v>
      </c>
      <c r="B61" t="s">
        <v>30</v>
      </c>
      <c r="C61">
        <v>-99999</v>
      </c>
      <c r="D61">
        <v>0</v>
      </c>
      <c r="E61">
        <v>7</v>
      </c>
      <c r="F61">
        <v>5.6438432000000001</v>
      </c>
      <c r="G61">
        <v>0.92898899000000001</v>
      </c>
      <c r="H61">
        <v>3.0367812999999999</v>
      </c>
      <c r="I61">
        <v>4.8750286000000003</v>
      </c>
      <c r="J61">
        <v>1.7678758000000001</v>
      </c>
      <c r="K61">
        <v>3.4752147</v>
      </c>
      <c r="L61">
        <v>0</v>
      </c>
      <c r="M61">
        <v>0</v>
      </c>
      <c r="N61">
        <v>0</v>
      </c>
      <c r="O61">
        <v>0</v>
      </c>
      <c r="P61">
        <v>7</v>
      </c>
      <c r="Q61">
        <v>0</v>
      </c>
      <c r="R61">
        <v>0</v>
      </c>
      <c r="S61">
        <v>0</v>
      </c>
      <c r="T61">
        <v>7</v>
      </c>
      <c r="U61">
        <v>1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f t="shared" si="0"/>
        <v>0</v>
      </c>
    </row>
    <row r="62" spans="1:30" x14ac:dyDescent="0.3">
      <c r="A62" t="s">
        <v>31</v>
      </c>
      <c r="B62" t="s">
        <v>27</v>
      </c>
      <c r="C62">
        <v>565</v>
      </c>
      <c r="D62">
        <v>1.0070796460176992</v>
      </c>
      <c r="E62">
        <v>3</v>
      </c>
      <c r="F62">
        <v>10.075701</v>
      </c>
      <c r="G62">
        <v>1.4098582</v>
      </c>
      <c r="H62">
        <v>6.3458437999999999</v>
      </c>
      <c r="I62">
        <v>6.0713796999999996</v>
      </c>
      <c r="J62">
        <v>3.827318</v>
      </c>
      <c r="K62">
        <v>5.0469474999999999</v>
      </c>
      <c r="L62">
        <v>3</v>
      </c>
      <c r="M62">
        <v>0</v>
      </c>
      <c r="N62">
        <v>1</v>
      </c>
      <c r="O62">
        <v>0</v>
      </c>
      <c r="P62">
        <v>0</v>
      </c>
      <c r="Q62">
        <v>2</v>
      </c>
      <c r="R62">
        <v>0</v>
      </c>
      <c r="S62">
        <v>1</v>
      </c>
      <c r="T62">
        <v>7</v>
      </c>
      <c r="U62">
        <v>0</v>
      </c>
      <c r="V62">
        <v>0.428571429</v>
      </c>
      <c r="W62">
        <v>0</v>
      </c>
      <c r="X62">
        <v>0.14285714299999999</v>
      </c>
      <c r="Y62">
        <v>0</v>
      </c>
      <c r="Z62">
        <v>0</v>
      </c>
      <c r="AA62">
        <v>0.28571428599999998</v>
      </c>
      <c r="AB62">
        <v>0</v>
      </c>
      <c r="AC62">
        <v>0.14285714299999999</v>
      </c>
      <c r="AD62">
        <f t="shared" si="0"/>
        <v>0</v>
      </c>
    </row>
    <row r="63" spans="1:30" x14ac:dyDescent="0.3">
      <c r="A63" t="s">
        <v>31</v>
      </c>
      <c r="B63" t="s">
        <v>27</v>
      </c>
      <c r="C63">
        <v>473</v>
      </c>
      <c r="D63">
        <v>0.8711088430414814</v>
      </c>
      <c r="E63">
        <v>4</v>
      </c>
      <c r="F63">
        <v>10.075701</v>
      </c>
      <c r="G63">
        <v>1.4098582</v>
      </c>
      <c r="H63">
        <v>6.3458437999999999</v>
      </c>
      <c r="I63">
        <v>6.0713796999999996</v>
      </c>
      <c r="J63">
        <v>3.827318</v>
      </c>
      <c r="K63">
        <v>5.0469474999999999</v>
      </c>
      <c r="L63">
        <v>3</v>
      </c>
      <c r="M63">
        <v>0</v>
      </c>
      <c r="N63">
        <v>1</v>
      </c>
      <c r="O63">
        <v>0</v>
      </c>
      <c r="P63">
        <v>0</v>
      </c>
      <c r="Q63">
        <v>2</v>
      </c>
      <c r="R63">
        <v>0</v>
      </c>
      <c r="S63">
        <v>1</v>
      </c>
      <c r="T63">
        <v>7</v>
      </c>
      <c r="U63">
        <v>0</v>
      </c>
      <c r="V63">
        <v>0.428571429</v>
      </c>
      <c r="W63">
        <v>0</v>
      </c>
      <c r="X63">
        <v>0.14285714299999999</v>
      </c>
      <c r="Y63">
        <v>0</v>
      </c>
      <c r="Z63">
        <v>0</v>
      </c>
      <c r="AA63">
        <v>0.28571428599999998</v>
      </c>
      <c r="AB63">
        <v>0</v>
      </c>
      <c r="AC63">
        <v>0.14285714299999999</v>
      </c>
      <c r="AD63">
        <f t="shared" si="0"/>
        <v>0</v>
      </c>
    </row>
    <row r="64" spans="1:30" x14ac:dyDescent="0.3">
      <c r="A64" t="s">
        <v>31</v>
      </c>
      <c r="B64" t="s">
        <v>27</v>
      </c>
      <c r="C64">
        <v>133</v>
      </c>
      <c r="D64">
        <v>1.0326678765880217</v>
      </c>
      <c r="E64">
        <v>5</v>
      </c>
      <c r="F64">
        <v>10.075701</v>
      </c>
      <c r="G64">
        <v>1.4098582</v>
      </c>
      <c r="H64">
        <v>6.3458437999999999</v>
      </c>
      <c r="I64">
        <v>6.0713796999999996</v>
      </c>
      <c r="J64">
        <v>3.827318</v>
      </c>
      <c r="K64">
        <v>5.0469474999999999</v>
      </c>
      <c r="L64">
        <v>3</v>
      </c>
      <c r="M64">
        <v>0</v>
      </c>
      <c r="N64">
        <v>1</v>
      </c>
      <c r="O64">
        <v>0</v>
      </c>
      <c r="P64">
        <v>0</v>
      </c>
      <c r="Q64">
        <v>2</v>
      </c>
      <c r="R64">
        <v>0</v>
      </c>
      <c r="S64">
        <v>1</v>
      </c>
      <c r="T64">
        <v>7</v>
      </c>
      <c r="U64">
        <v>0</v>
      </c>
      <c r="V64">
        <v>0.428571429</v>
      </c>
      <c r="W64">
        <v>0</v>
      </c>
      <c r="X64">
        <v>0.14285714299999999</v>
      </c>
      <c r="Y64">
        <v>0</v>
      </c>
      <c r="Z64">
        <v>0</v>
      </c>
      <c r="AA64">
        <v>0.28571428599999998</v>
      </c>
      <c r="AB64">
        <v>0</v>
      </c>
      <c r="AC64">
        <v>0.14285714299999999</v>
      </c>
      <c r="AD64">
        <f t="shared" si="0"/>
        <v>0</v>
      </c>
    </row>
    <row r="65" spans="1:30" x14ac:dyDescent="0.3">
      <c r="A65" t="s">
        <v>31</v>
      </c>
      <c r="B65" t="s">
        <v>27</v>
      </c>
      <c r="C65">
        <v>13</v>
      </c>
      <c r="D65">
        <v>0</v>
      </c>
      <c r="E65">
        <v>6</v>
      </c>
      <c r="F65">
        <v>10.075701</v>
      </c>
      <c r="G65">
        <v>1.4098582</v>
      </c>
      <c r="H65">
        <v>6.3458437999999999</v>
      </c>
      <c r="I65">
        <v>6.0713796999999996</v>
      </c>
      <c r="J65">
        <v>3.827318</v>
      </c>
      <c r="K65">
        <v>5.0469474999999999</v>
      </c>
      <c r="L65">
        <v>3</v>
      </c>
      <c r="M65">
        <v>0</v>
      </c>
      <c r="N65">
        <v>1</v>
      </c>
      <c r="O65">
        <v>0</v>
      </c>
      <c r="P65">
        <v>0</v>
      </c>
      <c r="Q65">
        <v>2</v>
      </c>
      <c r="R65">
        <v>0</v>
      </c>
      <c r="S65">
        <v>1</v>
      </c>
      <c r="T65">
        <v>7</v>
      </c>
      <c r="U65">
        <v>0</v>
      </c>
      <c r="V65">
        <v>0.428571429</v>
      </c>
      <c r="W65">
        <v>0</v>
      </c>
      <c r="X65">
        <v>0.14285714299999999</v>
      </c>
      <c r="Y65">
        <v>0</v>
      </c>
      <c r="Z65">
        <v>0</v>
      </c>
      <c r="AA65">
        <v>0.28571428599999998</v>
      </c>
      <c r="AB65">
        <v>0</v>
      </c>
      <c r="AC65">
        <v>0.14285714299999999</v>
      </c>
      <c r="AD65">
        <f t="shared" si="0"/>
        <v>0</v>
      </c>
    </row>
    <row r="66" spans="1:30" x14ac:dyDescent="0.3">
      <c r="A66" t="s">
        <v>31</v>
      </c>
      <c r="B66" t="s">
        <v>27</v>
      </c>
      <c r="C66">
        <v>-99999</v>
      </c>
      <c r="D66">
        <v>0</v>
      </c>
      <c r="E66">
        <v>7</v>
      </c>
      <c r="F66">
        <v>10.075701</v>
      </c>
      <c r="G66">
        <v>1.4098582</v>
      </c>
      <c r="H66">
        <v>6.3458437999999999</v>
      </c>
      <c r="I66">
        <v>6.0713796999999996</v>
      </c>
      <c r="J66">
        <v>3.827318</v>
      </c>
      <c r="K66">
        <v>5.0469474999999999</v>
      </c>
      <c r="L66">
        <v>3</v>
      </c>
      <c r="M66">
        <v>0</v>
      </c>
      <c r="N66">
        <v>1</v>
      </c>
      <c r="O66">
        <v>0</v>
      </c>
      <c r="P66">
        <v>0</v>
      </c>
      <c r="Q66">
        <v>2</v>
      </c>
      <c r="R66">
        <v>0</v>
      </c>
      <c r="S66">
        <v>1</v>
      </c>
      <c r="T66">
        <v>7</v>
      </c>
      <c r="U66">
        <v>0</v>
      </c>
      <c r="V66">
        <v>0.428571429</v>
      </c>
      <c r="W66">
        <v>0</v>
      </c>
      <c r="X66">
        <v>0.14285714299999999</v>
      </c>
      <c r="Y66">
        <v>0</v>
      </c>
      <c r="Z66">
        <v>0</v>
      </c>
      <c r="AA66">
        <v>0.28571428599999998</v>
      </c>
      <c r="AB66">
        <v>0</v>
      </c>
      <c r="AC66">
        <v>0.14285714299999999</v>
      </c>
      <c r="AD66">
        <f t="shared" si="0"/>
        <v>0</v>
      </c>
    </row>
    <row r="67" spans="1:30" x14ac:dyDescent="0.3">
      <c r="A67" t="s">
        <v>31</v>
      </c>
      <c r="B67" t="s">
        <v>28</v>
      </c>
      <c r="C67">
        <v>555</v>
      </c>
      <c r="D67">
        <v>0.98987263125194158</v>
      </c>
      <c r="E67">
        <v>3</v>
      </c>
      <c r="F67">
        <v>9.9838027999999994</v>
      </c>
      <c r="G67">
        <v>1.0507088</v>
      </c>
      <c r="H67">
        <v>5.8425050000000001</v>
      </c>
      <c r="I67">
        <v>6.4480881999999999</v>
      </c>
      <c r="J67">
        <v>2.0663735999999999</v>
      </c>
      <c r="K67">
        <v>4.6973380999999996</v>
      </c>
      <c r="L67">
        <v>0</v>
      </c>
      <c r="M67">
        <v>0</v>
      </c>
      <c r="N67">
        <v>3</v>
      </c>
      <c r="O67">
        <v>0</v>
      </c>
      <c r="P67">
        <v>1</v>
      </c>
      <c r="Q67">
        <v>2</v>
      </c>
      <c r="R67">
        <v>1</v>
      </c>
      <c r="S67">
        <v>0</v>
      </c>
      <c r="T67">
        <v>7</v>
      </c>
      <c r="U67">
        <v>0</v>
      </c>
      <c r="V67">
        <v>0</v>
      </c>
      <c r="W67">
        <v>0</v>
      </c>
      <c r="X67">
        <v>0.428571429</v>
      </c>
      <c r="Y67">
        <v>0</v>
      </c>
      <c r="Z67">
        <v>0.14285714299999999</v>
      </c>
      <c r="AA67">
        <v>0.28571428599999998</v>
      </c>
      <c r="AB67">
        <v>0.14285714299999999</v>
      </c>
      <c r="AC67">
        <v>0</v>
      </c>
      <c r="AD67">
        <f t="shared" ref="AD67:AD130" si="1">IF(D67&gt;2, 1, 0)</f>
        <v>0</v>
      </c>
    </row>
    <row r="68" spans="1:30" x14ac:dyDescent="0.3">
      <c r="A68" t="s">
        <v>31</v>
      </c>
      <c r="B68" t="s">
        <v>28</v>
      </c>
      <c r="C68">
        <v>281</v>
      </c>
      <c r="D68">
        <v>0.76806970180390233</v>
      </c>
      <c r="E68">
        <v>4</v>
      </c>
      <c r="F68">
        <v>9.9838027999999994</v>
      </c>
      <c r="G68">
        <v>1.0507088</v>
      </c>
      <c r="H68">
        <v>5.8425050000000001</v>
      </c>
      <c r="I68">
        <v>6.4480881999999999</v>
      </c>
      <c r="J68">
        <v>2.0663735999999999</v>
      </c>
      <c r="K68">
        <v>4.6973380999999996</v>
      </c>
      <c r="L68">
        <v>0</v>
      </c>
      <c r="M68">
        <v>0</v>
      </c>
      <c r="N68">
        <v>3</v>
      </c>
      <c r="O68">
        <v>0</v>
      </c>
      <c r="P68">
        <v>1</v>
      </c>
      <c r="Q68">
        <v>2</v>
      </c>
      <c r="R68">
        <v>1</v>
      </c>
      <c r="S68">
        <v>0</v>
      </c>
      <c r="T68">
        <v>7</v>
      </c>
      <c r="U68">
        <v>0</v>
      </c>
      <c r="V68">
        <v>0</v>
      </c>
      <c r="W68">
        <v>0</v>
      </c>
      <c r="X68">
        <v>0.428571429</v>
      </c>
      <c r="Y68">
        <v>0</v>
      </c>
      <c r="Z68">
        <v>0.14285714299999999</v>
      </c>
      <c r="AA68">
        <v>0.28571428599999998</v>
      </c>
      <c r="AB68">
        <v>0.14285714299999999</v>
      </c>
      <c r="AC68">
        <v>0</v>
      </c>
      <c r="AD68">
        <f t="shared" si="1"/>
        <v>0</v>
      </c>
    </row>
    <row r="69" spans="1:30" x14ac:dyDescent="0.3">
      <c r="A69" t="s">
        <v>31</v>
      </c>
      <c r="B69" t="s">
        <v>28</v>
      </c>
      <c r="C69">
        <v>12</v>
      </c>
      <c r="D69">
        <v>1.6350574712643677</v>
      </c>
      <c r="E69">
        <v>5</v>
      </c>
      <c r="F69">
        <v>9.9838027999999994</v>
      </c>
      <c r="G69">
        <v>1.0507088</v>
      </c>
      <c r="H69">
        <v>5.8425050000000001</v>
      </c>
      <c r="I69">
        <v>6.4480881999999999</v>
      </c>
      <c r="J69">
        <v>2.0663735999999999</v>
      </c>
      <c r="K69">
        <v>4.6973380999999996</v>
      </c>
      <c r="L69">
        <v>0</v>
      </c>
      <c r="M69">
        <v>0</v>
      </c>
      <c r="N69">
        <v>3</v>
      </c>
      <c r="O69">
        <v>0</v>
      </c>
      <c r="P69">
        <v>1</v>
      </c>
      <c r="Q69">
        <v>2</v>
      </c>
      <c r="R69">
        <v>1</v>
      </c>
      <c r="S69">
        <v>0</v>
      </c>
      <c r="T69">
        <v>7</v>
      </c>
      <c r="U69">
        <v>0</v>
      </c>
      <c r="V69">
        <v>0</v>
      </c>
      <c r="W69">
        <v>0</v>
      </c>
      <c r="X69">
        <v>0.428571429</v>
      </c>
      <c r="Y69">
        <v>0</v>
      </c>
      <c r="Z69">
        <v>0.14285714299999999</v>
      </c>
      <c r="AA69">
        <v>0.28571428599999998</v>
      </c>
      <c r="AB69">
        <v>0.14285714299999999</v>
      </c>
      <c r="AC69">
        <v>0</v>
      </c>
      <c r="AD69">
        <f t="shared" si="1"/>
        <v>0</v>
      </c>
    </row>
    <row r="70" spans="1:30" x14ac:dyDescent="0.3">
      <c r="A70" t="s">
        <v>31</v>
      </c>
      <c r="B70" t="s">
        <v>28</v>
      </c>
      <c r="C70">
        <v>-99999</v>
      </c>
      <c r="D70">
        <v>0</v>
      </c>
      <c r="E70">
        <v>6</v>
      </c>
      <c r="F70">
        <v>9.9838027999999994</v>
      </c>
      <c r="G70">
        <v>1.0507088</v>
      </c>
      <c r="H70">
        <v>5.8425050000000001</v>
      </c>
      <c r="I70">
        <v>6.4480881999999999</v>
      </c>
      <c r="J70">
        <v>2.0663735999999999</v>
      </c>
      <c r="K70">
        <v>4.6973380999999996</v>
      </c>
      <c r="L70">
        <v>0</v>
      </c>
      <c r="M70">
        <v>0</v>
      </c>
      <c r="N70">
        <v>3</v>
      </c>
      <c r="O70">
        <v>0</v>
      </c>
      <c r="P70">
        <v>1</v>
      </c>
      <c r="Q70">
        <v>2</v>
      </c>
      <c r="R70">
        <v>1</v>
      </c>
      <c r="S70">
        <v>0</v>
      </c>
      <c r="T70">
        <v>7</v>
      </c>
      <c r="U70">
        <v>0</v>
      </c>
      <c r="V70">
        <v>0</v>
      </c>
      <c r="W70">
        <v>0</v>
      </c>
      <c r="X70">
        <v>0.428571429</v>
      </c>
      <c r="Y70">
        <v>0</v>
      </c>
      <c r="Z70">
        <v>0.14285714299999999</v>
      </c>
      <c r="AA70">
        <v>0.28571428599999998</v>
      </c>
      <c r="AB70">
        <v>0.14285714299999999</v>
      </c>
      <c r="AC70">
        <v>0</v>
      </c>
      <c r="AD70">
        <f t="shared" si="1"/>
        <v>0</v>
      </c>
    </row>
    <row r="71" spans="1:30" x14ac:dyDescent="0.3">
      <c r="A71" t="s">
        <v>31</v>
      </c>
      <c r="B71" t="s">
        <v>28</v>
      </c>
      <c r="C71">
        <v>-99999</v>
      </c>
      <c r="D71">
        <v>0</v>
      </c>
      <c r="E71">
        <v>7</v>
      </c>
      <c r="F71">
        <v>9.9838027999999994</v>
      </c>
      <c r="G71">
        <v>1.0507088</v>
      </c>
      <c r="H71">
        <v>5.8425050000000001</v>
      </c>
      <c r="I71">
        <v>6.4480881999999999</v>
      </c>
      <c r="J71">
        <v>2.0663735999999999</v>
      </c>
      <c r="K71">
        <v>4.6973380999999996</v>
      </c>
      <c r="L71">
        <v>0</v>
      </c>
      <c r="M71">
        <v>0</v>
      </c>
      <c r="N71">
        <v>3</v>
      </c>
      <c r="O71">
        <v>0</v>
      </c>
      <c r="P71">
        <v>1</v>
      </c>
      <c r="Q71">
        <v>2</v>
      </c>
      <c r="R71">
        <v>1</v>
      </c>
      <c r="S71">
        <v>0</v>
      </c>
      <c r="T71">
        <v>7</v>
      </c>
      <c r="U71">
        <v>0</v>
      </c>
      <c r="V71">
        <v>0</v>
      </c>
      <c r="W71">
        <v>0</v>
      </c>
      <c r="X71">
        <v>0.428571429</v>
      </c>
      <c r="Y71">
        <v>0</v>
      </c>
      <c r="Z71">
        <v>0.14285714299999999</v>
      </c>
      <c r="AA71">
        <v>0.28571428599999998</v>
      </c>
      <c r="AB71">
        <v>0.14285714299999999</v>
      </c>
      <c r="AC71">
        <v>0</v>
      </c>
      <c r="AD71">
        <f t="shared" si="1"/>
        <v>0</v>
      </c>
    </row>
    <row r="72" spans="1:30" x14ac:dyDescent="0.3">
      <c r="A72" t="s">
        <v>31</v>
      </c>
      <c r="B72" t="s">
        <v>29</v>
      </c>
      <c r="C72">
        <v>564</v>
      </c>
      <c r="D72">
        <v>0.97407679139153835</v>
      </c>
      <c r="E72">
        <v>3</v>
      </c>
      <c r="F72">
        <v>8.3158130999999997</v>
      </c>
      <c r="G72">
        <v>1.1655952000000001</v>
      </c>
      <c r="H72">
        <v>4.5306869000000001</v>
      </c>
      <c r="I72">
        <v>10.404747</v>
      </c>
      <c r="J72">
        <v>3.5824028999999999</v>
      </c>
      <c r="K72">
        <v>7.1660494999999997</v>
      </c>
      <c r="L72">
        <v>6</v>
      </c>
      <c r="M72">
        <v>0</v>
      </c>
      <c r="N72">
        <v>0</v>
      </c>
      <c r="O72">
        <v>0</v>
      </c>
      <c r="P72">
        <v>1</v>
      </c>
      <c r="Q72">
        <v>0</v>
      </c>
      <c r="R72">
        <v>0</v>
      </c>
      <c r="S72">
        <v>0</v>
      </c>
      <c r="T72">
        <v>7</v>
      </c>
      <c r="U72">
        <v>0</v>
      </c>
      <c r="V72">
        <v>0.85714285700000004</v>
      </c>
      <c r="W72">
        <v>0</v>
      </c>
      <c r="X72">
        <v>0</v>
      </c>
      <c r="Y72">
        <v>0</v>
      </c>
      <c r="Z72">
        <v>0.14285714299999999</v>
      </c>
      <c r="AA72">
        <v>0</v>
      </c>
      <c r="AB72">
        <v>0</v>
      </c>
      <c r="AC72">
        <v>0</v>
      </c>
      <c r="AD72">
        <f t="shared" si="1"/>
        <v>0</v>
      </c>
    </row>
    <row r="73" spans="1:30" x14ac:dyDescent="0.3">
      <c r="A73" t="s">
        <v>31</v>
      </c>
      <c r="B73" t="s">
        <v>29</v>
      </c>
      <c r="C73">
        <v>524</v>
      </c>
      <c r="D73">
        <v>0.97354566991313507</v>
      </c>
      <c r="E73">
        <v>4</v>
      </c>
      <c r="F73">
        <v>8.3158130999999997</v>
      </c>
      <c r="G73">
        <v>1.1655952000000001</v>
      </c>
      <c r="H73">
        <v>4.5306869000000001</v>
      </c>
      <c r="I73">
        <v>10.404747</v>
      </c>
      <c r="J73">
        <v>3.5824028999999999</v>
      </c>
      <c r="K73">
        <v>7.1660494999999997</v>
      </c>
      <c r="L73">
        <v>6</v>
      </c>
      <c r="M73">
        <v>0</v>
      </c>
      <c r="N73">
        <v>0</v>
      </c>
      <c r="O73">
        <v>0</v>
      </c>
      <c r="P73">
        <v>1</v>
      </c>
      <c r="Q73">
        <v>0</v>
      </c>
      <c r="R73">
        <v>0</v>
      </c>
      <c r="S73">
        <v>0</v>
      </c>
      <c r="T73">
        <v>7</v>
      </c>
      <c r="U73">
        <v>0</v>
      </c>
      <c r="V73">
        <v>0.85714285700000004</v>
      </c>
      <c r="W73">
        <v>0</v>
      </c>
      <c r="X73">
        <v>0</v>
      </c>
      <c r="Y73">
        <v>0</v>
      </c>
      <c r="Z73">
        <v>0.14285714299999999</v>
      </c>
      <c r="AA73">
        <v>0</v>
      </c>
      <c r="AB73">
        <v>0</v>
      </c>
      <c r="AC73">
        <v>0</v>
      </c>
      <c r="AD73">
        <f t="shared" si="1"/>
        <v>0</v>
      </c>
    </row>
    <row r="74" spans="1:30" x14ac:dyDescent="0.3">
      <c r="A74" t="s">
        <v>31</v>
      </c>
      <c r="B74" t="s">
        <v>29</v>
      </c>
      <c r="C74">
        <v>153</v>
      </c>
      <c r="D74">
        <v>1.1541582150101419</v>
      </c>
      <c r="E74">
        <v>5</v>
      </c>
      <c r="F74">
        <v>8.3158130999999997</v>
      </c>
      <c r="G74">
        <v>1.1655952000000001</v>
      </c>
      <c r="H74">
        <v>4.5306869000000001</v>
      </c>
      <c r="I74">
        <v>10.404747</v>
      </c>
      <c r="J74">
        <v>3.5824028999999999</v>
      </c>
      <c r="K74">
        <v>7.1660494999999997</v>
      </c>
      <c r="L74">
        <v>6</v>
      </c>
      <c r="M74">
        <v>0</v>
      </c>
      <c r="N74">
        <v>0</v>
      </c>
      <c r="O74">
        <v>0</v>
      </c>
      <c r="P74">
        <v>1</v>
      </c>
      <c r="Q74">
        <v>0</v>
      </c>
      <c r="R74">
        <v>0</v>
      </c>
      <c r="S74">
        <v>0</v>
      </c>
      <c r="T74">
        <v>7</v>
      </c>
      <c r="U74">
        <v>0</v>
      </c>
      <c r="V74">
        <v>0.85714285700000004</v>
      </c>
      <c r="W74">
        <v>0</v>
      </c>
      <c r="X74">
        <v>0</v>
      </c>
      <c r="Y74">
        <v>0</v>
      </c>
      <c r="Z74">
        <v>0.14285714299999999</v>
      </c>
      <c r="AA74">
        <v>0</v>
      </c>
      <c r="AB74">
        <v>0</v>
      </c>
      <c r="AC74">
        <v>0</v>
      </c>
      <c r="AD74">
        <f t="shared" si="1"/>
        <v>0</v>
      </c>
    </row>
    <row r="75" spans="1:30" x14ac:dyDescent="0.3">
      <c r="A75" t="s">
        <v>31</v>
      </c>
      <c r="B75" t="s">
        <v>29</v>
      </c>
      <c r="C75">
        <v>5</v>
      </c>
      <c r="D75">
        <v>0</v>
      </c>
      <c r="E75">
        <v>6</v>
      </c>
      <c r="F75">
        <v>8.3158130999999997</v>
      </c>
      <c r="G75">
        <v>1.1655952000000001</v>
      </c>
      <c r="H75">
        <v>4.5306869000000001</v>
      </c>
      <c r="I75">
        <v>10.404747</v>
      </c>
      <c r="J75">
        <v>3.5824028999999999</v>
      </c>
      <c r="K75">
        <v>7.1660494999999997</v>
      </c>
      <c r="L75">
        <v>6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7</v>
      </c>
      <c r="U75">
        <v>0</v>
      </c>
      <c r="V75">
        <v>0.85714285700000004</v>
      </c>
      <c r="W75">
        <v>0</v>
      </c>
      <c r="X75">
        <v>0</v>
      </c>
      <c r="Y75">
        <v>0</v>
      </c>
      <c r="Z75">
        <v>0.14285714299999999</v>
      </c>
      <c r="AA75">
        <v>0</v>
      </c>
      <c r="AB75">
        <v>0</v>
      </c>
      <c r="AC75">
        <v>0</v>
      </c>
      <c r="AD75">
        <f t="shared" si="1"/>
        <v>0</v>
      </c>
    </row>
    <row r="76" spans="1:30" x14ac:dyDescent="0.3">
      <c r="A76" t="s">
        <v>31</v>
      </c>
      <c r="B76" t="s">
        <v>29</v>
      </c>
      <c r="C76">
        <v>-99999</v>
      </c>
      <c r="D76">
        <v>0</v>
      </c>
      <c r="E76">
        <v>7</v>
      </c>
      <c r="F76">
        <v>8.3158130999999997</v>
      </c>
      <c r="G76">
        <v>1.1655952000000001</v>
      </c>
      <c r="H76">
        <v>4.5306869000000001</v>
      </c>
      <c r="I76">
        <v>10.404747</v>
      </c>
      <c r="J76">
        <v>3.5824028999999999</v>
      </c>
      <c r="K76">
        <v>7.1660494999999997</v>
      </c>
      <c r="L76">
        <v>6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7</v>
      </c>
      <c r="U76">
        <v>0</v>
      </c>
      <c r="V76">
        <v>0.85714285700000004</v>
      </c>
      <c r="W76">
        <v>0</v>
      </c>
      <c r="X76">
        <v>0</v>
      </c>
      <c r="Y76">
        <v>0</v>
      </c>
      <c r="Z76">
        <v>0.14285714299999999</v>
      </c>
      <c r="AA76">
        <v>0</v>
      </c>
      <c r="AB76">
        <v>0</v>
      </c>
      <c r="AC76">
        <v>0</v>
      </c>
      <c r="AD76">
        <f t="shared" si="1"/>
        <v>0</v>
      </c>
    </row>
    <row r="77" spans="1:30" x14ac:dyDescent="0.3">
      <c r="A77" t="s">
        <v>31</v>
      </c>
      <c r="B77" t="s">
        <v>30</v>
      </c>
      <c r="C77">
        <v>3</v>
      </c>
      <c r="D77">
        <v>0</v>
      </c>
      <c r="E77">
        <v>3</v>
      </c>
      <c r="F77">
        <v>9.5823765000000005</v>
      </c>
      <c r="G77">
        <v>1.0489561999999999</v>
      </c>
      <c r="H77">
        <v>4.0871668000000003</v>
      </c>
      <c r="I77">
        <v>6.3207516999999998</v>
      </c>
      <c r="J77">
        <v>3.8514081999999998</v>
      </c>
      <c r="K77">
        <v>4.8062924999999996</v>
      </c>
      <c r="L77">
        <v>0</v>
      </c>
      <c r="M77">
        <v>0</v>
      </c>
      <c r="N77">
        <v>0</v>
      </c>
      <c r="O77">
        <v>0</v>
      </c>
      <c r="P77">
        <v>1</v>
      </c>
      <c r="Q77">
        <v>0</v>
      </c>
      <c r="R77">
        <v>6</v>
      </c>
      <c r="S77">
        <v>0</v>
      </c>
      <c r="T77">
        <v>7</v>
      </c>
      <c r="U77">
        <v>0</v>
      </c>
      <c r="V77">
        <v>0</v>
      </c>
      <c r="W77">
        <v>0</v>
      </c>
      <c r="X77">
        <v>0</v>
      </c>
      <c r="Y77">
        <v>0</v>
      </c>
      <c r="Z77">
        <v>0.14285714299999999</v>
      </c>
      <c r="AA77">
        <v>0</v>
      </c>
      <c r="AB77">
        <v>0.85714285700000004</v>
      </c>
      <c r="AC77">
        <v>0</v>
      </c>
      <c r="AD77">
        <f t="shared" si="1"/>
        <v>0</v>
      </c>
    </row>
    <row r="78" spans="1:30" x14ac:dyDescent="0.3">
      <c r="A78" t="s">
        <v>31</v>
      </c>
      <c r="B78" t="s">
        <v>30</v>
      </c>
      <c r="C78">
        <v>1</v>
      </c>
      <c r="D78">
        <v>0</v>
      </c>
      <c r="E78">
        <v>4</v>
      </c>
      <c r="F78">
        <v>9.5823765000000005</v>
      </c>
      <c r="G78">
        <v>1.0489561999999999</v>
      </c>
      <c r="H78">
        <v>4.0871668000000003</v>
      </c>
      <c r="I78">
        <v>6.3207516999999998</v>
      </c>
      <c r="J78">
        <v>3.8514081999999998</v>
      </c>
      <c r="K78">
        <v>4.8062924999999996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6</v>
      </c>
      <c r="S78">
        <v>0</v>
      </c>
      <c r="T78">
        <v>7</v>
      </c>
      <c r="U78">
        <v>0</v>
      </c>
      <c r="V78">
        <v>0</v>
      </c>
      <c r="W78">
        <v>0</v>
      </c>
      <c r="X78">
        <v>0</v>
      </c>
      <c r="Y78">
        <v>0</v>
      </c>
      <c r="Z78">
        <v>0.14285714299999999</v>
      </c>
      <c r="AA78">
        <v>0</v>
      </c>
      <c r="AB78">
        <v>0.85714285700000004</v>
      </c>
      <c r="AC78">
        <v>0</v>
      </c>
      <c r="AD78">
        <f t="shared" si="1"/>
        <v>0</v>
      </c>
    </row>
    <row r="79" spans="1:30" x14ac:dyDescent="0.3">
      <c r="A79" t="s">
        <v>31</v>
      </c>
      <c r="B79" t="s">
        <v>30</v>
      </c>
      <c r="C79">
        <v>-99999</v>
      </c>
      <c r="D79">
        <v>0</v>
      </c>
      <c r="E79">
        <v>5</v>
      </c>
      <c r="F79">
        <v>9.5823765000000005</v>
      </c>
      <c r="G79">
        <v>1.0489561999999999</v>
      </c>
      <c r="H79">
        <v>4.0871668000000003</v>
      </c>
      <c r="I79">
        <v>6.3207516999999998</v>
      </c>
      <c r="J79">
        <v>3.8514081999999998</v>
      </c>
      <c r="K79">
        <v>4.8062924999999996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6</v>
      </c>
      <c r="S79">
        <v>0</v>
      </c>
      <c r="T79">
        <v>7</v>
      </c>
      <c r="U79">
        <v>0</v>
      </c>
      <c r="V79">
        <v>0</v>
      </c>
      <c r="W79">
        <v>0</v>
      </c>
      <c r="X79">
        <v>0</v>
      </c>
      <c r="Y79">
        <v>0</v>
      </c>
      <c r="Z79">
        <v>0.14285714299999999</v>
      </c>
      <c r="AA79">
        <v>0</v>
      </c>
      <c r="AB79">
        <v>0.85714285700000004</v>
      </c>
      <c r="AC79">
        <v>0</v>
      </c>
      <c r="AD79">
        <f t="shared" si="1"/>
        <v>0</v>
      </c>
    </row>
    <row r="80" spans="1:30" x14ac:dyDescent="0.3">
      <c r="A80" t="s">
        <v>31</v>
      </c>
      <c r="B80" t="s">
        <v>30</v>
      </c>
      <c r="C80">
        <v>-99999</v>
      </c>
      <c r="D80">
        <v>0</v>
      </c>
      <c r="E80">
        <v>6</v>
      </c>
      <c r="F80">
        <v>9.5823765000000005</v>
      </c>
      <c r="G80">
        <v>1.0489561999999999</v>
      </c>
      <c r="H80">
        <v>4.0871668000000003</v>
      </c>
      <c r="I80">
        <v>6.3207516999999998</v>
      </c>
      <c r="J80">
        <v>3.8514081999999998</v>
      </c>
      <c r="K80">
        <v>4.8062924999999996</v>
      </c>
      <c r="L80">
        <v>0</v>
      </c>
      <c r="M80">
        <v>0</v>
      </c>
      <c r="N80">
        <v>0</v>
      </c>
      <c r="O80">
        <v>0</v>
      </c>
      <c r="P80">
        <v>1</v>
      </c>
      <c r="Q80">
        <v>0</v>
      </c>
      <c r="R80">
        <v>6</v>
      </c>
      <c r="S80">
        <v>0</v>
      </c>
      <c r="T80">
        <v>7</v>
      </c>
      <c r="U80">
        <v>0</v>
      </c>
      <c r="V80">
        <v>0</v>
      </c>
      <c r="W80">
        <v>0</v>
      </c>
      <c r="X80">
        <v>0</v>
      </c>
      <c r="Y80">
        <v>0</v>
      </c>
      <c r="Z80">
        <v>0.14285714299999999</v>
      </c>
      <c r="AA80">
        <v>0</v>
      </c>
      <c r="AB80">
        <v>0.85714285700000004</v>
      </c>
      <c r="AC80">
        <v>0</v>
      </c>
      <c r="AD80">
        <f t="shared" si="1"/>
        <v>0</v>
      </c>
    </row>
    <row r="81" spans="1:30" x14ac:dyDescent="0.3">
      <c r="A81" t="s">
        <v>31</v>
      </c>
      <c r="B81" t="s">
        <v>30</v>
      </c>
      <c r="C81">
        <v>-99999</v>
      </c>
      <c r="D81">
        <v>0</v>
      </c>
      <c r="E81">
        <v>7</v>
      </c>
      <c r="F81">
        <v>9.5823765000000005</v>
      </c>
      <c r="G81">
        <v>1.0489561999999999</v>
      </c>
      <c r="H81">
        <v>4.0871668000000003</v>
      </c>
      <c r="I81">
        <v>6.3207516999999998</v>
      </c>
      <c r="J81">
        <v>3.8514081999999998</v>
      </c>
      <c r="K81">
        <v>4.8062924999999996</v>
      </c>
      <c r="L81">
        <v>0</v>
      </c>
      <c r="M81">
        <v>0</v>
      </c>
      <c r="N81">
        <v>0</v>
      </c>
      <c r="O81">
        <v>0</v>
      </c>
      <c r="P81">
        <v>1</v>
      </c>
      <c r="Q81">
        <v>0</v>
      </c>
      <c r="R81">
        <v>6</v>
      </c>
      <c r="S81">
        <v>0</v>
      </c>
      <c r="T81">
        <v>7</v>
      </c>
      <c r="U81">
        <v>0</v>
      </c>
      <c r="V81">
        <v>0</v>
      </c>
      <c r="W81">
        <v>0</v>
      </c>
      <c r="X81">
        <v>0</v>
      </c>
      <c r="Y81">
        <v>0</v>
      </c>
      <c r="Z81">
        <v>0.14285714299999999</v>
      </c>
      <c r="AA81">
        <v>0</v>
      </c>
      <c r="AB81">
        <v>0.85714285700000004</v>
      </c>
      <c r="AC81">
        <v>0</v>
      </c>
      <c r="AD81">
        <f t="shared" si="1"/>
        <v>0</v>
      </c>
    </row>
    <row r="82" spans="1:30" x14ac:dyDescent="0.3">
      <c r="A82" t="s">
        <v>55</v>
      </c>
      <c r="B82" t="s">
        <v>27</v>
      </c>
      <c r="C82">
        <v>567</v>
      </c>
      <c r="D82">
        <v>1.0035273368606703</v>
      </c>
      <c r="E82">
        <v>3</v>
      </c>
      <c r="F82">
        <v>7.9078030999999998</v>
      </c>
      <c r="G82">
        <v>1.0460780000000001</v>
      </c>
      <c r="H82">
        <v>4.1501207000000004</v>
      </c>
      <c r="I82">
        <v>8.6265497</v>
      </c>
      <c r="J82">
        <v>1.5762092000000001</v>
      </c>
      <c r="K82">
        <v>4.5448332000000002</v>
      </c>
      <c r="L82">
        <v>5</v>
      </c>
      <c r="M82">
        <v>1</v>
      </c>
      <c r="N82">
        <v>1</v>
      </c>
      <c r="O82">
        <v>0</v>
      </c>
      <c r="P82">
        <v>0</v>
      </c>
      <c r="Q82">
        <v>0</v>
      </c>
      <c r="R82">
        <v>0</v>
      </c>
      <c r="S82">
        <v>0</v>
      </c>
      <c r="T82">
        <v>7</v>
      </c>
      <c r="U82">
        <v>0</v>
      </c>
      <c r="V82">
        <v>0.71428571399999996</v>
      </c>
      <c r="W82">
        <v>0.14285714299999999</v>
      </c>
      <c r="X82">
        <v>0.14285714299999999</v>
      </c>
      <c r="Y82">
        <v>0</v>
      </c>
      <c r="Z82">
        <v>0</v>
      </c>
      <c r="AA82">
        <v>0</v>
      </c>
      <c r="AB82">
        <v>0</v>
      </c>
      <c r="AC82">
        <v>0</v>
      </c>
      <c r="AD82">
        <f t="shared" si="1"/>
        <v>0</v>
      </c>
    </row>
    <row r="83" spans="1:30" x14ac:dyDescent="0.3">
      <c r="A83" t="s">
        <v>55</v>
      </c>
      <c r="B83" t="s">
        <v>27</v>
      </c>
      <c r="C83">
        <v>506</v>
      </c>
      <c r="D83">
        <v>0.91366106719367601</v>
      </c>
      <c r="E83">
        <v>4</v>
      </c>
      <c r="F83">
        <v>7.9078030999999998</v>
      </c>
      <c r="G83">
        <v>1.0460780000000001</v>
      </c>
      <c r="H83">
        <v>4.1501207000000004</v>
      </c>
      <c r="I83">
        <v>8.6265497</v>
      </c>
      <c r="J83">
        <v>1.5762092000000001</v>
      </c>
      <c r="K83">
        <v>4.5448332000000002</v>
      </c>
      <c r="L83">
        <v>5</v>
      </c>
      <c r="M83">
        <v>1</v>
      </c>
      <c r="N83">
        <v>1</v>
      </c>
      <c r="O83">
        <v>0</v>
      </c>
      <c r="P83">
        <v>0</v>
      </c>
      <c r="Q83">
        <v>0</v>
      </c>
      <c r="R83">
        <v>0</v>
      </c>
      <c r="S83">
        <v>0</v>
      </c>
      <c r="T83">
        <v>7</v>
      </c>
      <c r="U83">
        <v>0</v>
      </c>
      <c r="V83">
        <v>0.71428571399999996</v>
      </c>
      <c r="W83">
        <v>0.14285714299999999</v>
      </c>
      <c r="X83">
        <v>0.14285714299999999</v>
      </c>
      <c r="Y83">
        <v>0</v>
      </c>
      <c r="Z83">
        <v>0</v>
      </c>
      <c r="AA83">
        <v>0</v>
      </c>
      <c r="AB83">
        <v>0</v>
      </c>
      <c r="AC83">
        <v>0</v>
      </c>
      <c r="AD83">
        <f t="shared" si="1"/>
        <v>0</v>
      </c>
    </row>
    <row r="84" spans="1:30" x14ac:dyDescent="0.3">
      <c r="A84" t="s">
        <v>55</v>
      </c>
      <c r="B84" t="s">
        <v>27</v>
      </c>
      <c r="C84">
        <v>131</v>
      </c>
      <c r="D84">
        <v>0.81440839694656497</v>
      </c>
      <c r="E84">
        <v>5</v>
      </c>
      <c r="F84">
        <v>7.9078030999999998</v>
      </c>
      <c r="G84">
        <v>1.0460780000000001</v>
      </c>
      <c r="H84">
        <v>4.1501207000000004</v>
      </c>
      <c r="I84">
        <v>8.6265497</v>
      </c>
      <c r="J84">
        <v>1.5762092000000001</v>
      </c>
      <c r="K84">
        <v>4.5448332000000002</v>
      </c>
      <c r="L84">
        <v>5</v>
      </c>
      <c r="M84">
        <v>1</v>
      </c>
      <c r="N84">
        <v>1</v>
      </c>
      <c r="O84">
        <v>0</v>
      </c>
      <c r="P84">
        <v>0</v>
      </c>
      <c r="Q84">
        <v>0</v>
      </c>
      <c r="R84">
        <v>0</v>
      </c>
      <c r="S84">
        <v>0</v>
      </c>
      <c r="T84">
        <v>7</v>
      </c>
      <c r="U84">
        <v>0</v>
      </c>
      <c r="V84">
        <v>0.71428571399999996</v>
      </c>
      <c r="W84">
        <v>0.14285714299999999</v>
      </c>
      <c r="X84">
        <v>0.14285714299999999</v>
      </c>
      <c r="Y84">
        <v>0</v>
      </c>
      <c r="Z84">
        <v>0</v>
      </c>
      <c r="AA84">
        <v>0</v>
      </c>
      <c r="AB84">
        <v>0</v>
      </c>
      <c r="AC84">
        <v>0</v>
      </c>
      <c r="AD84">
        <f t="shared" si="1"/>
        <v>0</v>
      </c>
    </row>
    <row r="85" spans="1:30" x14ac:dyDescent="0.3">
      <c r="A85" t="s">
        <v>55</v>
      </c>
      <c r="B85" t="s">
        <v>27</v>
      </c>
      <c r="C85">
        <v>3</v>
      </c>
      <c r="D85">
        <v>0</v>
      </c>
      <c r="E85">
        <v>6</v>
      </c>
      <c r="F85">
        <v>7.9078030999999998</v>
      </c>
      <c r="G85">
        <v>1.0460780000000001</v>
      </c>
      <c r="H85">
        <v>4.1501207000000004</v>
      </c>
      <c r="I85">
        <v>8.6265497</v>
      </c>
      <c r="J85">
        <v>1.5762092000000001</v>
      </c>
      <c r="K85">
        <v>4.5448332000000002</v>
      </c>
      <c r="L85">
        <v>5</v>
      </c>
      <c r="M85">
        <v>1</v>
      </c>
      <c r="N85">
        <v>1</v>
      </c>
      <c r="O85">
        <v>0</v>
      </c>
      <c r="P85">
        <v>0</v>
      </c>
      <c r="Q85">
        <v>0</v>
      </c>
      <c r="R85">
        <v>0</v>
      </c>
      <c r="S85">
        <v>0</v>
      </c>
      <c r="T85">
        <v>7</v>
      </c>
      <c r="U85">
        <v>0</v>
      </c>
      <c r="V85">
        <v>0.71428571399999996</v>
      </c>
      <c r="W85">
        <v>0.14285714299999999</v>
      </c>
      <c r="X85">
        <v>0.14285714299999999</v>
      </c>
      <c r="Y85">
        <v>0</v>
      </c>
      <c r="Z85">
        <v>0</v>
      </c>
      <c r="AA85">
        <v>0</v>
      </c>
      <c r="AB85">
        <v>0</v>
      </c>
      <c r="AC85">
        <v>0</v>
      </c>
      <c r="AD85">
        <f t="shared" si="1"/>
        <v>0</v>
      </c>
    </row>
    <row r="86" spans="1:30" x14ac:dyDescent="0.3">
      <c r="A86" t="s">
        <v>55</v>
      </c>
      <c r="B86" t="s">
        <v>27</v>
      </c>
      <c r="C86">
        <v>-99999</v>
      </c>
      <c r="D86">
        <v>0</v>
      </c>
      <c r="E86">
        <v>7</v>
      </c>
      <c r="F86">
        <v>7.9078030999999998</v>
      </c>
      <c r="G86">
        <v>1.0460780000000001</v>
      </c>
      <c r="H86">
        <v>4.1501207000000004</v>
      </c>
      <c r="I86">
        <v>8.6265497</v>
      </c>
      <c r="J86">
        <v>1.5762092000000001</v>
      </c>
      <c r="K86">
        <v>4.5448332000000002</v>
      </c>
      <c r="L86">
        <v>5</v>
      </c>
      <c r="M86">
        <v>1</v>
      </c>
      <c r="N86">
        <v>1</v>
      </c>
      <c r="O86">
        <v>0</v>
      </c>
      <c r="P86">
        <v>0</v>
      </c>
      <c r="Q86">
        <v>0</v>
      </c>
      <c r="R86">
        <v>0</v>
      </c>
      <c r="S86">
        <v>0</v>
      </c>
      <c r="T86">
        <v>7</v>
      </c>
      <c r="U86">
        <v>0</v>
      </c>
      <c r="V86">
        <v>0.71428571399999996</v>
      </c>
      <c r="W86">
        <v>0.14285714299999999</v>
      </c>
      <c r="X86">
        <v>0.14285714299999999</v>
      </c>
      <c r="Y86">
        <v>0</v>
      </c>
      <c r="Z86">
        <v>0</v>
      </c>
      <c r="AA86">
        <v>0</v>
      </c>
      <c r="AB86">
        <v>0</v>
      </c>
      <c r="AC86">
        <v>0</v>
      </c>
      <c r="AD86">
        <f t="shared" si="1"/>
        <v>0</v>
      </c>
    </row>
    <row r="87" spans="1:30" x14ac:dyDescent="0.3">
      <c r="A87" t="s">
        <v>55</v>
      </c>
      <c r="B87" t="s">
        <v>28</v>
      </c>
      <c r="C87">
        <v>19</v>
      </c>
      <c r="D87">
        <v>3.7434210526315788</v>
      </c>
      <c r="E87">
        <v>3</v>
      </c>
      <c r="F87">
        <v>9.3273610999999992</v>
      </c>
      <c r="G87">
        <v>0.68127727999999999</v>
      </c>
      <c r="H87">
        <v>3.6204239999999999</v>
      </c>
      <c r="I87">
        <v>8.6702756999999995</v>
      </c>
      <c r="J87">
        <v>1.8813845</v>
      </c>
      <c r="K87">
        <v>3.5036003999999998</v>
      </c>
      <c r="L87">
        <v>0</v>
      </c>
      <c r="M87">
        <v>0</v>
      </c>
      <c r="N87">
        <v>0</v>
      </c>
      <c r="O87">
        <v>0</v>
      </c>
      <c r="P87">
        <v>7</v>
      </c>
      <c r="Q87">
        <v>0</v>
      </c>
      <c r="R87">
        <v>0</v>
      </c>
      <c r="S87">
        <v>0</v>
      </c>
      <c r="T87">
        <v>7</v>
      </c>
      <c r="U87">
        <v>1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f t="shared" si="1"/>
        <v>1</v>
      </c>
    </row>
    <row r="88" spans="1:30" x14ac:dyDescent="0.3">
      <c r="A88" t="s">
        <v>55</v>
      </c>
      <c r="B88" t="s">
        <v>28</v>
      </c>
      <c r="C88">
        <v>2</v>
      </c>
      <c r="D88">
        <v>0</v>
      </c>
      <c r="E88">
        <v>4</v>
      </c>
      <c r="F88">
        <v>9.3273610999999992</v>
      </c>
      <c r="G88">
        <v>0.68127727999999999</v>
      </c>
      <c r="H88">
        <v>3.6204239999999999</v>
      </c>
      <c r="I88">
        <v>8.6702756999999995</v>
      </c>
      <c r="J88">
        <v>1.8813845</v>
      </c>
      <c r="K88">
        <v>3.5036003999999998</v>
      </c>
      <c r="L88">
        <v>0</v>
      </c>
      <c r="M88">
        <v>0</v>
      </c>
      <c r="N88">
        <v>0</v>
      </c>
      <c r="O88">
        <v>0</v>
      </c>
      <c r="P88">
        <v>7</v>
      </c>
      <c r="Q88">
        <v>0</v>
      </c>
      <c r="R88">
        <v>0</v>
      </c>
      <c r="S88">
        <v>0</v>
      </c>
      <c r="T88">
        <v>7</v>
      </c>
      <c r="U88">
        <v>1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f t="shared" si="1"/>
        <v>0</v>
      </c>
    </row>
    <row r="89" spans="1:30" x14ac:dyDescent="0.3">
      <c r="A89" t="s">
        <v>55</v>
      </c>
      <c r="B89" t="s">
        <v>28</v>
      </c>
      <c r="C89">
        <v>-99999</v>
      </c>
      <c r="D89">
        <v>0</v>
      </c>
      <c r="E89">
        <v>5</v>
      </c>
      <c r="F89">
        <v>9.3273610999999992</v>
      </c>
      <c r="G89">
        <v>0.68127727999999999</v>
      </c>
      <c r="H89">
        <v>3.6204239999999999</v>
      </c>
      <c r="I89">
        <v>8.6702756999999995</v>
      </c>
      <c r="J89">
        <v>1.8813845</v>
      </c>
      <c r="K89">
        <v>3.5036003999999998</v>
      </c>
      <c r="L89">
        <v>0</v>
      </c>
      <c r="M89">
        <v>0</v>
      </c>
      <c r="N89">
        <v>0</v>
      </c>
      <c r="O89">
        <v>0</v>
      </c>
      <c r="P89">
        <v>7</v>
      </c>
      <c r="Q89">
        <v>0</v>
      </c>
      <c r="R89">
        <v>0</v>
      </c>
      <c r="S89">
        <v>0</v>
      </c>
      <c r="T89">
        <v>7</v>
      </c>
      <c r="U89">
        <v>1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f t="shared" si="1"/>
        <v>0</v>
      </c>
    </row>
    <row r="90" spans="1:30" x14ac:dyDescent="0.3">
      <c r="A90" t="s">
        <v>55</v>
      </c>
      <c r="B90" t="s">
        <v>28</v>
      </c>
      <c r="C90">
        <v>-99999</v>
      </c>
      <c r="D90">
        <v>0</v>
      </c>
      <c r="E90">
        <v>6</v>
      </c>
      <c r="F90">
        <v>9.3273610999999992</v>
      </c>
      <c r="G90">
        <v>0.68127727999999999</v>
      </c>
      <c r="H90">
        <v>3.6204239999999999</v>
      </c>
      <c r="I90">
        <v>8.6702756999999995</v>
      </c>
      <c r="J90">
        <v>1.8813845</v>
      </c>
      <c r="K90">
        <v>3.5036003999999998</v>
      </c>
      <c r="L90">
        <v>0</v>
      </c>
      <c r="M90">
        <v>0</v>
      </c>
      <c r="N90">
        <v>0</v>
      </c>
      <c r="O90">
        <v>0</v>
      </c>
      <c r="P90">
        <v>7</v>
      </c>
      <c r="Q90">
        <v>0</v>
      </c>
      <c r="R90">
        <v>0</v>
      </c>
      <c r="S90">
        <v>0</v>
      </c>
      <c r="T90">
        <v>7</v>
      </c>
      <c r="U90">
        <v>1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f t="shared" si="1"/>
        <v>0</v>
      </c>
    </row>
    <row r="91" spans="1:30" x14ac:dyDescent="0.3">
      <c r="A91" t="s">
        <v>55</v>
      </c>
      <c r="B91" t="s">
        <v>28</v>
      </c>
      <c r="C91">
        <v>-99999</v>
      </c>
      <c r="D91">
        <v>0</v>
      </c>
      <c r="E91">
        <v>7</v>
      </c>
      <c r="F91">
        <v>9.3273610999999992</v>
      </c>
      <c r="G91">
        <v>0.68127727999999999</v>
      </c>
      <c r="H91">
        <v>3.6204239999999999</v>
      </c>
      <c r="I91">
        <v>8.6702756999999995</v>
      </c>
      <c r="J91">
        <v>1.8813845</v>
      </c>
      <c r="K91">
        <v>3.5036003999999998</v>
      </c>
      <c r="L91">
        <v>0</v>
      </c>
      <c r="M91">
        <v>0</v>
      </c>
      <c r="N91">
        <v>0</v>
      </c>
      <c r="O91">
        <v>0</v>
      </c>
      <c r="P91">
        <v>7</v>
      </c>
      <c r="Q91">
        <v>0</v>
      </c>
      <c r="R91">
        <v>0</v>
      </c>
      <c r="S91">
        <v>0</v>
      </c>
      <c r="T91">
        <v>7</v>
      </c>
      <c r="U91">
        <v>1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f t="shared" si="1"/>
        <v>0</v>
      </c>
    </row>
    <row r="92" spans="1:30" x14ac:dyDescent="0.3">
      <c r="A92" t="s">
        <v>55</v>
      </c>
      <c r="B92" t="s">
        <v>29</v>
      </c>
      <c r="C92">
        <v>561</v>
      </c>
      <c r="D92">
        <v>0.98256461675579332</v>
      </c>
      <c r="E92">
        <v>3</v>
      </c>
      <c r="F92">
        <v>7.4049953999999998</v>
      </c>
      <c r="G92">
        <v>1.1825762</v>
      </c>
      <c r="H92">
        <v>3.7679513</v>
      </c>
      <c r="I92">
        <v>5.2109952000000002</v>
      </c>
      <c r="J92">
        <v>1.5302311</v>
      </c>
      <c r="K92">
        <v>3.2058233999999999</v>
      </c>
      <c r="L92">
        <v>7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7</v>
      </c>
      <c r="U92">
        <v>1</v>
      </c>
      <c r="V92">
        <v>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f t="shared" si="1"/>
        <v>0</v>
      </c>
    </row>
    <row r="93" spans="1:30" x14ac:dyDescent="0.3">
      <c r="A93" t="s">
        <v>55</v>
      </c>
      <c r="B93" t="s">
        <v>29</v>
      </c>
      <c r="C93">
        <v>477</v>
      </c>
      <c r="D93">
        <v>0.70826781970649899</v>
      </c>
      <c r="E93">
        <v>4</v>
      </c>
      <c r="F93">
        <v>7.4049953999999998</v>
      </c>
      <c r="G93">
        <v>1.1825762</v>
      </c>
      <c r="H93">
        <v>3.7679513</v>
      </c>
      <c r="I93">
        <v>5.2109952000000002</v>
      </c>
      <c r="J93">
        <v>1.5302311</v>
      </c>
      <c r="K93">
        <v>3.2058233999999999</v>
      </c>
      <c r="L93">
        <v>7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7</v>
      </c>
      <c r="U93">
        <v>1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f t="shared" si="1"/>
        <v>0</v>
      </c>
    </row>
    <row r="94" spans="1:30" x14ac:dyDescent="0.3">
      <c r="A94" t="s">
        <v>55</v>
      </c>
      <c r="B94" t="s">
        <v>29</v>
      </c>
      <c r="C94">
        <v>145</v>
      </c>
      <c r="D94">
        <v>0.8584051724137931</v>
      </c>
      <c r="E94">
        <v>5</v>
      </c>
      <c r="F94">
        <v>7.4049953999999998</v>
      </c>
      <c r="G94">
        <v>1.1825762</v>
      </c>
      <c r="H94">
        <v>3.7679513</v>
      </c>
      <c r="I94">
        <v>5.2109952000000002</v>
      </c>
      <c r="J94">
        <v>1.5302311</v>
      </c>
      <c r="K94">
        <v>3.2058233999999999</v>
      </c>
      <c r="L94">
        <v>7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7</v>
      </c>
      <c r="U94">
        <v>1</v>
      </c>
      <c r="V94">
        <v>1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f t="shared" si="1"/>
        <v>0</v>
      </c>
    </row>
    <row r="95" spans="1:30" x14ac:dyDescent="0.3">
      <c r="A95" t="s">
        <v>55</v>
      </c>
      <c r="B95" t="s">
        <v>29</v>
      </c>
      <c r="C95">
        <v>7</v>
      </c>
      <c r="D95">
        <v>2.5401785714285716</v>
      </c>
      <c r="E95">
        <v>6</v>
      </c>
      <c r="F95">
        <v>7.4049953999999998</v>
      </c>
      <c r="G95">
        <v>1.1825762</v>
      </c>
      <c r="H95">
        <v>3.7679513</v>
      </c>
      <c r="I95">
        <v>5.2109952000000002</v>
      </c>
      <c r="J95">
        <v>1.5302311</v>
      </c>
      <c r="K95">
        <v>3.2058233999999999</v>
      </c>
      <c r="L95">
        <v>7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7</v>
      </c>
      <c r="U95">
        <v>1</v>
      </c>
      <c r="V95">
        <v>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f t="shared" si="1"/>
        <v>1</v>
      </c>
    </row>
    <row r="96" spans="1:30" x14ac:dyDescent="0.3">
      <c r="A96" t="s">
        <v>55</v>
      </c>
      <c r="B96" t="s">
        <v>29</v>
      </c>
      <c r="C96">
        <v>-99999</v>
      </c>
      <c r="D96">
        <v>0</v>
      </c>
      <c r="E96">
        <v>7</v>
      </c>
      <c r="F96">
        <v>7.4049953999999998</v>
      </c>
      <c r="G96">
        <v>1.1825762</v>
      </c>
      <c r="H96">
        <v>3.7679513</v>
      </c>
      <c r="I96">
        <v>5.2109952000000002</v>
      </c>
      <c r="J96">
        <v>1.5302311</v>
      </c>
      <c r="K96">
        <v>3.2058233999999999</v>
      </c>
      <c r="L96">
        <v>7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7</v>
      </c>
      <c r="U96">
        <v>1</v>
      </c>
      <c r="V96">
        <v>1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f t="shared" si="1"/>
        <v>0</v>
      </c>
    </row>
    <row r="97" spans="1:30" x14ac:dyDescent="0.3">
      <c r="A97" t="s">
        <v>55</v>
      </c>
      <c r="B97" t="s">
        <v>30</v>
      </c>
      <c r="C97">
        <v>16</v>
      </c>
      <c r="D97">
        <v>4.4453125</v>
      </c>
      <c r="E97">
        <v>3</v>
      </c>
      <c r="F97">
        <v>4.3366752000000002</v>
      </c>
      <c r="G97">
        <v>0.59553294999999995</v>
      </c>
      <c r="H97">
        <v>2.3963678000000002</v>
      </c>
      <c r="I97">
        <v>3.4840357000000002</v>
      </c>
      <c r="J97">
        <v>2.2957857000000002</v>
      </c>
      <c r="K97">
        <v>2.9344937999999998</v>
      </c>
      <c r="L97">
        <v>0</v>
      </c>
      <c r="M97">
        <v>0</v>
      </c>
      <c r="N97">
        <v>0</v>
      </c>
      <c r="O97">
        <v>0</v>
      </c>
      <c r="P97">
        <v>7</v>
      </c>
      <c r="Q97">
        <v>0</v>
      </c>
      <c r="R97">
        <v>0</v>
      </c>
      <c r="S97">
        <v>0</v>
      </c>
      <c r="T97">
        <v>7</v>
      </c>
      <c r="U97">
        <v>1</v>
      </c>
      <c r="V97">
        <v>0</v>
      </c>
      <c r="W97">
        <v>0</v>
      </c>
      <c r="X97">
        <v>0</v>
      </c>
      <c r="Y97">
        <v>0</v>
      </c>
      <c r="Z97">
        <v>1</v>
      </c>
      <c r="AA97">
        <v>0</v>
      </c>
      <c r="AB97">
        <v>0</v>
      </c>
      <c r="AC97">
        <v>0</v>
      </c>
      <c r="AD97">
        <f t="shared" si="1"/>
        <v>1</v>
      </c>
    </row>
    <row r="98" spans="1:30" x14ac:dyDescent="0.3">
      <c r="A98" t="s">
        <v>55</v>
      </c>
      <c r="B98" t="s">
        <v>30</v>
      </c>
      <c r="C98">
        <v>1</v>
      </c>
      <c r="D98">
        <v>0</v>
      </c>
      <c r="E98">
        <v>4</v>
      </c>
      <c r="F98">
        <v>4.3366752000000002</v>
      </c>
      <c r="G98">
        <v>0.59553294999999995</v>
      </c>
      <c r="H98">
        <v>2.3963678000000002</v>
      </c>
      <c r="I98">
        <v>3.4840357000000002</v>
      </c>
      <c r="J98">
        <v>2.2957857000000002</v>
      </c>
      <c r="K98">
        <v>2.9344937999999998</v>
      </c>
      <c r="L98">
        <v>0</v>
      </c>
      <c r="M98">
        <v>0</v>
      </c>
      <c r="N98">
        <v>0</v>
      </c>
      <c r="O98">
        <v>0</v>
      </c>
      <c r="P98">
        <v>7</v>
      </c>
      <c r="Q98">
        <v>0</v>
      </c>
      <c r="R98">
        <v>0</v>
      </c>
      <c r="S98">
        <v>0</v>
      </c>
      <c r="T98">
        <v>7</v>
      </c>
      <c r="U98">
        <v>1</v>
      </c>
      <c r="V98">
        <v>0</v>
      </c>
      <c r="W98">
        <v>0</v>
      </c>
      <c r="X98">
        <v>0</v>
      </c>
      <c r="Y98">
        <v>0</v>
      </c>
      <c r="Z98">
        <v>1</v>
      </c>
      <c r="AA98">
        <v>0</v>
      </c>
      <c r="AB98">
        <v>0</v>
      </c>
      <c r="AC98">
        <v>0</v>
      </c>
      <c r="AD98">
        <f t="shared" si="1"/>
        <v>0</v>
      </c>
    </row>
    <row r="99" spans="1:30" x14ac:dyDescent="0.3">
      <c r="A99" t="s">
        <v>55</v>
      </c>
      <c r="B99" t="s">
        <v>30</v>
      </c>
      <c r="C99">
        <v>-99999</v>
      </c>
      <c r="D99">
        <v>0</v>
      </c>
      <c r="E99">
        <v>5</v>
      </c>
      <c r="F99">
        <v>4.3366752000000002</v>
      </c>
      <c r="G99">
        <v>0.59553294999999995</v>
      </c>
      <c r="H99">
        <v>2.3963678000000002</v>
      </c>
      <c r="I99">
        <v>3.4840357000000002</v>
      </c>
      <c r="J99">
        <v>2.2957857000000002</v>
      </c>
      <c r="K99">
        <v>2.9344937999999998</v>
      </c>
      <c r="L99">
        <v>0</v>
      </c>
      <c r="M99">
        <v>0</v>
      </c>
      <c r="N99">
        <v>0</v>
      </c>
      <c r="O99">
        <v>0</v>
      </c>
      <c r="P99">
        <v>7</v>
      </c>
      <c r="Q99">
        <v>0</v>
      </c>
      <c r="R99">
        <v>0</v>
      </c>
      <c r="S99">
        <v>0</v>
      </c>
      <c r="T99">
        <v>7</v>
      </c>
      <c r="U99">
        <v>1</v>
      </c>
      <c r="V99">
        <v>0</v>
      </c>
      <c r="W99">
        <v>0</v>
      </c>
      <c r="X99">
        <v>0</v>
      </c>
      <c r="Y99">
        <v>0</v>
      </c>
      <c r="Z99">
        <v>1</v>
      </c>
      <c r="AA99">
        <v>0</v>
      </c>
      <c r="AB99">
        <v>0</v>
      </c>
      <c r="AC99">
        <v>0</v>
      </c>
      <c r="AD99">
        <f t="shared" si="1"/>
        <v>0</v>
      </c>
    </row>
    <row r="100" spans="1:30" x14ac:dyDescent="0.3">
      <c r="A100" t="s">
        <v>55</v>
      </c>
      <c r="B100" t="s">
        <v>30</v>
      </c>
      <c r="C100">
        <v>-99999</v>
      </c>
      <c r="D100">
        <v>0</v>
      </c>
      <c r="E100">
        <v>6</v>
      </c>
      <c r="F100">
        <v>4.3366752000000002</v>
      </c>
      <c r="G100">
        <v>0.59553294999999995</v>
      </c>
      <c r="H100">
        <v>2.3963678000000002</v>
      </c>
      <c r="I100">
        <v>3.4840357000000002</v>
      </c>
      <c r="J100">
        <v>2.2957857000000002</v>
      </c>
      <c r="K100">
        <v>2.9344937999999998</v>
      </c>
      <c r="L100">
        <v>0</v>
      </c>
      <c r="M100">
        <v>0</v>
      </c>
      <c r="N100">
        <v>0</v>
      </c>
      <c r="O100">
        <v>0</v>
      </c>
      <c r="P100">
        <v>7</v>
      </c>
      <c r="Q100">
        <v>0</v>
      </c>
      <c r="R100">
        <v>0</v>
      </c>
      <c r="S100">
        <v>0</v>
      </c>
      <c r="T100">
        <v>7</v>
      </c>
      <c r="U100">
        <v>1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0</v>
      </c>
      <c r="AB100">
        <v>0</v>
      </c>
      <c r="AC100">
        <v>0</v>
      </c>
      <c r="AD100">
        <f t="shared" si="1"/>
        <v>0</v>
      </c>
    </row>
    <row r="101" spans="1:30" x14ac:dyDescent="0.3">
      <c r="A101" t="s">
        <v>55</v>
      </c>
      <c r="B101" t="s">
        <v>30</v>
      </c>
      <c r="C101">
        <v>-99999</v>
      </c>
      <c r="D101">
        <v>0</v>
      </c>
      <c r="E101">
        <v>7</v>
      </c>
      <c r="F101">
        <v>4.3366752000000002</v>
      </c>
      <c r="G101">
        <v>0.59553294999999995</v>
      </c>
      <c r="H101">
        <v>2.3963678000000002</v>
      </c>
      <c r="I101">
        <v>3.4840357000000002</v>
      </c>
      <c r="J101">
        <v>2.2957857000000002</v>
      </c>
      <c r="K101">
        <v>2.9344937999999998</v>
      </c>
      <c r="L101">
        <v>0</v>
      </c>
      <c r="M101">
        <v>0</v>
      </c>
      <c r="N101">
        <v>0</v>
      </c>
      <c r="O101">
        <v>0</v>
      </c>
      <c r="P101">
        <v>7</v>
      </c>
      <c r="Q101">
        <v>0</v>
      </c>
      <c r="R101">
        <v>0</v>
      </c>
      <c r="S101">
        <v>0</v>
      </c>
      <c r="T101">
        <v>7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1</v>
      </c>
      <c r="AA101">
        <v>0</v>
      </c>
      <c r="AB101">
        <v>0</v>
      </c>
      <c r="AC101">
        <v>0</v>
      </c>
      <c r="AD101">
        <f t="shared" si="1"/>
        <v>0</v>
      </c>
    </row>
    <row r="102" spans="1:30" x14ac:dyDescent="0.3">
      <c r="A102" t="s">
        <v>32</v>
      </c>
      <c r="B102" t="s">
        <v>27</v>
      </c>
      <c r="C102">
        <v>551</v>
      </c>
      <c r="D102">
        <v>1.0326678765880219</v>
      </c>
      <c r="E102">
        <v>3</v>
      </c>
      <c r="F102">
        <v>17.837337000000002</v>
      </c>
      <c r="G102">
        <v>2.7120407000000002</v>
      </c>
      <c r="H102">
        <v>8.7329845000000006</v>
      </c>
      <c r="I102">
        <v>10.064498</v>
      </c>
      <c r="J102">
        <v>4.0576905999999999</v>
      </c>
      <c r="K102">
        <v>6.9008060000000002</v>
      </c>
      <c r="L102">
        <v>3</v>
      </c>
      <c r="M102">
        <v>1</v>
      </c>
      <c r="N102">
        <v>1</v>
      </c>
      <c r="O102">
        <v>0</v>
      </c>
      <c r="P102">
        <v>1</v>
      </c>
      <c r="Q102">
        <v>0</v>
      </c>
      <c r="R102">
        <v>0</v>
      </c>
      <c r="S102">
        <v>1</v>
      </c>
      <c r="T102">
        <v>7</v>
      </c>
      <c r="U102">
        <v>0</v>
      </c>
      <c r="V102">
        <v>0.428571429</v>
      </c>
      <c r="W102">
        <v>0.14285714299999999</v>
      </c>
      <c r="X102">
        <v>0.14285714299999999</v>
      </c>
      <c r="Y102">
        <v>0</v>
      </c>
      <c r="Z102">
        <v>0.14285714299999999</v>
      </c>
      <c r="AA102">
        <v>0</v>
      </c>
      <c r="AB102">
        <v>0</v>
      </c>
      <c r="AC102">
        <v>0.14285714299999999</v>
      </c>
      <c r="AD102">
        <f t="shared" si="1"/>
        <v>0</v>
      </c>
    </row>
    <row r="103" spans="1:30" x14ac:dyDescent="0.3">
      <c r="A103" t="s">
        <v>32</v>
      </c>
      <c r="B103" t="s">
        <v>27</v>
      </c>
      <c r="C103">
        <v>217</v>
      </c>
      <c r="D103">
        <v>1.6464473261172436</v>
      </c>
      <c r="E103">
        <v>4</v>
      </c>
      <c r="F103">
        <v>17.837337000000002</v>
      </c>
      <c r="G103">
        <v>2.7120407000000002</v>
      </c>
      <c r="H103">
        <v>8.7329845000000006</v>
      </c>
      <c r="I103">
        <v>10.064498</v>
      </c>
      <c r="J103">
        <v>4.0576905999999999</v>
      </c>
      <c r="K103">
        <v>6.9008060000000002</v>
      </c>
      <c r="L103">
        <v>3</v>
      </c>
      <c r="M103">
        <v>1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1</v>
      </c>
      <c r="T103">
        <v>7</v>
      </c>
      <c r="U103">
        <v>0</v>
      </c>
      <c r="V103">
        <v>0.428571429</v>
      </c>
      <c r="W103">
        <v>0.14285714299999999</v>
      </c>
      <c r="X103">
        <v>0.14285714299999999</v>
      </c>
      <c r="Y103">
        <v>0</v>
      </c>
      <c r="Z103">
        <v>0.14285714299999999</v>
      </c>
      <c r="AA103">
        <v>0</v>
      </c>
      <c r="AB103">
        <v>0</v>
      </c>
      <c r="AC103">
        <v>0.14285714299999999</v>
      </c>
      <c r="AD103">
        <f t="shared" si="1"/>
        <v>0</v>
      </c>
    </row>
    <row r="104" spans="1:30" x14ac:dyDescent="0.3">
      <c r="A104" t="s">
        <v>32</v>
      </c>
      <c r="B104" t="s">
        <v>27</v>
      </c>
      <c r="C104">
        <v>5</v>
      </c>
      <c r="D104">
        <v>10.586046511627908</v>
      </c>
      <c r="E104">
        <v>5</v>
      </c>
      <c r="F104">
        <v>17.837337000000002</v>
      </c>
      <c r="G104">
        <v>2.7120407000000002</v>
      </c>
      <c r="H104">
        <v>8.7329845000000006</v>
      </c>
      <c r="I104">
        <v>10.064498</v>
      </c>
      <c r="J104">
        <v>4.0576905999999999</v>
      </c>
      <c r="K104">
        <v>6.9008060000000002</v>
      </c>
      <c r="L104">
        <v>3</v>
      </c>
      <c r="M104">
        <v>1</v>
      </c>
      <c r="N104">
        <v>1</v>
      </c>
      <c r="O104">
        <v>0</v>
      </c>
      <c r="P104">
        <v>1</v>
      </c>
      <c r="Q104">
        <v>0</v>
      </c>
      <c r="R104">
        <v>0</v>
      </c>
      <c r="S104">
        <v>1</v>
      </c>
      <c r="T104">
        <v>7</v>
      </c>
      <c r="U104">
        <v>0</v>
      </c>
      <c r="V104">
        <v>0.428571429</v>
      </c>
      <c r="W104">
        <v>0.14285714299999999</v>
      </c>
      <c r="X104">
        <v>0.14285714299999999</v>
      </c>
      <c r="Y104">
        <v>0</v>
      </c>
      <c r="Z104">
        <v>0.14285714299999999</v>
      </c>
      <c r="AA104">
        <v>0</v>
      </c>
      <c r="AB104">
        <v>0</v>
      </c>
      <c r="AC104">
        <v>0.14285714299999999</v>
      </c>
      <c r="AD104">
        <f t="shared" si="1"/>
        <v>1</v>
      </c>
    </row>
    <row r="105" spans="1:30" x14ac:dyDescent="0.3">
      <c r="A105" t="s">
        <v>32</v>
      </c>
      <c r="B105" t="s">
        <v>27</v>
      </c>
      <c r="C105">
        <v>-99999</v>
      </c>
      <c r="D105">
        <v>0</v>
      </c>
      <c r="E105">
        <v>6</v>
      </c>
      <c r="F105">
        <v>17.837337000000002</v>
      </c>
      <c r="G105">
        <v>2.7120407000000002</v>
      </c>
      <c r="H105">
        <v>8.7329845000000006</v>
      </c>
      <c r="I105">
        <v>10.064498</v>
      </c>
      <c r="J105">
        <v>4.0576905999999999</v>
      </c>
      <c r="K105">
        <v>6.9008060000000002</v>
      </c>
      <c r="L105">
        <v>3</v>
      </c>
      <c r="M105">
        <v>1</v>
      </c>
      <c r="N105">
        <v>1</v>
      </c>
      <c r="O105">
        <v>0</v>
      </c>
      <c r="P105">
        <v>1</v>
      </c>
      <c r="Q105">
        <v>0</v>
      </c>
      <c r="R105">
        <v>0</v>
      </c>
      <c r="S105">
        <v>1</v>
      </c>
      <c r="T105">
        <v>7</v>
      </c>
      <c r="U105">
        <v>0</v>
      </c>
      <c r="V105">
        <v>0.428571429</v>
      </c>
      <c r="W105">
        <v>0.14285714299999999</v>
      </c>
      <c r="X105">
        <v>0.14285714299999999</v>
      </c>
      <c r="Y105">
        <v>0</v>
      </c>
      <c r="Z105">
        <v>0.14285714299999999</v>
      </c>
      <c r="AA105">
        <v>0</v>
      </c>
      <c r="AB105">
        <v>0</v>
      </c>
      <c r="AC105">
        <v>0.14285714299999999</v>
      </c>
      <c r="AD105">
        <f t="shared" si="1"/>
        <v>0</v>
      </c>
    </row>
    <row r="106" spans="1:30" x14ac:dyDescent="0.3">
      <c r="A106" t="s">
        <v>32</v>
      </c>
      <c r="B106" t="s">
        <v>27</v>
      </c>
      <c r="C106">
        <v>-99999</v>
      </c>
      <c r="D106">
        <v>0</v>
      </c>
      <c r="E106">
        <v>7</v>
      </c>
      <c r="F106">
        <v>17.837337000000002</v>
      </c>
      <c r="G106">
        <v>2.7120407000000002</v>
      </c>
      <c r="H106">
        <v>8.7329845000000006</v>
      </c>
      <c r="I106">
        <v>10.064498</v>
      </c>
      <c r="J106">
        <v>4.0576905999999999</v>
      </c>
      <c r="K106">
        <v>6.9008060000000002</v>
      </c>
      <c r="L106">
        <v>3</v>
      </c>
      <c r="M106">
        <v>1</v>
      </c>
      <c r="N106">
        <v>1</v>
      </c>
      <c r="O106">
        <v>0</v>
      </c>
      <c r="P106">
        <v>1</v>
      </c>
      <c r="Q106">
        <v>0</v>
      </c>
      <c r="R106">
        <v>0</v>
      </c>
      <c r="S106">
        <v>1</v>
      </c>
      <c r="T106">
        <v>7</v>
      </c>
      <c r="U106">
        <v>0</v>
      </c>
      <c r="V106">
        <v>0.428571429</v>
      </c>
      <c r="W106">
        <v>0.14285714299999999</v>
      </c>
      <c r="X106">
        <v>0.14285714299999999</v>
      </c>
      <c r="Y106">
        <v>0</v>
      </c>
      <c r="Z106">
        <v>0.14285714299999999</v>
      </c>
      <c r="AA106">
        <v>0</v>
      </c>
      <c r="AB106">
        <v>0</v>
      </c>
      <c r="AC106">
        <v>0.14285714299999999</v>
      </c>
      <c r="AD106">
        <f t="shared" si="1"/>
        <v>0</v>
      </c>
    </row>
    <row r="107" spans="1:30" x14ac:dyDescent="0.3">
      <c r="A107" t="s">
        <v>32</v>
      </c>
      <c r="B107" t="s">
        <v>28</v>
      </c>
      <c r="C107">
        <v>11</v>
      </c>
      <c r="D107">
        <v>1.2029598308668077</v>
      </c>
      <c r="E107">
        <v>3</v>
      </c>
      <c r="F107">
        <v>14.832417</v>
      </c>
      <c r="G107">
        <v>1.9571419999999999</v>
      </c>
      <c r="H107">
        <v>8.9760922999999995</v>
      </c>
      <c r="I107">
        <v>9.3543471999999994</v>
      </c>
      <c r="J107">
        <v>4.0576905999999999</v>
      </c>
      <c r="K107">
        <v>6.7134852</v>
      </c>
      <c r="L107">
        <v>0</v>
      </c>
      <c r="M107">
        <v>0</v>
      </c>
      <c r="N107">
        <v>0</v>
      </c>
      <c r="O107">
        <v>0</v>
      </c>
      <c r="P107">
        <v>7</v>
      </c>
      <c r="Q107">
        <v>0</v>
      </c>
      <c r="R107">
        <v>0</v>
      </c>
      <c r="S107">
        <v>0</v>
      </c>
      <c r="T107">
        <v>7</v>
      </c>
      <c r="U107">
        <v>1</v>
      </c>
      <c r="V107">
        <v>0</v>
      </c>
      <c r="W107">
        <v>0</v>
      </c>
      <c r="X107">
        <v>0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f t="shared" si="1"/>
        <v>0</v>
      </c>
    </row>
    <row r="108" spans="1:30" x14ac:dyDescent="0.3">
      <c r="A108" t="s">
        <v>32</v>
      </c>
      <c r="B108" t="s">
        <v>28</v>
      </c>
      <c r="C108">
        <v>1</v>
      </c>
      <c r="D108">
        <v>0</v>
      </c>
      <c r="E108">
        <v>4</v>
      </c>
      <c r="F108">
        <v>14.832417</v>
      </c>
      <c r="G108">
        <v>1.9571419999999999</v>
      </c>
      <c r="H108">
        <v>8.9760922999999995</v>
      </c>
      <c r="I108">
        <v>9.3543471999999994</v>
      </c>
      <c r="J108">
        <v>4.0576905999999999</v>
      </c>
      <c r="K108">
        <v>6.7134852</v>
      </c>
      <c r="L108">
        <v>0</v>
      </c>
      <c r="M108">
        <v>0</v>
      </c>
      <c r="N108">
        <v>0</v>
      </c>
      <c r="O108">
        <v>0</v>
      </c>
      <c r="P108">
        <v>7</v>
      </c>
      <c r="Q108">
        <v>0</v>
      </c>
      <c r="R108">
        <v>0</v>
      </c>
      <c r="S108">
        <v>0</v>
      </c>
      <c r="T108">
        <v>7</v>
      </c>
      <c r="U108">
        <v>1</v>
      </c>
      <c r="V108">
        <v>0</v>
      </c>
      <c r="W108">
        <v>0</v>
      </c>
      <c r="X108">
        <v>0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f t="shared" si="1"/>
        <v>0</v>
      </c>
    </row>
    <row r="109" spans="1:30" x14ac:dyDescent="0.3">
      <c r="A109" t="s">
        <v>32</v>
      </c>
      <c r="B109" t="s">
        <v>28</v>
      </c>
      <c r="C109">
        <v>-99999</v>
      </c>
      <c r="D109">
        <v>0</v>
      </c>
      <c r="E109">
        <v>5</v>
      </c>
      <c r="F109">
        <v>14.832417</v>
      </c>
      <c r="G109">
        <v>1.9571419999999999</v>
      </c>
      <c r="H109">
        <v>8.9760922999999995</v>
      </c>
      <c r="I109">
        <v>9.3543471999999994</v>
      </c>
      <c r="J109">
        <v>4.0576905999999999</v>
      </c>
      <c r="K109">
        <v>6.7134852</v>
      </c>
      <c r="L109">
        <v>0</v>
      </c>
      <c r="M109">
        <v>0</v>
      </c>
      <c r="N109">
        <v>0</v>
      </c>
      <c r="O109">
        <v>0</v>
      </c>
      <c r="P109">
        <v>7</v>
      </c>
      <c r="Q109">
        <v>0</v>
      </c>
      <c r="R109">
        <v>0</v>
      </c>
      <c r="S109">
        <v>0</v>
      </c>
      <c r="T109">
        <v>7</v>
      </c>
      <c r="U109">
        <v>1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f t="shared" si="1"/>
        <v>0</v>
      </c>
    </row>
    <row r="110" spans="1:30" x14ac:dyDescent="0.3">
      <c r="A110" t="s">
        <v>32</v>
      </c>
      <c r="B110" t="s">
        <v>28</v>
      </c>
      <c r="C110">
        <v>-99999</v>
      </c>
      <c r="D110">
        <v>0</v>
      </c>
      <c r="E110">
        <v>6</v>
      </c>
      <c r="F110">
        <v>14.832417</v>
      </c>
      <c r="G110">
        <v>1.9571419999999999</v>
      </c>
      <c r="H110">
        <v>8.9760922999999995</v>
      </c>
      <c r="I110">
        <v>9.3543471999999994</v>
      </c>
      <c r="J110">
        <v>4.0576905999999999</v>
      </c>
      <c r="K110">
        <v>6.7134852</v>
      </c>
      <c r="L110">
        <v>0</v>
      </c>
      <c r="M110">
        <v>0</v>
      </c>
      <c r="N110">
        <v>0</v>
      </c>
      <c r="O110">
        <v>0</v>
      </c>
      <c r="P110">
        <v>7</v>
      </c>
      <c r="Q110">
        <v>0</v>
      </c>
      <c r="R110">
        <v>0</v>
      </c>
      <c r="S110">
        <v>0</v>
      </c>
      <c r="T110">
        <v>7</v>
      </c>
      <c r="U110">
        <v>1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f t="shared" si="1"/>
        <v>0</v>
      </c>
    </row>
    <row r="111" spans="1:30" x14ac:dyDescent="0.3">
      <c r="A111" t="s">
        <v>32</v>
      </c>
      <c r="B111" t="s">
        <v>28</v>
      </c>
      <c r="C111">
        <v>-99999</v>
      </c>
      <c r="D111">
        <v>0</v>
      </c>
      <c r="E111">
        <v>7</v>
      </c>
      <c r="F111">
        <v>14.832417</v>
      </c>
      <c r="G111">
        <v>1.9571419999999999</v>
      </c>
      <c r="H111">
        <v>8.9760922999999995</v>
      </c>
      <c r="I111">
        <v>9.3543471999999994</v>
      </c>
      <c r="J111">
        <v>4.0576905999999999</v>
      </c>
      <c r="K111">
        <v>6.7134852</v>
      </c>
      <c r="L111">
        <v>0</v>
      </c>
      <c r="M111">
        <v>0</v>
      </c>
      <c r="N111">
        <v>0</v>
      </c>
      <c r="O111">
        <v>0</v>
      </c>
      <c r="P111">
        <v>7</v>
      </c>
      <c r="Q111">
        <v>0</v>
      </c>
      <c r="R111">
        <v>0</v>
      </c>
      <c r="S111">
        <v>0</v>
      </c>
      <c r="T111">
        <v>7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0</v>
      </c>
      <c r="AB111">
        <v>0</v>
      </c>
      <c r="AC111">
        <v>0</v>
      </c>
      <c r="AD111">
        <f t="shared" si="1"/>
        <v>0</v>
      </c>
    </row>
    <row r="112" spans="1:30" x14ac:dyDescent="0.3">
      <c r="A112" t="s">
        <v>32</v>
      </c>
      <c r="B112" t="s">
        <v>29</v>
      </c>
      <c r="C112">
        <v>567</v>
      </c>
      <c r="D112">
        <v>1.0035273368606701</v>
      </c>
      <c r="E112">
        <v>3</v>
      </c>
      <c r="F112">
        <v>16.650760999999999</v>
      </c>
      <c r="G112">
        <v>1.166077</v>
      </c>
      <c r="H112">
        <v>6.8771757999999998</v>
      </c>
      <c r="I112">
        <v>9.3597488000000002</v>
      </c>
      <c r="J112">
        <v>6.8909693000000001</v>
      </c>
      <c r="K112">
        <v>7.9670820000000004</v>
      </c>
      <c r="L112">
        <v>2</v>
      </c>
      <c r="M112">
        <v>1</v>
      </c>
      <c r="N112">
        <v>2</v>
      </c>
      <c r="O112">
        <v>0</v>
      </c>
      <c r="P112">
        <v>1</v>
      </c>
      <c r="Q112">
        <v>1</v>
      </c>
      <c r="R112">
        <v>0</v>
      </c>
      <c r="S112">
        <v>0</v>
      </c>
      <c r="T112">
        <v>7</v>
      </c>
      <c r="U112">
        <v>0</v>
      </c>
      <c r="V112">
        <v>0.28571428599999998</v>
      </c>
      <c r="W112">
        <v>0.14285714299999999</v>
      </c>
      <c r="X112">
        <v>0.28571428599999998</v>
      </c>
      <c r="Y112">
        <v>0</v>
      </c>
      <c r="Z112">
        <v>0.14285714299999999</v>
      </c>
      <c r="AA112">
        <v>0.14285714299999999</v>
      </c>
      <c r="AB112">
        <v>0</v>
      </c>
      <c r="AC112">
        <v>0</v>
      </c>
      <c r="AD112">
        <f t="shared" si="1"/>
        <v>0</v>
      </c>
    </row>
    <row r="113" spans="1:30" x14ac:dyDescent="0.3">
      <c r="A113" t="s">
        <v>32</v>
      </c>
      <c r="B113" t="s">
        <v>29</v>
      </c>
      <c r="C113">
        <v>462</v>
      </c>
      <c r="D113">
        <v>1.2316017316017316</v>
      </c>
      <c r="E113">
        <v>4</v>
      </c>
      <c r="F113">
        <v>16.650760999999999</v>
      </c>
      <c r="G113">
        <v>1.166077</v>
      </c>
      <c r="H113">
        <v>6.8771757999999998</v>
      </c>
      <c r="I113">
        <v>9.3597488000000002</v>
      </c>
      <c r="J113">
        <v>6.8909693000000001</v>
      </c>
      <c r="K113">
        <v>7.9670820000000004</v>
      </c>
      <c r="L113">
        <v>2</v>
      </c>
      <c r="M113">
        <v>1</v>
      </c>
      <c r="N113">
        <v>2</v>
      </c>
      <c r="O113">
        <v>0</v>
      </c>
      <c r="P113">
        <v>1</v>
      </c>
      <c r="Q113">
        <v>1</v>
      </c>
      <c r="R113">
        <v>0</v>
      </c>
      <c r="S113">
        <v>0</v>
      </c>
      <c r="T113">
        <v>7</v>
      </c>
      <c r="U113">
        <v>0</v>
      </c>
      <c r="V113">
        <v>0.28571428599999998</v>
      </c>
      <c r="W113">
        <v>0.14285714299999999</v>
      </c>
      <c r="X113">
        <v>0.28571428599999998</v>
      </c>
      <c r="Y113">
        <v>0</v>
      </c>
      <c r="Z113">
        <v>0.14285714299999999</v>
      </c>
      <c r="AA113">
        <v>0.14285714299999999</v>
      </c>
      <c r="AB113">
        <v>0</v>
      </c>
      <c r="AC113">
        <v>0</v>
      </c>
      <c r="AD113">
        <f t="shared" si="1"/>
        <v>0</v>
      </c>
    </row>
    <row r="114" spans="1:30" x14ac:dyDescent="0.3">
      <c r="A114" t="s">
        <v>32</v>
      </c>
      <c r="B114" t="s">
        <v>29</v>
      </c>
      <c r="C114">
        <v>59</v>
      </c>
      <c r="D114">
        <v>1.5699645250295626</v>
      </c>
      <c r="E114">
        <v>5</v>
      </c>
      <c r="F114">
        <v>16.650760999999999</v>
      </c>
      <c r="G114">
        <v>1.166077</v>
      </c>
      <c r="H114">
        <v>6.8771757999999998</v>
      </c>
      <c r="I114">
        <v>9.3597488000000002</v>
      </c>
      <c r="J114">
        <v>6.8909693000000001</v>
      </c>
      <c r="K114">
        <v>7.9670820000000004</v>
      </c>
      <c r="L114">
        <v>2</v>
      </c>
      <c r="M114">
        <v>1</v>
      </c>
      <c r="N114">
        <v>2</v>
      </c>
      <c r="O114">
        <v>0</v>
      </c>
      <c r="P114">
        <v>1</v>
      </c>
      <c r="Q114">
        <v>1</v>
      </c>
      <c r="R114">
        <v>0</v>
      </c>
      <c r="S114">
        <v>0</v>
      </c>
      <c r="T114">
        <v>7</v>
      </c>
      <c r="U114">
        <v>0</v>
      </c>
      <c r="V114">
        <v>0.28571428599999998</v>
      </c>
      <c r="W114">
        <v>0.14285714299999999</v>
      </c>
      <c r="X114">
        <v>0.28571428599999998</v>
      </c>
      <c r="Y114">
        <v>0</v>
      </c>
      <c r="Z114">
        <v>0.14285714299999999</v>
      </c>
      <c r="AA114">
        <v>0.14285714299999999</v>
      </c>
      <c r="AB114">
        <v>0</v>
      </c>
      <c r="AC114">
        <v>0</v>
      </c>
      <c r="AD114">
        <f t="shared" si="1"/>
        <v>0</v>
      </c>
    </row>
    <row r="115" spans="1:30" x14ac:dyDescent="0.3">
      <c r="A115" t="s">
        <v>32</v>
      </c>
      <c r="B115" t="s">
        <v>29</v>
      </c>
      <c r="C115">
        <v>-99999</v>
      </c>
      <c r="D115">
        <v>0</v>
      </c>
      <c r="E115">
        <v>6</v>
      </c>
      <c r="F115">
        <v>16.650760999999999</v>
      </c>
      <c r="G115">
        <v>1.166077</v>
      </c>
      <c r="H115">
        <v>6.8771757999999998</v>
      </c>
      <c r="I115">
        <v>9.3597488000000002</v>
      </c>
      <c r="J115">
        <v>6.8909693000000001</v>
      </c>
      <c r="K115">
        <v>7.9670820000000004</v>
      </c>
      <c r="L115">
        <v>2</v>
      </c>
      <c r="M115">
        <v>1</v>
      </c>
      <c r="N115">
        <v>2</v>
      </c>
      <c r="O115">
        <v>0</v>
      </c>
      <c r="P115">
        <v>1</v>
      </c>
      <c r="Q115">
        <v>1</v>
      </c>
      <c r="R115">
        <v>0</v>
      </c>
      <c r="S115">
        <v>0</v>
      </c>
      <c r="T115">
        <v>7</v>
      </c>
      <c r="U115">
        <v>0</v>
      </c>
      <c r="V115">
        <v>0.28571428599999998</v>
      </c>
      <c r="W115">
        <v>0.14285714299999999</v>
      </c>
      <c r="X115">
        <v>0.28571428599999998</v>
      </c>
      <c r="Y115">
        <v>0</v>
      </c>
      <c r="Z115">
        <v>0.14285714299999999</v>
      </c>
      <c r="AA115">
        <v>0.14285714299999999</v>
      </c>
      <c r="AB115">
        <v>0</v>
      </c>
      <c r="AC115">
        <v>0</v>
      </c>
      <c r="AD115">
        <f t="shared" si="1"/>
        <v>0</v>
      </c>
    </row>
    <row r="116" spans="1:30" x14ac:dyDescent="0.3">
      <c r="A116" t="s">
        <v>32</v>
      </c>
      <c r="B116" t="s">
        <v>29</v>
      </c>
      <c r="C116">
        <v>-99999</v>
      </c>
      <c r="D116">
        <v>0</v>
      </c>
      <c r="E116">
        <v>7</v>
      </c>
      <c r="F116">
        <v>16.650760999999999</v>
      </c>
      <c r="G116">
        <v>1.166077</v>
      </c>
      <c r="H116">
        <v>6.8771757999999998</v>
      </c>
      <c r="I116">
        <v>9.3597488000000002</v>
      </c>
      <c r="J116">
        <v>6.8909693000000001</v>
      </c>
      <c r="K116">
        <v>7.9670820000000004</v>
      </c>
      <c r="L116">
        <v>2</v>
      </c>
      <c r="M116">
        <v>1</v>
      </c>
      <c r="N116">
        <v>2</v>
      </c>
      <c r="O116">
        <v>0</v>
      </c>
      <c r="P116">
        <v>1</v>
      </c>
      <c r="Q116">
        <v>1</v>
      </c>
      <c r="R116">
        <v>0</v>
      </c>
      <c r="S116">
        <v>0</v>
      </c>
      <c r="T116">
        <v>7</v>
      </c>
      <c r="U116">
        <v>0</v>
      </c>
      <c r="V116">
        <v>0.28571428599999998</v>
      </c>
      <c r="W116">
        <v>0.14285714299999999</v>
      </c>
      <c r="X116">
        <v>0.28571428599999998</v>
      </c>
      <c r="Y116">
        <v>0</v>
      </c>
      <c r="Z116">
        <v>0.14285714299999999</v>
      </c>
      <c r="AA116">
        <v>0.14285714299999999</v>
      </c>
      <c r="AB116">
        <v>0</v>
      </c>
      <c r="AC116">
        <v>0</v>
      </c>
      <c r="AD116">
        <f t="shared" si="1"/>
        <v>0</v>
      </c>
    </row>
    <row r="117" spans="1:30" x14ac:dyDescent="0.3">
      <c r="A117" t="s">
        <v>32</v>
      </c>
      <c r="B117" t="s">
        <v>30</v>
      </c>
      <c r="C117">
        <v>14</v>
      </c>
      <c r="D117">
        <v>0</v>
      </c>
      <c r="E117">
        <v>3</v>
      </c>
      <c r="F117">
        <v>3.5821752999999998</v>
      </c>
      <c r="G117">
        <v>0.63754683999999995</v>
      </c>
      <c r="H117">
        <v>1.8116418999999999</v>
      </c>
      <c r="I117">
        <v>9.7632265</v>
      </c>
      <c r="J117">
        <v>7.7819943</v>
      </c>
      <c r="K117">
        <v>8.9769267999999993</v>
      </c>
      <c r="L117">
        <v>0</v>
      </c>
      <c r="M117">
        <v>0</v>
      </c>
      <c r="N117">
        <v>0</v>
      </c>
      <c r="O117">
        <v>0</v>
      </c>
      <c r="P117">
        <v>7</v>
      </c>
      <c r="Q117">
        <v>0</v>
      </c>
      <c r="R117">
        <v>0</v>
      </c>
      <c r="S117">
        <v>0</v>
      </c>
      <c r="T117">
        <v>7</v>
      </c>
      <c r="U117">
        <v>1</v>
      </c>
      <c r="V117">
        <v>0</v>
      </c>
      <c r="W117">
        <v>0</v>
      </c>
      <c r="X117">
        <v>0</v>
      </c>
      <c r="Y117">
        <v>0</v>
      </c>
      <c r="Z117">
        <v>1</v>
      </c>
      <c r="AA117">
        <v>0</v>
      </c>
      <c r="AB117">
        <v>0</v>
      </c>
      <c r="AC117">
        <v>0</v>
      </c>
      <c r="AD117">
        <f t="shared" si="1"/>
        <v>0</v>
      </c>
    </row>
    <row r="118" spans="1:30" x14ac:dyDescent="0.3">
      <c r="A118" t="s">
        <v>32</v>
      </c>
      <c r="B118" t="s">
        <v>30</v>
      </c>
      <c r="C118">
        <v>-99999</v>
      </c>
      <c r="D118">
        <v>0</v>
      </c>
      <c r="E118">
        <v>4</v>
      </c>
      <c r="F118">
        <v>3.5821752999999998</v>
      </c>
      <c r="G118">
        <v>0.63754683999999995</v>
      </c>
      <c r="H118">
        <v>1.8116418999999999</v>
      </c>
      <c r="I118">
        <v>9.7632265</v>
      </c>
      <c r="J118">
        <v>7.7819943</v>
      </c>
      <c r="K118">
        <v>8.9769267999999993</v>
      </c>
      <c r="L118">
        <v>0</v>
      </c>
      <c r="M118">
        <v>0</v>
      </c>
      <c r="N118">
        <v>0</v>
      </c>
      <c r="O118">
        <v>0</v>
      </c>
      <c r="P118">
        <v>7</v>
      </c>
      <c r="Q118">
        <v>0</v>
      </c>
      <c r="R118">
        <v>0</v>
      </c>
      <c r="S118">
        <v>0</v>
      </c>
      <c r="T118">
        <v>7</v>
      </c>
      <c r="U118">
        <v>1</v>
      </c>
      <c r="V118">
        <v>0</v>
      </c>
      <c r="W118">
        <v>0</v>
      </c>
      <c r="X118">
        <v>0</v>
      </c>
      <c r="Y118">
        <v>0</v>
      </c>
      <c r="Z118">
        <v>1</v>
      </c>
      <c r="AA118">
        <v>0</v>
      </c>
      <c r="AB118">
        <v>0</v>
      </c>
      <c r="AC118">
        <v>0</v>
      </c>
      <c r="AD118">
        <f t="shared" si="1"/>
        <v>0</v>
      </c>
    </row>
    <row r="119" spans="1:30" x14ac:dyDescent="0.3">
      <c r="A119" t="s">
        <v>32</v>
      </c>
      <c r="B119" t="s">
        <v>30</v>
      </c>
      <c r="C119">
        <v>-99999</v>
      </c>
      <c r="D119">
        <v>0</v>
      </c>
      <c r="E119">
        <v>5</v>
      </c>
      <c r="F119">
        <v>3.5821752999999998</v>
      </c>
      <c r="G119">
        <v>0.63754683999999995</v>
      </c>
      <c r="H119">
        <v>1.8116418999999999</v>
      </c>
      <c r="I119">
        <v>9.7632265</v>
      </c>
      <c r="J119">
        <v>7.7819943</v>
      </c>
      <c r="K119">
        <v>8.9769267999999993</v>
      </c>
      <c r="L119">
        <v>0</v>
      </c>
      <c r="M119">
        <v>0</v>
      </c>
      <c r="N119">
        <v>0</v>
      </c>
      <c r="O119">
        <v>0</v>
      </c>
      <c r="P119">
        <v>7</v>
      </c>
      <c r="Q119">
        <v>0</v>
      </c>
      <c r="R119">
        <v>0</v>
      </c>
      <c r="S119">
        <v>0</v>
      </c>
      <c r="T119">
        <v>7</v>
      </c>
      <c r="U119">
        <v>1</v>
      </c>
      <c r="V119">
        <v>0</v>
      </c>
      <c r="W119">
        <v>0</v>
      </c>
      <c r="X119">
        <v>0</v>
      </c>
      <c r="Y119">
        <v>0</v>
      </c>
      <c r="Z119">
        <v>1</v>
      </c>
      <c r="AA119">
        <v>0</v>
      </c>
      <c r="AB119">
        <v>0</v>
      </c>
      <c r="AC119">
        <v>0</v>
      </c>
      <c r="AD119">
        <f t="shared" si="1"/>
        <v>0</v>
      </c>
    </row>
    <row r="120" spans="1:30" x14ac:dyDescent="0.3">
      <c r="A120" t="s">
        <v>32</v>
      </c>
      <c r="B120" t="s">
        <v>30</v>
      </c>
      <c r="C120">
        <v>-99999</v>
      </c>
      <c r="D120">
        <v>0</v>
      </c>
      <c r="E120">
        <v>6</v>
      </c>
      <c r="F120">
        <v>3.5821752999999998</v>
      </c>
      <c r="G120">
        <v>0.63754683999999995</v>
      </c>
      <c r="H120">
        <v>1.8116418999999999</v>
      </c>
      <c r="I120">
        <v>9.7632265</v>
      </c>
      <c r="J120">
        <v>7.7819943</v>
      </c>
      <c r="K120">
        <v>8.9769267999999993</v>
      </c>
      <c r="L120">
        <v>0</v>
      </c>
      <c r="M120">
        <v>0</v>
      </c>
      <c r="N120">
        <v>0</v>
      </c>
      <c r="O120">
        <v>0</v>
      </c>
      <c r="P120">
        <v>7</v>
      </c>
      <c r="Q120">
        <v>0</v>
      </c>
      <c r="R120">
        <v>0</v>
      </c>
      <c r="S120">
        <v>0</v>
      </c>
      <c r="T120">
        <v>7</v>
      </c>
      <c r="U120">
        <v>1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0</v>
      </c>
      <c r="AB120">
        <v>0</v>
      </c>
      <c r="AC120">
        <v>0</v>
      </c>
      <c r="AD120">
        <f t="shared" si="1"/>
        <v>0</v>
      </c>
    </row>
    <row r="121" spans="1:30" x14ac:dyDescent="0.3">
      <c r="A121" t="s">
        <v>32</v>
      </c>
      <c r="B121" t="s">
        <v>30</v>
      </c>
      <c r="C121">
        <v>-99999</v>
      </c>
      <c r="D121">
        <v>0</v>
      </c>
      <c r="E121">
        <v>7</v>
      </c>
      <c r="F121">
        <v>3.5821752999999998</v>
      </c>
      <c r="G121">
        <v>0.63754683999999995</v>
      </c>
      <c r="H121">
        <v>1.8116418999999999</v>
      </c>
      <c r="I121">
        <v>9.7632265</v>
      </c>
      <c r="J121">
        <v>7.7819943</v>
      </c>
      <c r="K121">
        <v>8.9769267999999993</v>
      </c>
      <c r="L121">
        <v>0</v>
      </c>
      <c r="M121">
        <v>0</v>
      </c>
      <c r="N121">
        <v>0</v>
      </c>
      <c r="O121">
        <v>0</v>
      </c>
      <c r="P121">
        <v>7</v>
      </c>
      <c r="Q121">
        <v>0</v>
      </c>
      <c r="R121">
        <v>0</v>
      </c>
      <c r="S121">
        <v>0</v>
      </c>
      <c r="T121">
        <v>7</v>
      </c>
      <c r="U121">
        <v>1</v>
      </c>
      <c r="V121">
        <v>0</v>
      </c>
      <c r="W121">
        <v>0</v>
      </c>
      <c r="X121">
        <v>0</v>
      </c>
      <c r="Y121">
        <v>0</v>
      </c>
      <c r="Z121">
        <v>1</v>
      </c>
      <c r="AA121">
        <v>0</v>
      </c>
      <c r="AB121">
        <v>0</v>
      </c>
      <c r="AC121">
        <v>0</v>
      </c>
      <c r="AD121">
        <f t="shared" si="1"/>
        <v>0</v>
      </c>
    </row>
    <row r="122" spans="1:30" x14ac:dyDescent="0.3">
      <c r="A122" t="s">
        <v>33</v>
      </c>
      <c r="B122" t="s">
        <v>27</v>
      </c>
      <c r="C122">
        <v>567</v>
      </c>
      <c r="D122">
        <v>1.0035273368606701</v>
      </c>
      <c r="E122">
        <v>3</v>
      </c>
      <c r="F122">
        <v>6.3716473999999996</v>
      </c>
      <c r="G122">
        <v>1.1668242</v>
      </c>
      <c r="H122">
        <v>2.8200796000000001</v>
      </c>
      <c r="I122">
        <v>7.8244381000000001</v>
      </c>
      <c r="J122">
        <v>5.3252153</v>
      </c>
      <c r="K122">
        <v>6.4776224999999998</v>
      </c>
      <c r="L122">
        <v>5</v>
      </c>
      <c r="M122">
        <v>1</v>
      </c>
      <c r="N122">
        <v>0</v>
      </c>
      <c r="O122">
        <v>0</v>
      </c>
      <c r="P122">
        <v>0</v>
      </c>
      <c r="Q122">
        <v>1</v>
      </c>
      <c r="R122">
        <v>0</v>
      </c>
      <c r="S122">
        <v>0</v>
      </c>
      <c r="T122">
        <v>7</v>
      </c>
      <c r="U122">
        <v>0</v>
      </c>
      <c r="V122">
        <v>0.71428571399999996</v>
      </c>
      <c r="W122">
        <v>0.14285714299999999</v>
      </c>
      <c r="X122">
        <v>0</v>
      </c>
      <c r="Y122">
        <v>0</v>
      </c>
      <c r="Z122">
        <v>0</v>
      </c>
      <c r="AA122">
        <v>0.14285714299999999</v>
      </c>
      <c r="AB122">
        <v>0</v>
      </c>
      <c r="AC122">
        <v>0</v>
      </c>
      <c r="AD122">
        <f t="shared" si="1"/>
        <v>0</v>
      </c>
    </row>
    <row r="123" spans="1:30" x14ac:dyDescent="0.3">
      <c r="A123" t="s">
        <v>33</v>
      </c>
      <c r="B123" t="s">
        <v>27</v>
      </c>
      <c r="C123">
        <v>473</v>
      </c>
      <c r="D123">
        <v>0.89632301123409186</v>
      </c>
      <c r="E123">
        <v>4</v>
      </c>
      <c r="F123">
        <v>6.3716473999999996</v>
      </c>
      <c r="G123">
        <v>1.1668242</v>
      </c>
      <c r="H123">
        <v>2.8200796000000001</v>
      </c>
      <c r="I123">
        <v>7.8244381000000001</v>
      </c>
      <c r="J123">
        <v>5.3252153</v>
      </c>
      <c r="K123">
        <v>6.4776224999999998</v>
      </c>
      <c r="L123">
        <v>5</v>
      </c>
      <c r="M123">
        <v>1</v>
      </c>
      <c r="N123">
        <v>0</v>
      </c>
      <c r="O123">
        <v>0</v>
      </c>
      <c r="P123">
        <v>0</v>
      </c>
      <c r="Q123">
        <v>1</v>
      </c>
      <c r="R123">
        <v>0</v>
      </c>
      <c r="S123">
        <v>0</v>
      </c>
      <c r="T123">
        <v>7</v>
      </c>
      <c r="U123">
        <v>0</v>
      </c>
      <c r="V123">
        <v>0.71428571399999996</v>
      </c>
      <c r="W123">
        <v>0.14285714299999999</v>
      </c>
      <c r="X123">
        <v>0</v>
      </c>
      <c r="Y123">
        <v>0</v>
      </c>
      <c r="Z123">
        <v>0</v>
      </c>
      <c r="AA123">
        <v>0.14285714299999999</v>
      </c>
      <c r="AB123">
        <v>0</v>
      </c>
      <c r="AC123">
        <v>0</v>
      </c>
      <c r="AD123">
        <f t="shared" si="1"/>
        <v>0</v>
      </c>
    </row>
    <row r="124" spans="1:30" x14ac:dyDescent="0.3">
      <c r="A124" t="s">
        <v>33</v>
      </c>
      <c r="B124" t="s">
        <v>27</v>
      </c>
      <c r="C124">
        <v>73</v>
      </c>
      <c r="D124">
        <v>0.1528337362342197</v>
      </c>
      <c r="E124">
        <v>5</v>
      </c>
      <c r="F124">
        <v>6.3716473999999996</v>
      </c>
      <c r="G124">
        <v>1.1668242</v>
      </c>
      <c r="H124">
        <v>2.8200796000000001</v>
      </c>
      <c r="I124">
        <v>7.8244381000000001</v>
      </c>
      <c r="J124">
        <v>5.3252153</v>
      </c>
      <c r="K124">
        <v>6.4776224999999998</v>
      </c>
      <c r="L124">
        <v>5</v>
      </c>
      <c r="M124">
        <v>1</v>
      </c>
      <c r="N124">
        <v>0</v>
      </c>
      <c r="O124">
        <v>0</v>
      </c>
      <c r="P124">
        <v>0</v>
      </c>
      <c r="Q124">
        <v>1</v>
      </c>
      <c r="R124">
        <v>0</v>
      </c>
      <c r="S124">
        <v>0</v>
      </c>
      <c r="T124">
        <v>7</v>
      </c>
      <c r="U124">
        <v>0</v>
      </c>
      <c r="V124">
        <v>0.71428571399999996</v>
      </c>
      <c r="W124">
        <v>0.14285714299999999</v>
      </c>
      <c r="X124">
        <v>0</v>
      </c>
      <c r="Y124">
        <v>0</v>
      </c>
      <c r="Z124">
        <v>0</v>
      </c>
      <c r="AA124">
        <v>0.14285714299999999</v>
      </c>
      <c r="AB124">
        <v>0</v>
      </c>
      <c r="AC124">
        <v>0</v>
      </c>
      <c r="AD124">
        <f t="shared" si="1"/>
        <v>0</v>
      </c>
    </row>
    <row r="125" spans="1:30" x14ac:dyDescent="0.3">
      <c r="A125" t="s">
        <v>33</v>
      </c>
      <c r="B125" t="s">
        <v>27</v>
      </c>
      <c r="C125">
        <v>-99999</v>
      </c>
      <c r="D125">
        <v>0</v>
      </c>
      <c r="E125">
        <v>6</v>
      </c>
      <c r="F125">
        <v>6.3716473999999996</v>
      </c>
      <c r="G125">
        <v>1.1668242</v>
      </c>
      <c r="H125">
        <v>2.8200796000000001</v>
      </c>
      <c r="I125">
        <v>7.8244381000000001</v>
      </c>
      <c r="J125">
        <v>5.3252153</v>
      </c>
      <c r="K125">
        <v>6.4776224999999998</v>
      </c>
      <c r="L125">
        <v>5</v>
      </c>
      <c r="M125">
        <v>1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7</v>
      </c>
      <c r="U125">
        <v>0</v>
      </c>
      <c r="V125">
        <v>0.71428571399999996</v>
      </c>
      <c r="W125">
        <v>0.14285714299999999</v>
      </c>
      <c r="X125">
        <v>0</v>
      </c>
      <c r="Y125">
        <v>0</v>
      </c>
      <c r="Z125">
        <v>0</v>
      </c>
      <c r="AA125">
        <v>0.14285714299999999</v>
      </c>
      <c r="AB125">
        <v>0</v>
      </c>
      <c r="AC125">
        <v>0</v>
      </c>
      <c r="AD125">
        <f t="shared" si="1"/>
        <v>0</v>
      </c>
    </row>
    <row r="126" spans="1:30" x14ac:dyDescent="0.3">
      <c r="A126" t="s">
        <v>33</v>
      </c>
      <c r="B126" t="s">
        <v>27</v>
      </c>
      <c r="C126">
        <v>-99999</v>
      </c>
      <c r="D126">
        <v>0</v>
      </c>
      <c r="E126">
        <v>7</v>
      </c>
      <c r="F126">
        <v>6.3716473999999996</v>
      </c>
      <c r="G126">
        <v>1.1668242</v>
      </c>
      <c r="H126">
        <v>2.8200796000000001</v>
      </c>
      <c r="I126">
        <v>7.8244381000000001</v>
      </c>
      <c r="J126">
        <v>5.3252153</v>
      </c>
      <c r="K126">
        <v>6.4776224999999998</v>
      </c>
      <c r="L126">
        <v>5</v>
      </c>
      <c r="M126">
        <v>1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7</v>
      </c>
      <c r="U126">
        <v>0</v>
      </c>
      <c r="V126">
        <v>0.71428571399999996</v>
      </c>
      <c r="W126">
        <v>0.14285714299999999</v>
      </c>
      <c r="X126">
        <v>0</v>
      </c>
      <c r="Y126">
        <v>0</v>
      </c>
      <c r="Z126">
        <v>0</v>
      </c>
      <c r="AA126">
        <v>0.14285714299999999</v>
      </c>
      <c r="AB126">
        <v>0</v>
      </c>
      <c r="AC126">
        <v>0</v>
      </c>
      <c r="AD126">
        <f t="shared" si="1"/>
        <v>0</v>
      </c>
    </row>
    <row r="127" spans="1:30" x14ac:dyDescent="0.3">
      <c r="A127" t="s">
        <v>33</v>
      </c>
      <c r="B127" t="s">
        <v>28</v>
      </c>
      <c r="C127">
        <v>17</v>
      </c>
      <c r="D127">
        <v>0.65628604382929634</v>
      </c>
      <c r="E127">
        <v>3</v>
      </c>
      <c r="F127">
        <v>12.157954999999999</v>
      </c>
      <c r="G127">
        <v>0.93415672000000005</v>
      </c>
      <c r="H127">
        <v>7.589664</v>
      </c>
      <c r="I127">
        <v>7.4751987</v>
      </c>
      <c r="J127">
        <v>4.9227901000000003</v>
      </c>
      <c r="K127">
        <v>6.4836863999999998</v>
      </c>
      <c r="L127">
        <v>0</v>
      </c>
      <c r="M127">
        <v>0</v>
      </c>
      <c r="N127">
        <v>0</v>
      </c>
      <c r="O127">
        <v>0</v>
      </c>
      <c r="P127">
        <v>6</v>
      </c>
      <c r="Q127">
        <v>0</v>
      </c>
      <c r="R127">
        <v>1</v>
      </c>
      <c r="S127">
        <v>0</v>
      </c>
      <c r="T127">
        <v>7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0.85714285700000004</v>
      </c>
      <c r="AA127">
        <v>0</v>
      </c>
      <c r="AB127">
        <v>0.14285714299999999</v>
      </c>
      <c r="AC127">
        <v>0</v>
      </c>
      <c r="AD127">
        <f t="shared" si="1"/>
        <v>0</v>
      </c>
    </row>
    <row r="128" spans="1:30" x14ac:dyDescent="0.3">
      <c r="A128" t="s">
        <v>33</v>
      </c>
      <c r="B128" t="s">
        <v>28</v>
      </c>
      <c r="C128">
        <v>1</v>
      </c>
      <c r="D128">
        <v>0</v>
      </c>
      <c r="E128">
        <v>4</v>
      </c>
      <c r="F128">
        <v>12.157954999999999</v>
      </c>
      <c r="G128">
        <v>0.93415672000000005</v>
      </c>
      <c r="H128">
        <v>7.589664</v>
      </c>
      <c r="I128">
        <v>7.4751987</v>
      </c>
      <c r="J128">
        <v>4.9227901000000003</v>
      </c>
      <c r="K128">
        <v>6.4836863999999998</v>
      </c>
      <c r="L128">
        <v>0</v>
      </c>
      <c r="M128">
        <v>0</v>
      </c>
      <c r="N128">
        <v>0</v>
      </c>
      <c r="O128">
        <v>0</v>
      </c>
      <c r="P128">
        <v>6</v>
      </c>
      <c r="Q128">
        <v>0</v>
      </c>
      <c r="R128">
        <v>1</v>
      </c>
      <c r="S128">
        <v>0</v>
      </c>
      <c r="T128">
        <v>7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0.85714285700000004</v>
      </c>
      <c r="AA128">
        <v>0</v>
      </c>
      <c r="AB128">
        <v>0.14285714299999999</v>
      </c>
      <c r="AC128">
        <v>0</v>
      </c>
      <c r="AD128">
        <f t="shared" si="1"/>
        <v>0</v>
      </c>
    </row>
    <row r="129" spans="1:30" x14ac:dyDescent="0.3">
      <c r="A129" t="s">
        <v>33</v>
      </c>
      <c r="B129" t="s">
        <v>28</v>
      </c>
      <c r="C129">
        <v>-99999</v>
      </c>
      <c r="D129">
        <v>0</v>
      </c>
      <c r="E129">
        <v>5</v>
      </c>
      <c r="F129">
        <v>12.157954999999999</v>
      </c>
      <c r="G129">
        <v>0.93415672000000005</v>
      </c>
      <c r="H129">
        <v>7.589664</v>
      </c>
      <c r="I129">
        <v>7.4751987</v>
      </c>
      <c r="J129">
        <v>4.9227901000000003</v>
      </c>
      <c r="K129">
        <v>6.4836863999999998</v>
      </c>
      <c r="L129">
        <v>0</v>
      </c>
      <c r="M129">
        <v>0</v>
      </c>
      <c r="N129">
        <v>0</v>
      </c>
      <c r="O129">
        <v>0</v>
      </c>
      <c r="P129">
        <v>6</v>
      </c>
      <c r="Q129">
        <v>0</v>
      </c>
      <c r="R129">
        <v>1</v>
      </c>
      <c r="S129">
        <v>0</v>
      </c>
      <c r="T129">
        <v>7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0.85714285700000004</v>
      </c>
      <c r="AA129">
        <v>0</v>
      </c>
      <c r="AB129">
        <v>0.14285714299999999</v>
      </c>
      <c r="AC129">
        <v>0</v>
      </c>
      <c r="AD129">
        <f t="shared" si="1"/>
        <v>0</v>
      </c>
    </row>
    <row r="130" spans="1:30" x14ac:dyDescent="0.3">
      <c r="A130" t="s">
        <v>33</v>
      </c>
      <c r="B130" t="s">
        <v>28</v>
      </c>
      <c r="C130">
        <v>-99999</v>
      </c>
      <c r="D130">
        <v>0</v>
      </c>
      <c r="E130">
        <v>6</v>
      </c>
      <c r="F130">
        <v>12.157954999999999</v>
      </c>
      <c r="G130">
        <v>0.93415672000000005</v>
      </c>
      <c r="H130">
        <v>7.589664</v>
      </c>
      <c r="I130">
        <v>7.4751987</v>
      </c>
      <c r="J130">
        <v>4.9227901000000003</v>
      </c>
      <c r="K130">
        <v>6.4836863999999998</v>
      </c>
      <c r="L130">
        <v>0</v>
      </c>
      <c r="M130">
        <v>0</v>
      </c>
      <c r="N130">
        <v>0</v>
      </c>
      <c r="O130">
        <v>0</v>
      </c>
      <c r="P130">
        <v>6</v>
      </c>
      <c r="Q130">
        <v>0</v>
      </c>
      <c r="R130">
        <v>1</v>
      </c>
      <c r="S130">
        <v>0</v>
      </c>
      <c r="T130">
        <v>7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0.85714285700000004</v>
      </c>
      <c r="AA130">
        <v>0</v>
      </c>
      <c r="AB130">
        <v>0.14285714299999999</v>
      </c>
      <c r="AC130">
        <v>0</v>
      </c>
      <c r="AD130">
        <f t="shared" si="1"/>
        <v>0</v>
      </c>
    </row>
    <row r="131" spans="1:30" x14ac:dyDescent="0.3">
      <c r="A131" t="s">
        <v>33</v>
      </c>
      <c r="B131" t="s">
        <v>28</v>
      </c>
      <c r="C131">
        <v>-99999</v>
      </c>
      <c r="D131">
        <v>0</v>
      </c>
      <c r="E131">
        <v>7</v>
      </c>
      <c r="F131">
        <v>12.157954999999999</v>
      </c>
      <c r="G131">
        <v>0.93415672000000005</v>
      </c>
      <c r="H131">
        <v>7.589664</v>
      </c>
      <c r="I131">
        <v>7.4751987</v>
      </c>
      <c r="J131">
        <v>4.9227901000000003</v>
      </c>
      <c r="K131">
        <v>6.4836863999999998</v>
      </c>
      <c r="L131">
        <v>0</v>
      </c>
      <c r="M131">
        <v>0</v>
      </c>
      <c r="N131">
        <v>0</v>
      </c>
      <c r="O131">
        <v>0</v>
      </c>
      <c r="P131">
        <v>6</v>
      </c>
      <c r="Q131">
        <v>0</v>
      </c>
      <c r="R131">
        <v>1</v>
      </c>
      <c r="S131">
        <v>0</v>
      </c>
      <c r="T131">
        <v>7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0.85714285700000004</v>
      </c>
      <c r="AA131">
        <v>0</v>
      </c>
      <c r="AB131">
        <v>0.14285714299999999</v>
      </c>
      <c r="AC131">
        <v>0</v>
      </c>
      <c r="AD131">
        <f t="shared" ref="AD131:AD194" si="2">IF(D131&gt;2, 1, 0)</f>
        <v>0</v>
      </c>
    </row>
    <row r="132" spans="1:30" x14ac:dyDescent="0.3">
      <c r="A132" t="s">
        <v>33</v>
      </c>
      <c r="B132" t="s">
        <v>29</v>
      </c>
      <c r="C132">
        <v>563</v>
      </c>
      <c r="D132">
        <v>1.0106571936056836</v>
      </c>
      <c r="E132">
        <v>3</v>
      </c>
      <c r="F132">
        <v>11.866706000000001</v>
      </c>
      <c r="G132">
        <v>1.1679881000000001</v>
      </c>
      <c r="H132">
        <v>7.4726090000000003</v>
      </c>
      <c r="I132">
        <v>8.2246541999999998</v>
      </c>
      <c r="J132">
        <v>5.3701162</v>
      </c>
      <c r="K132">
        <v>6.6177396999999996</v>
      </c>
      <c r="L132">
        <v>4</v>
      </c>
      <c r="M132">
        <v>1</v>
      </c>
      <c r="N132">
        <v>0</v>
      </c>
      <c r="O132">
        <v>0</v>
      </c>
      <c r="P132">
        <v>1</v>
      </c>
      <c r="Q132">
        <v>1</v>
      </c>
      <c r="R132">
        <v>0</v>
      </c>
      <c r="S132">
        <v>0</v>
      </c>
      <c r="T132">
        <v>7</v>
      </c>
      <c r="U132">
        <v>0</v>
      </c>
      <c r="V132">
        <v>0.571428571</v>
      </c>
      <c r="W132">
        <v>0.14285714299999999</v>
      </c>
      <c r="X132">
        <v>0</v>
      </c>
      <c r="Y132">
        <v>0</v>
      </c>
      <c r="Z132">
        <v>0.14285714299999999</v>
      </c>
      <c r="AA132">
        <v>0.14285714299999999</v>
      </c>
      <c r="AB132">
        <v>0</v>
      </c>
      <c r="AC132">
        <v>0</v>
      </c>
      <c r="AD132">
        <f t="shared" si="2"/>
        <v>0</v>
      </c>
    </row>
    <row r="133" spans="1:30" x14ac:dyDescent="0.3">
      <c r="A133" t="s">
        <v>33</v>
      </c>
      <c r="B133" t="s">
        <v>29</v>
      </c>
      <c r="C133">
        <v>211</v>
      </c>
      <c r="D133">
        <v>0.68738964780224876</v>
      </c>
      <c r="E133">
        <v>4</v>
      </c>
      <c r="F133">
        <v>11.866706000000001</v>
      </c>
      <c r="G133">
        <v>1.1679881000000001</v>
      </c>
      <c r="H133">
        <v>7.4726090000000003</v>
      </c>
      <c r="I133">
        <v>8.2246541999999998</v>
      </c>
      <c r="J133">
        <v>5.3701162</v>
      </c>
      <c r="K133">
        <v>6.6177396999999996</v>
      </c>
      <c r="L133">
        <v>4</v>
      </c>
      <c r="M133">
        <v>1</v>
      </c>
      <c r="N133">
        <v>0</v>
      </c>
      <c r="O133">
        <v>0</v>
      </c>
      <c r="P133">
        <v>1</v>
      </c>
      <c r="Q133">
        <v>1</v>
      </c>
      <c r="R133">
        <v>0</v>
      </c>
      <c r="S133">
        <v>0</v>
      </c>
      <c r="T133">
        <v>7</v>
      </c>
      <c r="U133">
        <v>0</v>
      </c>
      <c r="V133">
        <v>0.571428571</v>
      </c>
      <c r="W133">
        <v>0.14285714299999999</v>
      </c>
      <c r="X133">
        <v>0</v>
      </c>
      <c r="Y133">
        <v>0</v>
      </c>
      <c r="Z133">
        <v>0.14285714299999999</v>
      </c>
      <c r="AA133">
        <v>0.14285714299999999</v>
      </c>
      <c r="AB133">
        <v>0</v>
      </c>
      <c r="AC133">
        <v>0</v>
      </c>
      <c r="AD133">
        <f t="shared" si="2"/>
        <v>0</v>
      </c>
    </row>
    <row r="134" spans="1:30" x14ac:dyDescent="0.3">
      <c r="A134" t="s">
        <v>33</v>
      </c>
      <c r="B134" t="s">
        <v>29</v>
      </c>
      <c r="C134">
        <v>17</v>
      </c>
      <c r="D134">
        <v>0</v>
      </c>
      <c r="E134">
        <v>5</v>
      </c>
      <c r="F134">
        <v>11.866706000000001</v>
      </c>
      <c r="G134">
        <v>1.1679881000000001</v>
      </c>
      <c r="H134">
        <v>7.4726090000000003</v>
      </c>
      <c r="I134">
        <v>8.2246541999999998</v>
      </c>
      <c r="J134">
        <v>5.3701162</v>
      </c>
      <c r="K134">
        <v>6.6177396999999996</v>
      </c>
      <c r="L134">
        <v>4</v>
      </c>
      <c r="M134">
        <v>1</v>
      </c>
      <c r="N134">
        <v>0</v>
      </c>
      <c r="O134">
        <v>0</v>
      </c>
      <c r="P134">
        <v>1</v>
      </c>
      <c r="Q134">
        <v>1</v>
      </c>
      <c r="R134">
        <v>0</v>
      </c>
      <c r="S134">
        <v>0</v>
      </c>
      <c r="T134">
        <v>7</v>
      </c>
      <c r="U134">
        <v>0</v>
      </c>
      <c r="V134">
        <v>0.571428571</v>
      </c>
      <c r="W134">
        <v>0.14285714299999999</v>
      </c>
      <c r="X134">
        <v>0</v>
      </c>
      <c r="Y134">
        <v>0</v>
      </c>
      <c r="Z134">
        <v>0.14285714299999999</v>
      </c>
      <c r="AA134">
        <v>0.14285714299999999</v>
      </c>
      <c r="AB134">
        <v>0</v>
      </c>
      <c r="AC134">
        <v>0</v>
      </c>
      <c r="AD134">
        <f t="shared" si="2"/>
        <v>0</v>
      </c>
    </row>
    <row r="135" spans="1:30" x14ac:dyDescent="0.3">
      <c r="A135" t="s">
        <v>33</v>
      </c>
      <c r="B135" t="s">
        <v>29</v>
      </c>
      <c r="C135">
        <v>1</v>
      </c>
      <c r="D135">
        <v>0</v>
      </c>
      <c r="E135">
        <v>6</v>
      </c>
      <c r="F135">
        <v>11.866706000000001</v>
      </c>
      <c r="G135">
        <v>1.1679881000000001</v>
      </c>
      <c r="H135">
        <v>7.4726090000000003</v>
      </c>
      <c r="I135">
        <v>8.2246541999999998</v>
      </c>
      <c r="J135">
        <v>5.3701162</v>
      </c>
      <c r="K135">
        <v>6.6177396999999996</v>
      </c>
      <c r="L135">
        <v>4</v>
      </c>
      <c r="M135">
        <v>1</v>
      </c>
      <c r="N135">
        <v>0</v>
      </c>
      <c r="O135">
        <v>0</v>
      </c>
      <c r="P135">
        <v>1</v>
      </c>
      <c r="Q135">
        <v>1</v>
      </c>
      <c r="R135">
        <v>0</v>
      </c>
      <c r="S135">
        <v>0</v>
      </c>
      <c r="T135">
        <v>7</v>
      </c>
      <c r="U135">
        <v>0</v>
      </c>
      <c r="V135">
        <v>0.571428571</v>
      </c>
      <c r="W135">
        <v>0.14285714299999999</v>
      </c>
      <c r="X135">
        <v>0</v>
      </c>
      <c r="Y135">
        <v>0</v>
      </c>
      <c r="Z135">
        <v>0.14285714299999999</v>
      </c>
      <c r="AA135">
        <v>0.14285714299999999</v>
      </c>
      <c r="AB135">
        <v>0</v>
      </c>
      <c r="AC135">
        <v>0</v>
      </c>
      <c r="AD135">
        <f t="shared" si="2"/>
        <v>0</v>
      </c>
    </row>
    <row r="136" spans="1:30" x14ac:dyDescent="0.3">
      <c r="A136" t="s">
        <v>33</v>
      </c>
      <c r="B136" t="s">
        <v>29</v>
      </c>
      <c r="C136">
        <v>-99999</v>
      </c>
      <c r="D136">
        <v>0</v>
      </c>
      <c r="E136">
        <v>7</v>
      </c>
      <c r="F136">
        <v>11.866706000000001</v>
      </c>
      <c r="G136">
        <v>1.1679881000000001</v>
      </c>
      <c r="H136">
        <v>7.4726090000000003</v>
      </c>
      <c r="I136">
        <v>8.2246541999999998</v>
      </c>
      <c r="J136">
        <v>5.3701162</v>
      </c>
      <c r="K136">
        <v>6.6177396999999996</v>
      </c>
      <c r="L136">
        <v>4</v>
      </c>
      <c r="M136">
        <v>1</v>
      </c>
      <c r="N136">
        <v>0</v>
      </c>
      <c r="O136">
        <v>0</v>
      </c>
      <c r="P136">
        <v>1</v>
      </c>
      <c r="Q136">
        <v>1</v>
      </c>
      <c r="R136">
        <v>0</v>
      </c>
      <c r="S136">
        <v>0</v>
      </c>
      <c r="T136">
        <v>7</v>
      </c>
      <c r="U136">
        <v>0</v>
      </c>
      <c r="V136">
        <v>0.571428571</v>
      </c>
      <c r="W136">
        <v>0.14285714299999999</v>
      </c>
      <c r="X136">
        <v>0</v>
      </c>
      <c r="Y136">
        <v>0</v>
      </c>
      <c r="Z136">
        <v>0.14285714299999999</v>
      </c>
      <c r="AA136">
        <v>0.14285714299999999</v>
      </c>
      <c r="AB136">
        <v>0</v>
      </c>
      <c r="AC136">
        <v>0</v>
      </c>
      <c r="AD136">
        <f t="shared" si="2"/>
        <v>0</v>
      </c>
    </row>
    <row r="137" spans="1:30" x14ac:dyDescent="0.3">
      <c r="A137" t="s">
        <v>33</v>
      </c>
      <c r="B137" t="s">
        <v>30</v>
      </c>
      <c r="C137">
        <v>24</v>
      </c>
      <c r="D137">
        <v>0.92973856209150318</v>
      </c>
      <c r="E137">
        <v>3</v>
      </c>
      <c r="F137">
        <v>12.780951999999999</v>
      </c>
      <c r="G137">
        <v>1.5277921999999999</v>
      </c>
      <c r="H137">
        <v>6.5867801000000004</v>
      </c>
      <c r="I137">
        <v>6.6282867999999997</v>
      </c>
      <c r="J137">
        <v>4.6312828000000001</v>
      </c>
      <c r="K137">
        <v>5.7746209999999998</v>
      </c>
      <c r="L137">
        <v>0</v>
      </c>
      <c r="M137">
        <v>0</v>
      </c>
      <c r="N137">
        <v>0</v>
      </c>
      <c r="O137">
        <v>0</v>
      </c>
      <c r="P137">
        <v>4</v>
      </c>
      <c r="Q137">
        <v>0</v>
      </c>
      <c r="R137">
        <v>3</v>
      </c>
      <c r="S137">
        <v>0</v>
      </c>
      <c r="T137">
        <v>7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0.571428571</v>
      </c>
      <c r="AA137">
        <v>0</v>
      </c>
      <c r="AB137">
        <v>0.428571429</v>
      </c>
      <c r="AC137">
        <v>0</v>
      </c>
      <c r="AD137">
        <f t="shared" si="2"/>
        <v>0</v>
      </c>
    </row>
    <row r="138" spans="1:30" x14ac:dyDescent="0.3">
      <c r="A138" t="s">
        <v>33</v>
      </c>
      <c r="B138" t="s">
        <v>30</v>
      </c>
      <c r="C138">
        <v>1</v>
      </c>
      <c r="D138">
        <v>0</v>
      </c>
      <c r="E138">
        <v>4</v>
      </c>
      <c r="F138">
        <v>12.780951999999999</v>
      </c>
      <c r="G138">
        <v>1.5277921999999999</v>
      </c>
      <c r="H138">
        <v>6.5867801000000004</v>
      </c>
      <c r="I138">
        <v>6.6282867999999997</v>
      </c>
      <c r="J138">
        <v>4.6312828000000001</v>
      </c>
      <c r="K138">
        <v>5.7746209999999998</v>
      </c>
      <c r="L138">
        <v>0</v>
      </c>
      <c r="M138">
        <v>0</v>
      </c>
      <c r="N138">
        <v>0</v>
      </c>
      <c r="O138">
        <v>0</v>
      </c>
      <c r="P138">
        <v>4</v>
      </c>
      <c r="Q138">
        <v>0</v>
      </c>
      <c r="R138">
        <v>3</v>
      </c>
      <c r="S138">
        <v>0</v>
      </c>
      <c r="T138">
        <v>7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0.571428571</v>
      </c>
      <c r="AA138">
        <v>0</v>
      </c>
      <c r="AB138">
        <v>0.428571429</v>
      </c>
      <c r="AC138">
        <v>0</v>
      </c>
      <c r="AD138">
        <f t="shared" si="2"/>
        <v>0</v>
      </c>
    </row>
    <row r="139" spans="1:30" x14ac:dyDescent="0.3">
      <c r="A139" t="s">
        <v>33</v>
      </c>
      <c r="B139" t="s">
        <v>30</v>
      </c>
      <c r="C139">
        <v>-99999</v>
      </c>
      <c r="D139">
        <v>0</v>
      </c>
      <c r="E139">
        <v>5</v>
      </c>
      <c r="F139">
        <v>12.780951999999999</v>
      </c>
      <c r="G139">
        <v>1.5277921999999999</v>
      </c>
      <c r="H139">
        <v>6.5867801000000004</v>
      </c>
      <c r="I139">
        <v>6.6282867999999997</v>
      </c>
      <c r="J139">
        <v>4.6312828000000001</v>
      </c>
      <c r="K139">
        <v>5.7746209999999998</v>
      </c>
      <c r="L139">
        <v>0</v>
      </c>
      <c r="M139">
        <v>0</v>
      </c>
      <c r="N139">
        <v>0</v>
      </c>
      <c r="O139">
        <v>0</v>
      </c>
      <c r="P139">
        <v>4</v>
      </c>
      <c r="Q139">
        <v>0</v>
      </c>
      <c r="R139">
        <v>3</v>
      </c>
      <c r="S139">
        <v>0</v>
      </c>
      <c r="T139">
        <v>7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0.571428571</v>
      </c>
      <c r="AA139">
        <v>0</v>
      </c>
      <c r="AB139">
        <v>0.428571429</v>
      </c>
      <c r="AC139">
        <v>0</v>
      </c>
      <c r="AD139">
        <f t="shared" si="2"/>
        <v>0</v>
      </c>
    </row>
    <row r="140" spans="1:30" x14ac:dyDescent="0.3">
      <c r="A140" t="s">
        <v>33</v>
      </c>
      <c r="B140" t="s">
        <v>30</v>
      </c>
      <c r="C140">
        <v>-99999</v>
      </c>
      <c r="D140">
        <v>0</v>
      </c>
      <c r="E140">
        <v>6</v>
      </c>
      <c r="F140">
        <v>12.780951999999999</v>
      </c>
      <c r="G140">
        <v>1.5277921999999999</v>
      </c>
      <c r="H140">
        <v>6.5867801000000004</v>
      </c>
      <c r="I140">
        <v>6.6282867999999997</v>
      </c>
      <c r="J140">
        <v>4.6312828000000001</v>
      </c>
      <c r="K140">
        <v>5.7746209999999998</v>
      </c>
      <c r="L140">
        <v>0</v>
      </c>
      <c r="M140">
        <v>0</v>
      </c>
      <c r="N140">
        <v>0</v>
      </c>
      <c r="O140">
        <v>0</v>
      </c>
      <c r="P140">
        <v>4</v>
      </c>
      <c r="Q140">
        <v>0</v>
      </c>
      <c r="R140">
        <v>3</v>
      </c>
      <c r="S140">
        <v>0</v>
      </c>
      <c r="T140">
        <v>7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0.571428571</v>
      </c>
      <c r="AA140">
        <v>0</v>
      </c>
      <c r="AB140">
        <v>0.428571429</v>
      </c>
      <c r="AC140">
        <v>0</v>
      </c>
      <c r="AD140">
        <f t="shared" si="2"/>
        <v>0</v>
      </c>
    </row>
    <row r="141" spans="1:30" x14ac:dyDescent="0.3">
      <c r="A141" t="s">
        <v>33</v>
      </c>
      <c r="B141" t="s">
        <v>30</v>
      </c>
      <c r="C141">
        <v>-99999</v>
      </c>
      <c r="D141">
        <v>0</v>
      </c>
      <c r="E141">
        <v>7</v>
      </c>
      <c r="F141">
        <v>12.780951999999999</v>
      </c>
      <c r="G141">
        <v>1.5277921999999999</v>
      </c>
      <c r="H141">
        <v>6.5867801000000004</v>
      </c>
      <c r="I141">
        <v>6.6282867999999997</v>
      </c>
      <c r="J141">
        <v>4.6312828000000001</v>
      </c>
      <c r="K141">
        <v>5.7746209999999998</v>
      </c>
      <c r="L141">
        <v>0</v>
      </c>
      <c r="M141">
        <v>0</v>
      </c>
      <c r="N141">
        <v>0</v>
      </c>
      <c r="O141">
        <v>0</v>
      </c>
      <c r="P141">
        <v>4</v>
      </c>
      <c r="Q141">
        <v>0</v>
      </c>
      <c r="R141">
        <v>3</v>
      </c>
      <c r="S141">
        <v>0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0.571428571</v>
      </c>
      <c r="AA141">
        <v>0</v>
      </c>
      <c r="AB141">
        <v>0.428571429</v>
      </c>
      <c r="AC141">
        <v>0</v>
      </c>
      <c r="AD141">
        <f t="shared" si="2"/>
        <v>0</v>
      </c>
    </row>
    <row r="142" spans="1:30" x14ac:dyDescent="0.3">
      <c r="A142" t="s">
        <v>34</v>
      </c>
      <c r="B142" t="s">
        <v>27</v>
      </c>
      <c r="C142">
        <v>556</v>
      </c>
      <c r="D142">
        <v>0.94922323011156295</v>
      </c>
      <c r="E142">
        <v>3</v>
      </c>
      <c r="F142">
        <v>16.527850999999998</v>
      </c>
      <c r="G142">
        <v>1.1651175</v>
      </c>
      <c r="H142">
        <v>8.9102067999999992</v>
      </c>
      <c r="I142">
        <v>9.0921792999999997</v>
      </c>
      <c r="J142">
        <v>3.4673227999999998</v>
      </c>
      <c r="K142">
        <v>6.5070853</v>
      </c>
      <c r="L142">
        <v>3</v>
      </c>
      <c r="M142">
        <v>1</v>
      </c>
      <c r="N142">
        <v>1</v>
      </c>
      <c r="O142">
        <v>0</v>
      </c>
      <c r="P142">
        <v>0</v>
      </c>
      <c r="Q142">
        <v>2</v>
      </c>
      <c r="R142">
        <v>0</v>
      </c>
      <c r="S142">
        <v>0</v>
      </c>
      <c r="T142">
        <v>7</v>
      </c>
      <c r="U142">
        <v>0</v>
      </c>
      <c r="V142">
        <v>0.428571429</v>
      </c>
      <c r="W142">
        <v>0.14285714299999999</v>
      </c>
      <c r="X142">
        <v>0.14285714299999999</v>
      </c>
      <c r="Y142">
        <v>0</v>
      </c>
      <c r="Z142">
        <v>0</v>
      </c>
      <c r="AA142">
        <v>0.28571428599999998</v>
      </c>
      <c r="AB142">
        <v>0</v>
      </c>
      <c r="AC142">
        <v>0</v>
      </c>
      <c r="AD142">
        <f t="shared" si="2"/>
        <v>0</v>
      </c>
    </row>
    <row r="143" spans="1:30" x14ac:dyDescent="0.3">
      <c r="A143" t="s">
        <v>34</v>
      </c>
      <c r="B143" t="s">
        <v>27</v>
      </c>
      <c r="C143">
        <v>312</v>
      </c>
      <c r="D143">
        <v>0.87221293199554073</v>
      </c>
      <c r="E143">
        <v>4</v>
      </c>
      <c r="F143">
        <v>16.527850999999998</v>
      </c>
      <c r="G143">
        <v>1.1651175</v>
      </c>
      <c r="H143">
        <v>8.9102067999999992</v>
      </c>
      <c r="I143">
        <v>9.0921792999999997</v>
      </c>
      <c r="J143">
        <v>3.4673227999999998</v>
      </c>
      <c r="K143">
        <v>6.5070853</v>
      </c>
      <c r="L143">
        <v>3</v>
      </c>
      <c r="M143">
        <v>1</v>
      </c>
      <c r="N143">
        <v>1</v>
      </c>
      <c r="O143">
        <v>0</v>
      </c>
      <c r="P143">
        <v>0</v>
      </c>
      <c r="Q143">
        <v>2</v>
      </c>
      <c r="R143">
        <v>0</v>
      </c>
      <c r="S143">
        <v>0</v>
      </c>
      <c r="T143">
        <v>7</v>
      </c>
      <c r="U143">
        <v>0</v>
      </c>
      <c r="V143">
        <v>0.428571429</v>
      </c>
      <c r="W143">
        <v>0.14285714299999999</v>
      </c>
      <c r="X143">
        <v>0.14285714299999999</v>
      </c>
      <c r="Y143">
        <v>0</v>
      </c>
      <c r="Z143">
        <v>0</v>
      </c>
      <c r="AA143">
        <v>0.28571428599999998</v>
      </c>
      <c r="AB143">
        <v>0</v>
      </c>
      <c r="AC143">
        <v>0</v>
      </c>
      <c r="AD143">
        <f t="shared" si="2"/>
        <v>0</v>
      </c>
    </row>
    <row r="144" spans="1:30" x14ac:dyDescent="0.3">
      <c r="A144" t="s">
        <v>34</v>
      </c>
      <c r="B144" t="s">
        <v>27</v>
      </c>
      <c r="C144">
        <v>57</v>
      </c>
      <c r="D144">
        <v>1.5914060513602848</v>
      </c>
      <c r="E144">
        <v>5</v>
      </c>
      <c r="F144">
        <v>16.527850999999998</v>
      </c>
      <c r="G144">
        <v>1.1651175</v>
      </c>
      <c r="H144">
        <v>8.9102067999999992</v>
      </c>
      <c r="I144">
        <v>9.0921792999999997</v>
      </c>
      <c r="J144">
        <v>3.4673227999999998</v>
      </c>
      <c r="K144">
        <v>6.5070853</v>
      </c>
      <c r="L144">
        <v>3</v>
      </c>
      <c r="M144">
        <v>1</v>
      </c>
      <c r="N144">
        <v>1</v>
      </c>
      <c r="O144">
        <v>0</v>
      </c>
      <c r="P144">
        <v>0</v>
      </c>
      <c r="Q144">
        <v>2</v>
      </c>
      <c r="R144">
        <v>0</v>
      </c>
      <c r="S144">
        <v>0</v>
      </c>
      <c r="T144">
        <v>7</v>
      </c>
      <c r="U144">
        <v>0</v>
      </c>
      <c r="V144">
        <v>0.428571429</v>
      </c>
      <c r="W144">
        <v>0.14285714299999999</v>
      </c>
      <c r="X144">
        <v>0.14285714299999999</v>
      </c>
      <c r="Y144">
        <v>0</v>
      </c>
      <c r="Z144">
        <v>0</v>
      </c>
      <c r="AA144">
        <v>0.28571428599999998</v>
      </c>
      <c r="AB144">
        <v>0</v>
      </c>
      <c r="AC144">
        <v>0</v>
      </c>
      <c r="AD144">
        <f t="shared" si="2"/>
        <v>0</v>
      </c>
    </row>
    <row r="145" spans="1:30" x14ac:dyDescent="0.3">
      <c r="A145" t="s">
        <v>34</v>
      </c>
      <c r="B145" t="s">
        <v>27</v>
      </c>
      <c r="C145">
        <v>4</v>
      </c>
      <c r="D145">
        <v>2.0615942028985508</v>
      </c>
      <c r="E145">
        <v>6</v>
      </c>
      <c r="F145">
        <v>16.527850999999998</v>
      </c>
      <c r="G145">
        <v>1.1651175</v>
      </c>
      <c r="H145">
        <v>8.9102067999999992</v>
      </c>
      <c r="I145">
        <v>9.0921792999999997</v>
      </c>
      <c r="J145">
        <v>3.4673227999999998</v>
      </c>
      <c r="K145">
        <v>6.5070853</v>
      </c>
      <c r="L145">
        <v>3</v>
      </c>
      <c r="M145">
        <v>1</v>
      </c>
      <c r="N145">
        <v>1</v>
      </c>
      <c r="O145">
        <v>0</v>
      </c>
      <c r="P145">
        <v>0</v>
      </c>
      <c r="Q145">
        <v>2</v>
      </c>
      <c r="R145">
        <v>0</v>
      </c>
      <c r="S145">
        <v>0</v>
      </c>
      <c r="T145">
        <v>7</v>
      </c>
      <c r="U145">
        <v>0</v>
      </c>
      <c r="V145">
        <v>0.428571429</v>
      </c>
      <c r="W145">
        <v>0.14285714299999999</v>
      </c>
      <c r="X145">
        <v>0.14285714299999999</v>
      </c>
      <c r="Y145">
        <v>0</v>
      </c>
      <c r="Z145">
        <v>0</v>
      </c>
      <c r="AA145">
        <v>0.28571428599999998</v>
      </c>
      <c r="AB145">
        <v>0</v>
      </c>
      <c r="AC145">
        <v>0</v>
      </c>
      <c r="AD145">
        <f t="shared" si="2"/>
        <v>1</v>
      </c>
    </row>
    <row r="146" spans="1:30" x14ac:dyDescent="0.3">
      <c r="A146" t="s">
        <v>34</v>
      </c>
      <c r="B146" t="s">
        <v>27</v>
      </c>
      <c r="C146">
        <v>-99999</v>
      </c>
      <c r="D146">
        <v>0</v>
      </c>
      <c r="E146">
        <v>7</v>
      </c>
      <c r="F146">
        <v>16.527850999999998</v>
      </c>
      <c r="G146">
        <v>1.1651175</v>
      </c>
      <c r="H146">
        <v>8.9102067999999992</v>
      </c>
      <c r="I146">
        <v>9.0921792999999997</v>
      </c>
      <c r="J146">
        <v>3.4673227999999998</v>
      </c>
      <c r="K146">
        <v>6.5070853</v>
      </c>
      <c r="L146">
        <v>3</v>
      </c>
      <c r="M146">
        <v>1</v>
      </c>
      <c r="N146">
        <v>1</v>
      </c>
      <c r="O146">
        <v>0</v>
      </c>
      <c r="P146">
        <v>0</v>
      </c>
      <c r="Q146">
        <v>2</v>
      </c>
      <c r="R146">
        <v>0</v>
      </c>
      <c r="S146">
        <v>0</v>
      </c>
      <c r="T146">
        <v>7</v>
      </c>
      <c r="U146">
        <v>0</v>
      </c>
      <c r="V146">
        <v>0.428571429</v>
      </c>
      <c r="W146">
        <v>0.14285714299999999</v>
      </c>
      <c r="X146">
        <v>0.14285714299999999</v>
      </c>
      <c r="Y146">
        <v>0</v>
      </c>
      <c r="Z146">
        <v>0</v>
      </c>
      <c r="AA146">
        <v>0.28571428599999998</v>
      </c>
      <c r="AB146">
        <v>0</v>
      </c>
      <c r="AC146">
        <v>0</v>
      </c>
      <c r="AD146">
        <f t="shared" si="2"/>
        <v>0</v>
      </c>
    </row>
    <row r="147" spans="1:30" x14ac:dyDescent="0.3">
      <c r="A147" t="s">
        <v>34</v>
      </c>
      <c r="B147" t="s">
        <v>28</v>
      </c>
      <c r="C147">
        <v>519</v>
      </c>
      <c r="D147">
        <v>0.73089274245343616</v>
      </c>
      <c r="E147">
        <v>3</v>
      </c>
      <c r="F147">
        <v>10.048432999999999</v>
      </c>
      <c r="G147">
        <v>0.70240599000000004</v>
      </c>
      <c r="H147">
        <v>6.1978273000000002</v>
      </c>
      <c r="I147">
        <v>9.1159610999999998</v>
      </c>
      <c r="J147">
        <v>5.8341041000000002</v>
      </c>
      <c r="K147">
        <v>7.0303326000000004</v>
      </c>
      <c r="L147">
        <v>1</v>
      </c>
      <c r="M147">
        <v>1</v>
      </c>
      <c r="N147">
        <v>0</v>
      </c>
      <c r="O147">
        <v>0</v>
      </c>
      <c r="P147">
        <v>4</v>
      </c>
      <c r="Q147">
        <v>1</v>
      </c>
      <c r="R147">
        <v>0</v>
      </c>
      <c r="S147">
        <v>0</v>
      </c>
      <c r="T147">
        <v>7</v>
      </c>
      <c r="U147">
        <v>0</v>
      </c>
      <c r="V147">
        <v>0.14285714299999999</v>
      </c>
      <c r="W147">
        <v>0.14285714299999999</v>
      </c>
      <c r="X147">
        <v>0</v>
      </c>
      <c r="Y147">
        <v>0</v>
      </c>
      <c r="Z147">
        <v>0.571428571</v>
      </c>
      <c r="AA147">
        <v>0.14285714299999999</v>
      </c>
      <c r="AB147">
        <v>0</v>
      </c>
      <c r="AC147">
        <v>0</v>
      </c>
      <c r="AD147">
        <f t="shared" si="2"/>
        <v>0</v>
      </c>
    </row>
    <row r="148" spans="1:30" x14ac:dyDescent="0.3">
      <c r="A148" t="s">
        <v>34</v>
      </c>
      <c r="B148" t="s">
        <v>28</v>
      </c>
      <c r="C148">
        <v>51</v>
      </c>
      <c r="D148">
        <v>0.48508098891730606</v>
      </c>
      <c r="E148">
        <v>4</v>
      </c>
      <c r="F148">
        <v>10.048432999999999</v>
      </c>
      <c r="G148">
        <v>0.70240599000000004</v>
      </c>
      <c r="H148">
        <v>6.1978273000000002</v>
      </c>
      <c r="I148">
        <v>9.1159610999999998</v>
      </c>
      <c r="J148">
        <v>5.8341041000000002</v>
      </c>
      <c r="K148">
        <v>7.0303326000000004</v>
      </c>
      <c r="L148">
        <v>1</v>
      </c>
      <c r="M148">
        <v>1</v>
      </c>
      <c r="N148">
        <v>0</v>
      </c>
      <c r="O148">
        <v>0</v>
      </c>
      <c r="P148">
        <v>4</v>
      </c>
      <c r="Q148">
        <v>1</v>
      </c>
      <c r="R148">
        <v>0</v>
      </c>
      <c r="S148">
        <v>0</v>
      </c>
      <c r="T148">
        <v>7</v>
      </c>
      <c r="U148">
        <v>0</v>
      </c>
      <c r="V148">
        <v>0.14285714299999999</v>
      </c>
      <c r="W148">
        <v>0.14285714299999999</v>
      </c>
      <c r="X148">
        <v>0</v>
      </c>
      <c r="Y148">
        <v>0</v>
      </c>
      <c r="Z148">
        <v>0.571428571</v>
      </c>
      <c r="AA148">
        <v>0.14285714299999999</v>
      </c>
      <c r="AB148">
        <v>0</v>
      </c>
      <c r="AC148">
        <v>0</v>
      </c>
      <c r="AD148">
        <f t="shared" si="2"/>
        <v>0</v>
      </c>
    </row>
    <row r="149" spans="1:30" x14ac:dyDescent="0.3">
      <c r="A149" t="s">
        <v>34</v>
      </c>
      <c r="B149" t="s">
        <v>28</v>
      </c>
      <c r="C149">
        <v>3</v>
      </c>
      <c r="D149">
        <v>2.7487922705314007</v>
      </c>
      <c r="E149">
        <v>5</v>
      </c>
      <c r="F149">
        <v>10.048432999999999</v>
      </c>
      <c r="G149">
        <v>0.70240599000000004</v>
      </c>
      <c r="H149">
        <v>6.1978273000000002</v>
      </c>
      <c r="I149">
        <v>9.1159610999999998</v>
      </c>
      <c r="J149">
        <v>5.8341041000000002</v>
      </c>
      <c r="K149">
        <v>7.0303326000000004</v>
      </c>
      <c r="L149">
        <v>1</v>
      </c>
      <c r="M149">
        <v>1</v>
      </c>
      <c r="N149">
        <v>0</v>
      </c>
      <c r="O149">
        <v>0</v>
      </c>
      <c r="P149">
        <v>4</v>
      </c>
      <c r="Q149">
        <v>1</v>
      </c>
      <c r="R149">
        <v>0</v>
      </c>
      <c r="S149">
        <v>0</v>
      </c>
      <c r="T149">
        <v>7</v>
      </c>
      <c r="U149">
        <v>0</v>
      </c>
      <c r="V149">
        <v>0.14285714299999999</v>
      </c>
      <c r="W149">
        <v>0.14285714299999999</v>
      </c>
      <c r="X149">
        <v>0</v>
      </c>
      <c r="Y149">
        <v>0</v>
      </c>
      <c r="Z149">
        <v>0.571428571</v>
      </c>
      <c r="AA149">
        <v>0.14285714299999999</v>
      </c>
      <c r="AB149">
        <v>0</v>
      </c>
      <c r="AC149">
        <v>0</v>
      </c>
      <c r="AD149">
        <f t="shared" si="2"/>
        <v>1</v>
      </c>
    </row>
    <row r="150" spans="1:30" x14ac:dyDescent="0.3">
      <c r="A150" t="s">
        <v>34</v>
      </c>
      <c r="B150" t="s">
        <v>28</v>
      </c>
      <c r="C150">
        <v>-99999</v>
      </c>
      <c r="D150">
        <v>0</v>
      </c>
      <c r="E150">
        <v>6</v>
      </c>
      <c r="F150">
        <v>10.048432999999999</v>
      </c>
      <c r="G150">
        <v>0.70240599000000004</v>
      </c>
      <c r="H150">
        <v>6.1978273000000002</v>
      </c>
      <c r="I150">
        <v>9.1159610999999998</v>
      </c>
      <c r="J150">
        <v>5.8341041000000002</v>
      </c>
      <c r="K150">
        <v>7.0303326000000004</v>
      </c>
      <c r="L150">
        <v>1</v>
      </c>
      <c r="M150">
        <v>1</v>
      </c>
      <c r="N150">
        <v>0</v>
      </c>
      <c r="O150">
        <v>0</v>
      </c>
      <c r="P150">
        <v>4</v>
      </c>
      <c r="Q150">
        <v>1</v>
      </c>
      <c r="R150">
        <v>0</v>
      </c>
      <c r="S150">
        <v>0</v>
      </c>
      <c r="T150">
        <v>7</v>
      </c>
      <c r="U150">
        <v>0</v>
      </c>
      <c r="V150">
        <v>0.14285714299999999</v>
      </c>
      <c r="W150">
        <v>0.14285714299999999</v>
      </c>
      <c r="X150">
        <v>0</v>
      </c>
      <c r="Y150">
        <v>0</v>
      </c>
      <c r="Z150">
        <v>0.571428571</v>
      </c>
      <c r="AA150">
        <v>0.14285714299999999</v>
      </c>
      <c r="AB150">
        <v>0</v>
      </c>
      <c r="AC150">
        <v>0</v>
      </c>
      <c r="AD150">
        <f t="shared" si="2"/>
        <v>0</v>
      </c>
    </row>
    <row r="151" spans="1:30" x14ac:dyDescent="0.3">
      <c r="A151" t="s">
        <v>34</v>
      </c>
      <c r="B151" t="s">
        <v>28</v>
      </c>
      <c r="C151">
        <v>-99999</v>
      </c>
      <c r="D151">
        <v>0</v>
      </c>
      <c r="E151">
        <v>7</v>
      </c>
      <c r="F151">
        <v>10.048432999999999</v>
      </c>
      <c r="G151">
        <v>0.70240599000000004</v>
      </c>
      <c r="H151">
        <v>6.1978273000000002</v>
      </c>
      <c r="I151">
        <v>9.1159610999999998</v>
      </c>
      <c r="J151">
        <v>5.8341041000000002</v>
      </c>
      <c r="K151">
        <v>7.0303326000000004</v>
      </c>
      <c r="L151">
        <v>1</v>
      </c>
      <c r="M151">
        <v>1</v>
      </c>
      <c r="N151">
        <v>0</v>
      </c>
      <c r="O151">
        <v>0</v>
      </c>
      <c r="P151">
        <v>4</v>
      </c>
      <c r="Q151">
        <v>1</v>
      </c>
      <c r="R151">
        <v>0</v>
      </c>
      <c r="S151">
        <v>0</v>
      </c>
      <c r="T151">
        <v>7</v>
      </c>
      <c r="U151">
        <v>0</v>
      </c>
      <c r="V151">
        <v>0.14285714299999999</v>
      </c>
      <c r="W151">
        <v>0.14285714299999999</v>
      </c>
      <c r="X151">
        <v>0</v>
      </c>
      <c r="Y151">
        <v>0</v>
      </c>
      <c r="Z151">
        <v>0.571428571</v>
      </c>
      <c r="AA151">
        <v>0.14285714299999999</v>
      </c>
      <c r="AB151">
        <v>0</v>
      </c>
      <c r="AC151">
        <v>0</v>
      </c>
      <c r="AD151">
        <f t="shared" si="2"/>
        <v>0</v>
      </c>
    </row>
    <row r="152" spans="1:30" x14ac:dyDescent="0.3">
      <c r="A152" t="s">
        <v>34</v>
      </c>
      <c r="B152" t="s">
        <v>29</v>
      </c>
      <c r="C152">
        <v>556</v>
      </c>
      <c r="D152">
        <v>0.99371806902304249</v>
      </c>
      <c r="E152">
        <v>3</v>
      </c>
      <c r="F152">
        <v>15.070384000000001</v>
      </c>
      <c r="G152">
        <v>1.5312703999999999</v>
      </c>
      <c r="H152">
        <v>8.3672552000000007</v>
      </c>
      <c r="I152">
        <v>8.7211590000000001</v>
      </c>
      <c r="J152">
        <v>3.4673227999999998</v>
      </c>
      <c r="K152">
        <v>6.9742999000000001</v>
      </c>
      <c r="L152">
        <v>5</v>
      </c>
      <c r="M152">
        <v>0</v>
      </c>
      <c r="N152">
        <v>1</v>
      </c>
      <c r="O152">
        <v>0</v>
      </c>
      <c r="P152">
        <v>1</v>
      </c>
      <c r="Q152">
        <v>0</v>
      </c>
      <c r="R152">
        <v>0</v>
      </c>
      <c r="S152">
        <v>0</v>
      </c>
      <c r="T152">
        <v>7</v>
      </c>
      <c r="U152">
        <v>0</v>
      </c>
      <c r="V152">
        <v>0.71428571399999996</v>
      </c>
      <c r="W152">
        <v>0</v>
      </c>
      <c r="X152">
        <v>0.14285714299999999</v>
      </c>
      <c r="Y152">
        <v>0</v>
      </c>
      <c r="Z152">
        <v>0.14285714299999999</v>
      </c>
      <c r="AA152">
        <v>0</v>
      </c>
      <c r="AB152">
        <v>0</v>
      </c>
      <c r="AC152">
        <v>0</v>
      </c>
      <c r="AD152">
        <f t="shared" si="2"/>
        <v>0</v>
      </c>
    </row>
    <row r="153" spans="1:30" x14ac:dyDescent="0.3">
      <c r="A153" t="s">
        <v>34</v>
      </c>
      <c r="B153" t="s">
        <v>29</v>
      </c>
      <c r="C153">
        <v>209</v>
      </c>
      <c r="D153">
        <v>1.0258650579016713</v>
      </c>
      <c r="E153">
        <v>4</v>
      </c>
      <c r="F153">
        <v>15.070384000000001</v>
      </c>
      <c r="G153">
        <v>1.5312703999999999</v>
      </c>
      <c r="H153">
        <v>8.3672552000000007</v>
      </c>
      <c r="I153">
        <v>8.7211590000000001</v>
      </c>
      <c r="J153">
        <v>3.4673227999999998</v>
      </c>
      <c r="K153">
        <v>6.9742999000000001</v>
      </c>
      <c r="L153">
        <v>5</v>
      </c>
      <c r="M153">
        <v>0</v>
      </c>
      <c r="N153">
        <v>1</v>
      </c>
      <c r="O153">
        <v>0</v>
      </c>
      <c r="P153">
        <v>1</v>
      </c>
      <c r="Q153">
        <v>0</v>
      </c>
      <c r="R153">
        <v>0</v>
      </c>
      <c r="S153">
        <v>0</v>
      </c>
      <c r="T153">
        <v>7</v>
      </c>
      <c r="U153">
        <v>0</v>
      </c>
      <c r="V153">
        <v>0.71428571399999996</v>
      </c>
      <c r="W153">
        <v>0</v>
      </c>
      <c r="X153">
        <v>0.14285714299999999</v>
      </c>
      <c r="Y153">
        <v>0</v>
      </c>
      <c r="Z153">
        <v>0.14285714299999999</v>
      </c>
      <c r="AA153">
        <v>0</v>
      </c>
      <c r="AB153">
        <v>0</v>
      </c>
      <c r="AC153">
        <v>0</v>
      </c>
      <c r="AD153">
        <f t="shared" si="2"/>
        <v>0</v>
      </c>
    </row>
    <row r="154" spans="1:30" x14ac:dyDescent="0.3">
      <c r="A154" t="s">
        <v>34</v>
      </c>
      <c r="B154" t="s">
        <v>29</v>
      </c>
      <c r="C154">
        <v>16</v>
      </c>
      <c r="D154">
        <v>2.0615942028985508</v>
      </c>
      <c r="E154">
        <v>5</v>
      </c>
      <c r="F154">
        <v>15.070384000000001</v>
      </c>
      <c r="G154">
        <v>1.5312703999999999</v>
      </c>
      <c r="H154">
        <v>8.3672552000000007</v>
      </c>
      <c r="I154">
        <v>8.7211590000000001</v>
      </c>
      <c r="J154">
        <v>3.4673227999999998</v>
      </c>
      <c r="K154">
        <v>6.9742999000000001</v>
      </c>
      <c r="L154">
        <v>5</v>
      </c>
      <c r="M154">
        <v>0</v>
      </c>
      <c r="N154">
        <v>1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7</v>
      </c>
      <c r="U154">
        <v>0</v>
      </c>
      <c r="V154">
        <v>0.71428571399999996</v>
      </c>
      <c r="W154">
        <v>0</v>
      </c>
      <c r="X154">
        <v>0.14285714299999999</v>
      </c>
      <c r="Y154">
        <v>0</v>
      </c>
      <c r="Z154">
        <v>0.14285714299999999</v>
      </c>
      <c r="AA154">
        <v>0</v>
      </c>
      <c r="AB154">
        <v>0</v>
      </c>
      <c r="AC154">
        <v>0</v>
      </c>
      <c r="AD154">
        <f t="shared" si="2"/>
        <v>1</v>
      </c>
    </row>
    <row r="155" spans="1:30" x14ac:dyDescent="0.3">
      <c r="A155" t="s">
        <v>34</v>
      </c>
      <c r="B155" t="s">
        <v>29</v>
      </c>
      <c r="C155">
        <v>1</v>
      </c>
      <c r="D155">
        <v>0</v>
      </c>
      <c r="E155">
        <v>6</v>
      </c>
      <c r="F155">
        <v>15.070384000000001</v>
      </c>
      <c r="G155">
        <v>1.5312703999999999</v>
      </c>
      <c r="H155">
        <v>8.3672552000000007</v>
      </c>
      <c r="I155">
        <v>8.7211590000000001</v>
      </c>
      <c r="J155">
        <v>3.4673227999999998</v>
      </c>
      <c r="K155">
        <v>6.9742999000000001</v>
      </c>
      <c r="L155">
        <v>5</v>
      </c>
      <c r="M155">
        <v>0</v>
      </c>
      <c r="N155">
        <v>1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7</v>
      </c>
      <c r="U155">
        <v>0</v>
      </c>
      <c r="V155">
        <v>0.71428571399999996</v>
      </c>
      <c r="W155">
        <v>0</v>
      </c>
      <c r="X155">
        <v>0.14285714299999999</v>
      </c>
      <c r="Y155">
        <v>0</v>
      </c>
      <c r="Z155">
        <v>0.14285714299999999</v>
      </c>
      <c r="AA155">
        <v>0</v>
      </c>
      <c r="AB155">
        <v>0</v>
      </c>
      <c r="AC155">
        <v>0</v>
      </c>
      <c r="AD155">
        <f t="shared" si="2"/>
        <v>0</v>
      </c>
    </row>
    <row r="156" spans="1:30" x14ac:dyDescent="0.3">
      <c r="A156" t="s">
        <v>34</v>
      </c>
      <c r="B156" t="s">
        <v>29</v>
      </c>
      <c r="C156">
        <v>-99999</v>
      </c>
      <c r="D156">
        <v>0</v>
      </c>
      <c r="E156">
        <v>7</v>
      </c>
      <c r="F156">
        <v>15.070384000000001</v>
      </c>
      <c r="G156">
        <v>1.5312703999999999</v>
      </c>
      <c r="H156">
        <v>8.3672552000000007</v>
      </c>
      <c r="I156">
        <v>8.7211590000000001</v>
      </c>
      <c r="J156">
        <v>3.4673227999999998</v>
      </c>
      <c r="K156">
        <v>6.9742999000000001</v>
      </c>
      <c r="L156">
        <v>5</v>
      </c>
      <c r="M156">
        <v>0</v>
      </c>
      <c r="N156">
        <v>1</v>
      </c>
      <c r="O156">
        <v>0</v>
      </c>
      <c r="P156">
        <v>1</v>
      </c>
      <c r="Q156">
        <v>0</v>
      </c>
      <c r="R156">
        <v>0</v>
      </c>
      <c r="S156">
        <v>0</v>
      </c>
      <c r="T156">
        <v>7</v>
      </c>
      <c r="U156">
        <v>0</v>
      </c>
      <c r="V156">
        <v>0.71428571399999996</v>
      </c>
      <c r="W156">
        <v>0</v>
      </c>
      <c r="X156">
        <v>0.14285714299999999</v>
      </c>
      <c r="Y156">
        <v>0</v>
      </c>
      <c r="Z156">
        <v>0.14285714299999999</v>
      </c>
      <c r="AA156">
        <v>0</v>
      </c>
      <c r="AB156">
        <v>0</v>
      </c>
      <c r="AC156">
        <v>0</v>
      </c>
      <c r="AD156">
        <f t="shared" si="2"/>
        <v>0</v>
      </c>
    </row>
    <row r="157" spans="1:30" x14ac:dyDescent="0.3">
      <c r="A157" t="s">
        <v>34</v>
      </c>
      <c r="B157" t="s">
        <v>30</v>
      </c>
      <c r="C157">
        <v>19</v>
      </c>
      <c r="D157">
        <v>0.43401983218916856</v>
      </c>
      <c r="E157">
        <v>3</v>
      </c>
      <c r="F157">
        <v>5.8434423999999998</v>
      </c>
      <c r="G157">
        <v>0.56070399000000004</v>
      </c>
      <c r="H157">
        <v>3.9136175999999998</v>
      </c>
      <c r="I157">
        <v>9.5140934000000001</v>
      </c>
      <c r="J157">
        <v>6.4035630000000001</v>
      </c>
      <c r="K157">
        <v>7.9552765000000001</v>
      </c>
      <c r="L157">
        <v>0</v>
      </c>
      <c r="M157">
        <v>0</v>
      </c>
      <c r="N157">
        <v>0</v>
      </c>
      <c r="O157">
        <v>0</v>
      </c>
      <c r="P157">
        <v>7</v>
      </c>
      <c r="Q157">
        <v>0</v>
      </c>
      <c r="R157">
        <v>0</v>
      </c>
      <c r="S157">
        <v>0</v>
      </c>
      <c r="T157">
        <v>7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0</v>
      </c>
      <c r="AB157">
        <v>0</v>
      </c>
      <c r="AC157">
        <v>0</v>
      </c>
      <c r="AD157">
        <f t="shared" si="2"/>
        <v>0</v>
      </c>
    </row>
    <row r="158" spans="1:30" x14ac:dyDescent="0.3">
      <c r="A158" t="s">
        <v>34</v>
      </c>
      <c r="B158" t="s">
        <v>30</v>
      </c>
      <c r="C158">
        <v>2</v>
      </c>
      <c r="D158">
        <v>0</v>
      </c>
      <c r="E158">
        <v>4</v>
      </c>
      <c r="F158">
        <v>5.8434423999999998</v>
      </c>
      <c r="G158">
        <v>0.56070399000000004</v>
      </c>
      <c r="H158">
        <v>3.9136175999999998</v>
      </c>
      <c r="I158">
        <v>9.5140934000000001</v>
      </c>
      <c r="J158">
        <v>6.4035630000000001</v>
      </c>
      <c r="K158">
        <v>7.9552765000000001</v>
      </c>
      <c r="L158">
        <v>0</v>
      </c>
      <c r="M158">
        <v>0</v>
      </c>
      <c r="N158">
        <v>0</v>
      </c>
      <c r="O158">
        <v>0</v>
      </c>
      <c r="P158">
        <v>7</v>
      </c>
      <c r="Q158">
        <v>0</v>
      </c>
      <c r="R158">
        <v>0</v>
      </c>
      <c r="S158">
        <v>0</v>
      </c>
      <c r="T158">
        <v>7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0</v>
      </c>
      <c r="AB158">
        <v>0</v>
      </c>
      <c r="AC158">
        <v>0</v>
      </c>
      <c r="AD158">
        <f t="shared" si="2"/>
        <v>0</v>
      </c>
    </row>
    <row r="159" spans="1:30" x14ac:dyDescent="0.3">
      <c r="A159" t="s">
        <v>34</v>
      </c>
      <c r="B159" t="s">
        <v>30</v>
      </c>
      <c r="C159">
        <v>-99999</v>
      </c>
      <c r="D159">
        <v>0</v>
      </c>
      <c r="E159">
        <v>5</v>
      </c>
      <c r="F159">
        <v>5.8434423999999998</v>
      </c>
      <c r="G159">
        <v>0.56070399000000004</v>
      </c>
      <c r="H159">
        <v>3.9136175999999998</v>
      </c>
      <c r="I159">
        <v>9.5140934000000001</v>
      </c>
      <c r="J159">
        <v>6.4035630000000001</v>
      </c>
      <c r="K159">
        <v>7.9552765000000001</v>
      </c>
      <c r="L159">
        <v>0</v>
      </c>
      <c r="M159">
        <v>0</v>
      </c>
      <c r="N159">
        <v>0</v>
      </c>
      <c r="O159">
        <v>0</v>
      </c>
      <c r="P159">
        <v>7</v>
      </c>
      <c r="Q159">
        <v>0</v>
      </c>
      <c r="R159">
        <v>0</v>
      </c>
      <c r="S159">
        <v>0</v>
      </c>
      <c r="T159">
        <v>7</v>
      </c>
      <c r="U159">
        <v>1</v>
      </c>
      <c r="V159">
        <v>0</v>
      </c>
      <c r="W159">
        <v>0</v>
      </c>
      <c r="X159">
        <v>0</v>
      </c>
      <c r="Y159">
        <v>0</v>
      </c>
      <c r="Z159">
        <v>1</v>
      </c>
      <c r="AA159">
        <v>0</v>
      </c>
      <c r="AB159">
        <v>0</v>
      </c>
      <c r="AC159">
        <v>0</v>
      </c>
      <c r="AD159">
        <f t="shared" si="2"/>
        <v>0</v>
      </c>
    </row>
    <row r="160" spans="1:30" x14ac:dyDescent="0.3">
      <c r="A160" t="s">
        <v>34</v>
      </c>
      <c r="B160" t="s">
        <v>30</v>
      </c>
      <c r="C160">
        <v>-99999</v>
      </c>
      <c r="D160">
        <v>0</v>
      </c>
      <c r="E160">
        <v>6</v>
      </c>
      <c r="F160">
        <v>5.8434423999999998</v>
      </c>
      <c r="G160">
        <v>0.56070399000000004</v>
      </c>
      <c r="H160">
        <v>3.9136175999999998</v>
      </c>
      <c r="I160">
        <v>9.5140934000000001</v>
      </c>
      <c r="J160">
        <v>6.4035630000000001</v>
      </c>
      <c r="K160">
        <v>7.9552765000000001</v>
      </c>
      <c r="L160">
        <v>0</v>
      </c>
      <c r="M160">
        <v>0</v>
      </c>
      <c r="N160">
        <v>0</v>
      </c>
      <c r="O160">
        <v>0</v>
      </c>
      <c r="P160">
        <v>7</v>
      </c>
      <c r="Q160">
        <v>0</v>
      </c>
      <c r="R160">
        <v>0</v>
      </c>
      <c r="S160">
        <v>0</v>
      </c>
      <c r="T160">
        <v>7</v>
      </c>
      <c r="U160">
        <v>1</v>
      </c>
      <c r="V160">
        <v>0</v>
      </c>
      <c r="W160">
        <v>0</v>
      </c>
      <c r="X160">
        <v>0</v>
      </c>
      <c r="Y160">
        <v>0</v>
      </c>
      <c r="Z160">
        <v>1</v>
      </c>
      <c r="AA160">
        <v>0</v>
      </c>
      <c r="AB160">
        <v>0</v>
      </c>
      <c r="AC160">
        <v>0</v>
      </c>
      <c r="AD160">
        <f t="shared" si="2"/>
        <v>0</v>
      </c>
    </row>
    <row r="161" spans="1:30" x14ac:dyDescent="0.3">
      <c r="A161" t="s">
        <v>34</v>
      </c>
      <c r="B161" t="s">
        <v>30</v>
      </c>
      <c r="C161">
        <v>-99999</v>
      </c>
      <c r="D161">
        <v>0</v>
      </c>
      <c r="E161">
        <v>7</v>
      </c>
      <c r="F161">
        <v>5.8434423999999998</v>
      </c>
      <c r="G161">
        <v>0.56070399000000004</v>
      </c>
      <c r="H161">
        <v>3.9136175999999998</v>
      </c>
      <c r="I161">
        <v>9.5140934000000001</v>
      </c>
      <c r="J161">
        <v>6.4035630000000001</v>
      </c>
      <c r="K161">
        <v>7.9552765000000001</v>
      </c>
      <c r="L161">
        <v>0</v>
      </c>
      <c r="M161">
        <v>0</v>
      </c>
      <c r="N161">
        <v>0</v>
      </c>
      <c r="O161">
        <v>0</v>
      </c>
      <c r="P161">
        <v>7</v>
      </c>
      <c r="Q161">
        <v>0</v>
      </c>
      <c r="R161">
        <v>0</v>
      </c>
      <c r="S161">
        <v>0</v>
      </c>
      <c r="T161">
        <v>7</v>
      </c>
      <c r="U161">
        <v>1</v>
      </c>
      <c r="V161">
        <v>0</v>
      </c>
      <c r="W161">
        <v>0</v>
      </c>
      <c r="X161">
        <v>0</v>
      </c>
      <c r="Y161">
        <v>0</v>
      </c>
      <c r="Z161">
        <v>1</v>
      </c>
      <c r="AA161">
        <v>0</v>
      </c>
      <c r="AB161">
        <v>0</v>
      </c>
      <c r="AC161">
        <v>0</v>
      </c>
      <c r="AD161">
        <f t="shared" si="2"/>
        <v>0</v>
      </c>
    </row>
    <row r="162" spans="1:30" x14ac:dyDescent="0.3">
      <c r="A162" t="s">
        <v>56</v>
      </c>
      <c r="B162" t="s">
        <v>27</v>
      </c>
      <c r="C162">
        <v>237</v>
      </c>
      <c r="D162">
        <v>0.77008199984077708</v>
      </c>
      <c r="E162">
        <v>3</v>
      </c>
      <c r="F162">
        <v>10.081008000000001</v>
      </c>
      <c r="G162">
        <v>9.1954507000000005E-2</v>
      </c>
      <c r="H162">
        <v>5.3296332</v>
      </c>
      <c r="I162">
        <v>9.5138502000000003</v>
      </c>
      <c r="J162">
        <v>2.6983022999999999</v>
      </c>
      <c r="K162">
        <v>7.4320330999999999</v>
      </c>
      <c r="L162">
        <v>0</v>
      </c>
      <c r="M162">
        <v>1</v>
      </c>
      <c r="N162">
        <v>4</v>
      </c>
      <c r="O162">
        <v>0</v>
      </c>
      <c r="P162">
        <v>0</v>
      </c>
      <c r="Q162">
        <v>1</v>
      </c>
      <c r="R162">
        <v>1</v>
      </c>
      <c r="S162">
        <v>0</v>
      </c>
      <c r="T162">
        <v>7</v>
      </c>
      <c r="U162">
        <v>0</v>
      </c>
      <c r="V162">
        <v>0</v>
      </c>
      <c r="W162">
        <v>0.14285714299999999</v>
      </c>
      <c r="X162">
        <v>0.571428571</v>
      </c>
      <c r="Y162">
        <v>0</v>
      </c>
      <c r="Z162">
        <v>0</v>
      </c>
      <c r="AA162">
        <v>0.14285714299999999</v>
      </c>
      <c r="AB162">
        <v>0.14285714299999999</v>
      </c>
      <c r="AC162">
        <v>0</v>
      </c>
      <c r="AD162">
        <f t="shared" si="2"/>
        <v>0</v>
      </c>
    </row>
    <row r="163" spans="1:30" x14ac:dyDescent="0.3">
      <c r="A163" t="s">
        <v>56</v>
      </c>
      <c r="B163" t="s">
        <v>27</v>
      </c>
      <c r="C163">
        <v>27</v>
      </c>
      <c r="D163">
        <v>1.1928721174004193</v>
      </c>
      <c r="E163">
        <v>4</v>
      </c>
      <c r="F163">
        <v>10.081008000000001</v>
      </c>
      <c r="G163">
        <v>9.1954507000000005E-2</v>
      </c>
      <c r="H163">
        <v>5.3296332</v>
      </c>
      <c r="I163">
        <v>9.5138502000000003</v>
      </c>
      <c r="J163">
        <v>2.6983022999999999</v>
      </c>
      <c r="K163">
        <v>7.4320330999999999</v>
      </c>
      <c r="L163">
        <v>0</v>
      </c>
      <c r="M163">
        <v>1</v>
      </c>
      <c r="N163">
        <v>4</v>
      </c>
      <c r="O163">
        <v>0</v>
      </c>
      <c r="P163">
        <v>0</v>
      </c>
      <c r="Q163">
        <v>1</v>
      </c>
      <c r="R163">
        <v>1</v>
      </c>
      <c r="S163">
        <v>0</v>
      </c>
      <c r="T163">
        <v>7</v>
      </c>
      <c r="U163">
        <v>0</v>
      </c>
      <c r="V163">
        <v>0</v>
      </c>
      <c r="W163">
        <v>0.14285714299999999</v>
      </c>
      <c r="X163">
        <v>0.571428571</v>
      </c>
      <c r="Y163">
        <v>0</v>
      </c>
      <c r="Z163">
        <v>0</v>
      </c>
      <c r="AA163">
        <v>0.14285714299999999</v>
      </c>
      <c r="AB163">
        <v>0.14285714299999999</v>
      </c>
      <c r="AC163">
        <v>0</v>
      </c>
      <c r="AD163">
        <f t="shared" si="2"/>
        <v>0</v>
      </c>
    </row>
    <row r="164" spans="1:30" x14ac:dyDescent="0.3">
      <c r="A164" t="s">
        <v>56</v>
      </c>
      <c r="B164" t="s">
        <v>27</v>
      </c>
      <c r="C164">
        <v>-99999</v>
      </c>
      <c r="D164">
        <v>0</v>
      </c>
      <c r="E164">
        <v>5</v>
      </c>
      <c r="F164">
        <v>10.081008000000001</v>
      </c>
      <c r="G164">
        <v>9.1954507000000005E-2</v>
      </c>
      <c r="H164">
        <v>5.3296332</v>
      </c>
      <c r="I164">
        <v>9.5138502000000003</v>
      </c>
      <c r="J164">
        <v>2.6983022999999999</v>
      </c>
      <c r="K164">
        <v>7.4320330999999999</v>
      </c>
      <c r="L164">
        <v>0</v>
      </c>
      <c r="M164">
        <v>1</v>
      </c>
      <c r="N164">
        <v>4</v>
      </c>
      <c r="O164">
        <v>0</v>
      </c>
      <c r="P164">
        <v>0</v>
      </c>
      <c r="Q164">
        <v>1</v>
      </c>
      <c r="R164">
        <v>1</v>
      </c>
      <c r="S164">
        <v>0</v>
      </c>
      <c r="T164">
        <v>7</v>
      </c>
      <c r="U164">
        <v>0</v>
      </c>
      <c r="V164">
        <v>0</v>
      </c>
      <c r="W164">
        <v>0.14285714299999999</v>
      </c>
      <c r="X164">
        <v>0.571428571</v>
      </c>
      <c r="Y164">
        <v>0</v>
      </c>
      <c r="Z164">
        <v>0</v>
      </c>
      <c r="AA164">
        <v>0.14285714299999999</v>
      </c>
      <c r="AB164">
        <v>0.14285714299999999</v>
      </c>
      <c r="AC164">
        <v>0</v>
      </c>
      <c r="AD164">
        <f t="shared" si="2"/>
        <v>0</v>
      </c>
    </row>
    <row r="165" spans="1:30" x14ac:dyDescent="0.3">
      <c r="A165" t="s">
        <v>56</v>
      </c>
      <c r="B165" t="s">
        <v>27</v>
      </c>
      <c r="C165">
        <v>-99999</v>
      </c>
      <c r="D165">
        <v>0</v>
      </c>
      <c r="E165">
        <v>6</v>
      </c>
      <c r="F165">
        <v>10.081008000000001</v>
      </c>
      <c r="G165">
        <v>9.1954507000000005E-2</v>
      </c>
      <c r="H165">
        <v>5.3296332</v>
      </c>
      <c r="I165">
        <v>9.5138502000000003</v>
      </c>
      <c r="J165">
        <v>2.6983022999999999</v>
      </c>
      <c r="K165">
        <v>7.4320330999999999</v>
      </c>
      <c r="L165">
        <v>0</v>
      </c>
      <c r="M165">
        <v>1</v>
      </c>
      <c r="N165">
        <v>4</v>
      </c>
      <c r="O165">
        <v>0</v>
      </c>
      <c r="P165">
        <v>0</v>
      </c>
      <c r="Q165">
        <v>1</v>
      </c>
      <c r="R165">
        <v>1</v>
      </c>
      <c r="S165">
        <v>0</v>
      </c>
      <c r="T165">
        <v>7</v>
      </c>
      <c r="U165">
        <v>0</v>
      </c>
      <c r="V165">
        <v>0</v>
      </c>
      <c r="W165">
        <v>0.14285714299999999</v>
      </c>
      <c r="X165">
        <v>0.571428571</v>
      </c>
      <c r="Y165">
        <v>0</v>
      </c>
      <c r="Z165">
        <v>0</v>
      </c>
      <c r="AA165">
        <v>0.14285714299999999</v>
      </c>
      <c r="AB165">
        <v>0.14285714299999999</v>
      </c>
      <c r="AC165">
        <v>0</v>
      </c>
      <c r="AD165">
        <f t="shared" si="2"/>
        <v>0</v>
      </c>
    </row>
    <row r="166" spans="1:30" x14ac:dyDescent="0.3">
      <c r="A166" t="s">
        <v>56</v>
      </c>
      <c r="B166" t="s">
        <v>27</v>
      </c>
      <c r="C166">
        <v>-99999</v>
      </c>
      <c r="D166">
        <v>0</v>
      </c>
      <c r="E166">
        <v>7</v>
      </c>
      <c r="F166">
        <v>10.081008000000001</v>
      </c>
      <c r="G166">
        <v>9.1954507000000005E-2</v>
      </c>
      <c r="H166">
        <v>5.3296332</v>
      </c>
      <c r="I166">
        <v>9.5138502000000003</v>
      </c>
      <c r="J166">
        <v>2.6983022999999999</v>
      </c>
      <c r="K166">
        <v>7.4320330999999999</v>
      </c>
      <c r="L166">
        <v>0</v>
      </c>
      <c r="M166">
        <v>1</v>
      </c>
      <c r="N166">
        <v>4</v>
      </c>
      <c r="O166">
        <v>0</v>
      </c>
      <c r="P166">
        <v>0</v>
      </c>
      <c r="Q166">
        <v>1</v>
      </c>
      <c r="R166">
        <v>1</v>
      </c>
      <c r="S166">
        <v>0</v>
      </c>
      <c r="T166">
        <v>7</v>
      </c>
      <c r="U166">
        <v>0</v>
      </c>
      <c r="V166">
        <v>0</v>
      </c>
      <c r="W166">
        <v>0.14285714299999999</v>
      </c>
      <c r="X166">
        <v>0.571428571</v>
      </c>
      <c r="Y166">
        <v>0</v>
      </c>
      <c r="Z166">
        <v>0</v>
      </c>
      <c r="AA166">
        <v>0.14285714299999999</v>
      </c>
      <c r="AB166">
        <v>0.14285714299999999</v>
      </c>
      <c r="AC166">
        <v>0</v>
      </c>
      <c r="AD166">
        <f t="shared" si="2"/>
        <v>0</v>
      </c>
    </row>
    <row r="167" spans="1:30" x14ac:dyDescent="0.3">
      <c r="A167" t="s">
        <v>56</v>
      </c>
      <c r="B167" t="s">
        <v>28</v>
      </c>
      <c r="C167">
        <v>351</v>
      </c>
      <c r="D167">
        <v>0.67290222007203149</v>
      </c>
      <c r="E167">
        <v>3</v>
      </c>
      <c r="F167">
        <v>15.705109</v>
      </c>
      <c r="G167">
        <v>0.15925643</v>
      </c>
      <c r="H167">
        <v>6.8711618999999997</v>
      </c>
      <c r="I167">
        <v>9.2825623000000004</v>
      </c>
      <c r="J167">
        <v>2.6983022999999999</v>
      </c>
      <c r="K167">
        <v>5.2841978000000003</v>
      </c>
      <c r="L167">
        <v>0</v>
      </c>
      <c r="M167">
        <v>4</v>
      </c>
      <c r="N167">
        <v>2</v>
      </c>
      <c r="O167">
        <v>0</v>
      </c>
      <c r="P167">
        <v>0</v>
      </c>
      <c r="Q167">
        <v>1</v>
      </c>
      <c r="R167">
        <v>0</v>
      </c>
      <c r="S167">
        <v>0</v>
      </c>
      <c r="T167">
        <v>7</v>
      </c>
      <c r="U167">
        <v>0</v>
      </c>
      <c r="V167">
        <v>0</v>
      </c>
      <c r="W167">
        <v>0.571428571</v>
      </c>
      <c r="X167">
        <v>0.28571428599999998</v>
      </c>
      <c r="Y167">
        <v>0</v>
      </c>
      <c r="Z167">
        <v>0</v>
      </c>
      <c r="AA167">
        <v>0.14285714299999999</v>
      </c>
      <c r="AB167">
        <v>0</v>
      </c>
      <c r="AC167">
        <v>0</v>
      </c>
      <c r="AD167">
        <f t="shared" si="2"/>
        <v>0</v>
      </c>
    </row>
    <row r="168" spans="1:30" x14ac:dyDescent="0.3">
      <c r="A168" t="s">
        <v>56</v>
      </c>
      <c r="B168" t="s">
        <v>28</v>
      </c>
      <c r="C168">
        <v>29</v>
      </c>
      <c r="D168">
        <v>1.4808067664281068</v>
      </c>
      <c r="E168">
        <v>4</v>
      </c>
      <c r="F168">
        <v>15.705109</v>
      </c>
      <c r="G168">
        <v>0.15925643</v>
      </c>
      <c r="H168">
        <v>6.8711618999999997</v>
      </c>
      <c r="I168">
        <v>9.2825623000000004</v>
      </c>
      <c r="J168">
        <v>2.6983022999999999</v>
      </c>
      <c r="K168">
        <v>5.2841978000000003</v>
      </c>
      <c r="L168">
        <v>0</v>
      </c>
      <c r="M168">
        <v>4</v>
      </c>
      <c r="N168">
        <v>2</v>
      </c>
      <c r="O168">
        <v>0</v>
      </c>
      <c r="P168">
        <v>0</v>
      </c>
      <c r="Q168">
        <v>1</v>
      </c>
      <c r="R168">
        <v>0</v>
      </c>
      <c r="S168">
        <v>0</v>
      </c>
      <c r="T168">
        <v>7</v>
      </c>
      <c r="U168">
        <v>0</v>
      </c>
      <c r="V168">
        <v>0</v>
      </c>
      <c r="W168">
        <v>0.571428571</v>
      </c>
      <c r="X168">
        <v>0.28571428599999998</v>
      </c>
      <c r="Y168">
        <v>0</v>
      </c>
      <c r="Z168">
        <v>0</v>
      </c>
      <c r="AA168">
        <v>0.14285714299999999</v>
      </c>
      <c r="AB168">
        <v>0</v>
      </c>
      <c r="AC168">
        <v>0</v>
      </c>
      <c r="AD168">
        <f t="shared" si="2"/>
        <v>0</v>
      </c>
    </row>
    <row r="169" spans="1:30" x14ac:dyDescent="0.3">
      <c r="A169" t="s">
        <v>56</v>
      </c>
      <c r="B169" t="s">
        <v>28</v>
      </c>
      <c r="C169">
        <v>-99999</v>
      </c>
      <c r="D169">
        <v>0</v>
      </c>
      <c r="E169">
        <v>5</v>
      </c>
      <c r="F169">
        <v>15.705109</v>
      </c>
      <c r="G169">
        <v>0.15925643</v>
      </c>
      <c r="H169">
        <v>6.8711618999999997</v>
      </c>
      <c r="I169">
        <v>9.2825623000000004</v>
      </c>
      <c r="J169">
        <v>2.6983022999999999</v>
      </c>
      <c r="K169">
        <v>5.2841978000000003</v>
      </c>
      <c r="L169">
        <v>0</v>
      </c>
      <c r="M169">
        <v>4</v>
      </c>
      <c r="N169">
        <v>2</v>
      </c>
      <c r="O169">
        <v>0</v>
      </c>
      <c r="P169">
        <v>0</v>
      </c>
      <c r="Q169">
        <v>1</v>
      </c>
      <c r="R169">
        <v>0</v>
      </c>
      <c r="S169">
        <v>0</v>
      </c>
      <c r="T169">
        <v>7</v>
      </c>
      <c r="U169">
        <v>0</v>
      </c>
      <c r="V169">
        <v>0</v>
      </c>
      <c r="W169">
        <v>0.571428571</v>
      </c>
      <c r="X169">
        <v>0.28571428599999998</v>
      </c>
      <c r="Y169">
        <v>0</v>
      </c>
      <c r="Z169">
        <v>0</v>
      </c>
      <c r="AA169">
        <v>0.14285714299999999</v>
      </c>
      <c r="AB169">
        <v>0</v>
      </c>
      <c r="AC169">
        <v>0</v>
      </c>
      <c r="AD169">
        <f t="shared" si="2"/>
        <v>0</v>
      </c>
    </row>
    <row r="170" spans="1:30" x14ac:dyDescent="0.3">
      <c r="A170" t="s">
        <v>56</v>
      </c>
      <c r="B170" t="s">
        <v>28</v>
      </c>
      <c r="C170">
        <v>-99999</v>
      </c>
      <c r="D170">
        <v>0</v>
      </c>
      <c r="E170">
        <v>6</v>
      </c>
      <c r="F170">
        <v>15.705109</v>
      </c>
      <c r="G170">
        <v>0.15925643</v>
      </c>
      <c r="H170">
        <v>6.8711618999999997</v>
      </c>
      <c r="I170">
        <v>9.2825623000000004</v>
      </c>
      <c r="J170">
        <v>2.6983022999999999</v>
      </c>
      <c r="K170">
        <v>5.2841978000000003</v>
      </c>
      <c r="L170">
        <v>0</v>
      </c>
      <c r="M170">
        <v>4</v>
      </c>
      <c r="N170">
        <v>2</v>
      </c>
      <c r="O170">
        <v>0</v>
      </c>
      <c r="P170">
        <v>0</v>
      </c>
      <c r="Q170">
        <v>1</v>
      </c>
      <c r="R170">
        <v>0</v>
      </c>
      <c r="S170">
        <v>0</v>
      </c>
      <c r="T170">
        <v>7</v>
      </c>
      <c r="U170">
        <v>0</v>
      </c>
      <c r="V170">
        <v>0</v>
      </c>
      <c r="W170">
        <v>0.571428571</v>
      </c>
      <c r="X170">
        <v>0.28571428599999998</v>
      </c>
      <c r="Y170">
        <v>0</v>
      </c>
      <c r="Z170">
        <v>0</v>
      </c>
      <c r="AA170">
        <v>0.14285714299999999</v>
      </c>
      <c r="AB170">
        <v>0</v>
      </c>
      <c r="AC170">
        <v>0</v>
      </c>
      <c r="AD170">
        <f t="shared" si="2"/>
        <v>0</v>
      </c>
    </row>
    <row r="171" spans="1:30" x14ac:dyDescent="0.3">
      <c r="A171" t="s">
        <v>56</v>
      </c>
      <c r="B171" t="s">
        <v>28</v>
      </c>
      <c r="C171">
        <v>-99999</v>
      </c>
      <c r="D171">
        <v>0</v>
      </c>
      <c r="E171">
        <v>7</v>
      </c>
      <c r="F171">
        <v>15.705109</v>
      </c>
      <c r="G171">
        <v>0.15925643</v>
      </c>
      <c r="H171">
        <v>6.8711618999999997</v>
      </c>
      <c r="I171">
        <v>9.2825623000000004</v>
      </c>
      <c r="J171">
        <v>2.6983022999999999</v>
      </c>
      <c r="K171">
        <v>5.2841978000000003</v>
      </c>
      <c r="L171">
        <v>0</v>
      </c>
      <c r="M171">
        <v>4</v>
      </c>
      <c r="N171">
        <v>2</v>
      </c>
      <c r="O171">
        <v>0</v>
      </c>
      <c r="P171">
        <v>0</v>
      </c>
      <c r="Q171">
        <v>1</v>
      </c>
      <c r="R171">
        <v>0</v>
      </c>
      <c r="S171">
        <v>0</v>
      </c>
      <c r="T171">
        <v>7</v>
      </c>
      <c r="U171">
        <v>0</v>
      </c>
      <c r="V171">
        <v>0</v>
      </c>
      <c r="W171">
        <v>0.571428571</v>
      </c>
      <c r="X171">
        <v>0.28571428599999998</v>
      </c>
      <c r="Y171">
        <v>0</v>
      </c>
      <c r="Z171">
        <v>0</v>
      </c>
      <c r="AA171">
        <v>0.14285714299999999</v>
      </c>
      <c r="AB171">
        <v>0</v>
      </c>
      <c r="AC171">
        <v>0</v>
      </c>
      <c r="AD171">
        <f t="shared" si="2"/>
        <v>0</v>
      </c>
    </row>
    <row r="172" spans="1:30" x14ac:dyDescent="0.3">
      <c r="A172" t="s">
        <v>56</v>
      </c>
      <c r="B172" t="s">
        <v>29</v>
      </c>
      <c r="C172">
        <v>561</v>
      </c>
      <c r="D172">
        <v>1.0142602495543671</v>
      </c>
      <c r="E172">
        <v>3</v>
      </c>
      <c r="F172">
        <v>11.204031000000001</v>
      </c>
      <c r="G172">
        <v>0.14243130000000001</v>
      </c>
      <c r="H172">
        <v>6.1032710000000003</v>
      </c>
      <c r="I172">
        <v>7.7574310000000004</v>
      </c>
      <c r="J172">
        <v>2.4160341999999999</v>
      </c>
      <c r="K172">
        <v>5.5475124999999998</v>
      </c>
      <c r="L172">
        <v>7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7</v>
      </c>
      <c r="U172">
        <v>1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f t="shared" si="2"/>
        <v>0</v>
      </c>
    </row>
    <row r="173" spans="1:30" x14ac:dyDescent="0.3">
      <c r="A173" t="s">
        <v>56</v>
      </c>
      <c r="B173" t="s">
        <v>29</v>
      </c>
      <c r="C173">
        <v>512</v>
      </c>
      <c r="D173">
        <v>0.96454893867924529</v>
      </c>
      <c r="E173">
        <v>4</v>
      </c>
      <c r="F173">
        <v>11.204031000000001</v>
      </c>
      <c r="G173">
        <v>0.14243130000000001</v>
      </c>
      <c r="H173">
        <v>6.1032710000000003</v>
      </c>
      <c r="I173">
        <v>7.7574310000000004</v>
      </c>
      <c r="J173">
        <v>2.4160341999999999</v>
      </c>
      <c r="K173">
        <v>5.5475124999999998</v>
      </c>
      <c r="L173">
        <v>7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7</v>
      </c>
      <c r="U173">
        <v>1</v>
      </c>
      <c r="V173">
        <v>1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f t="shared" si="2"/>
        <v>0</v>
      </c>
    </row>
    <row r="174" spans="1:30" x14ac:dyDescent="0.3">
      <c r="A174" t="s">
        <v>56</v>
      </c>
      <c r="B174" t="s">
        <v>29</v>
      </c>
      <c r="C174">
        <v>194</v>
      </c>
      <c r="D174">
        <v>0.83009142190235374</v>
      </c>
      <c r="E174">
        <v>5</v>
      </c>
      <c r="F174">
        <v>11.204031000000001</v>
      </c>
      <c r="G174">
        <v>0.14243130000000001</v>
      </c>
      <c r="H174">
        <v>6.1032710000000003</v>
      </c>
      <c r="I174">
        <v>7.7574310000000004</v>
      </c>
      <c r="J174">
        <v>2.4160341999999999</v>
      </c>
      <c r="K174">
        <v>5.5475124999999998</v>
      </c>
      <c r="L174">
        <v>7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7</v>
      </c>
      <c r="U174">
        <v>1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f t="shared" si="2"/>
        <v>0</v>
      </c>
    </row>
    <row r="175" spans="1:30" x14ac:dyDescent="0.3">
      <c r="A175" t="s">
        <v>56</v>
      </c>
      <c r="B175" t="s">
        <v>29</v>
      </c>
      <c r="C175">
        <v>8</v>
      </c>
      <c r="D175">
        <v>4.0259433962264151</v>
      </c>
      <c r="E175">
        <v>6</v>
      </c>
      <c r="F175">
        <v>11.204031000000001</v>
      </c>
      <c r="G175">
        <v>0.14243130000000001</v>
      </c>
      <c r="H175">
        <v>6.1032710000000003</v>
      </c>
      <c r="I175">
        <v>7.7574310000000004</v>
      </c>
      <c r="J175">
        <v>2.4160341999999999</v>
      </c>
      <c r="K175">
        <v>5.5475124999999998</v>
      </c>
      <c r="L175">
        <v>7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7</v>
      </c>
      <c r="U175">
        <v>1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f t="shared" si="2"/>
        <v>1</v>
      </c>
    </row>
    <row r="176" spans="1:30" x14ac:dyDescent="0.3">
      <c r="A176" t="s">
        <v>56</v>
      </c>
      <c r="B176" t="s">
        <v>29</v>
      </c>
      <c r="C176">
        <v>-99999</v>
      </c>
      <c r="D176">
        <v>0</v>
      </c>
      <c r="E176">
        <v>7</v>
      </c>
      <c r="F176">
        <v>11.204031000000001</v>
      </c>
      <c r="G176">
        <v>0.14243130000000001</v>
      </c>
      <c r="H176">
        <v>6.1032710000000003</v>
      </c>
      <c r="I176">
        <v>7.7574310000000004</v>
      </c>
      <c r="J176">
        <v>2.4160341999999999</v>
      </c>
      <c r="K176">
        <v>5.5475124999999998</v>
      </c>
      <c r="L176">
        <v>7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7</v>
      </c>
      <c r="U176">
        <v>1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f t="shared" si="2"/>
        <v>0</v>
      </c>
    </row>
    <row r="177" spans="1:30" x14ac:dyDescent="0.3">
      <c r="A177" t="s">
        <v>56</v>
      </c>
      <c r="B177" t="s">
        <v>30</v>
      </c>
      <c r="C177">
        <v>3</v>
      </c>
      <c r="D177">
        <v>0</v>
      </c>
      <c r="E177">
        <v>3</v>
      </c>
      <c r="F177">
        <v>16.800999000000001</v>
      </c>
      <c r="G177">
        <v>0.78623027000000001</v>
      </c>
      <c r="H177">
        <v>9.7812634000000003</v>
      </c>
      <c r="I177">
        <v>10.245285000000001</v>
      </c>
      <c r="J177">
        <v>6.1614728000000003</v>
      </c>
      <c r="K177">
        <v>8.2734384999999993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5</v>
      </c>
      <c r="S177">
        <v>0</v>
      </c>
      <c r="T177">
        <v>7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0.28571428599999998</v>
      </c>
      <c r="AA177">
        <v>0</v>
      </c>
      <c r="AB177">
        <v>0.71428571399999996</v>
      </c>
      <c r="AC177">
        <v>0</v>
      </c>
      <c r="AD177">
        <f t="shared" si="2"/>
        <v>0</v>
      </c>
    </row>
    <row r="178" spans="1:30" x14ac:dyDescent="0.3">
      <c r="A178" t="s">
        <v>56</v>
      </c>
      <c r="B178" t="s">
        <v>30</v>
      </c>
      <c r="C178">
        <v>-99999</v>
      </c>
      <c r="D178">
        <v>0</v>
      </c>
      <c r="E178">
        <v>4</v>
      </c>
      <c r="F178">
        <v>16.800999000000001</v>
      </c>
      <c r="G178">
        <v>0.78623027000000001</v>
      </c>
      <c r="H178">
        <v>9.7812634000000003</v>
      </c>
      <c r="I178">
        <v>10.245285000000001</v>
      </c>
      <c r="J178">
        <v>6.1614728000000003</v>
      </c>
      <c r="K178">
        <v>8.2734384999999993</v>
      </c>
      <c r="L178">
        <v>0</v>
      </c>
      <c r="M178">
        <v>0</v>
      </c>
      <c r="N178">
        <v>0</v>
      </c>
      <c r="O178">
        <v>0</v>
      </c>
      <c r="P178">
        <v>2</v>
      </c>
      <c r="Q178">
        <v>0</v>
      </c>
      <c r="R178">
        <v>5</v>
      </c>
      <c r="S178">
        <v>0</v>
      </c>
      <c r="T178">
        <v>7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0.28571428599999998</v>
      </c>
      <c r="AA178">
        <v>0</v>
      </c>
      <c r="AB178">
        <v>0.71428571399999996</v>
      </c>
      <c r="AC178">
        <v>0</v>
      </c>
      <c r="AD178">
        <f t="shared" si="2"/>
        <v>0</v>
      </c>
    </row>
    <row r="179" spans="1:30" x14ac:dyDescent="0.3">
      <c r="A179" t="s">
        <v>56</v>
      </c>
      <c r="B179" t="s">
        <v>30</v>
      </c>
      <c r="C179">
        <v>-99999</v>
      </c>
      <c r="D179">
        <v>0</v>
      </c>
      <c r="E179">
        <v>5</v>
      </c>
      <c r="F179">
        <v>16.800999000000001</v>
      </c>
      <c r="G179">
        <v>0.78623027000000001</v>
      </c>
      <c r="H179">
        <v>9.7812634000000003</v>
      </c>
      <c r="I179">
        <v>10.245285000000001</v>
      </c>
      <c r="J179">
        <v>6.1614728000000003</v>
      </c>
      <c r="K179">
        <v>8.2734384999999993</v>
      </c>
      <c r="L179">
        <v>0</v>
      </c>
      <c r="M179">
        <v>0</v>
      </c>
      <c r="N179">
        <v>0</v>
      </c>
      <c r="O179">
        <v>0</v>
      </c>
      <c r="P179">
        <v>2</v>
      </c>
      <c r="Q179">
        <v>0</v>
      </c>
      <c r="R179">
        <v>5</v>
      </c>
      <c r="S179">
        <v>0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0.28571428599999998</v>
      </c>
      <c r="AA179">
        <v>0</v>
      </c>
      <c r="AB179">
        <v>0.71428571399999996</v>
      </c>
      <c r="AC179">
        <v>0</v>
      </c>
      <c r="AD179">
        <f t="shared" si="2"/>
        <v>0</v>
      </c>
    </row>
    <row r="180" spans="1:30" x14ac:dyDescent="0.3">
      <c r="A180" t="s">
        <v>56</v>
      </c>
      <c r="B180" t="s">
        <v>30</v>
      </c>
      <c r="C180">
        <v>-99999</v>
      </c>
      <c r="D180">
        <v>0</v>
      </c>
      <c r="E180">
        <v>6</v>
      </c>
      <c r="F180">
        <v>16.800999000000001</v>
      </c>
      <c r="G180">
        <v>0.78623027000000001</v>
      </c>
      <c r="H180">
        <v>9.7812634000000003</v>
      </c>
      <c r="I180">
        <v>10.245285000000001</v>
      </c>
      <c r="J180">
        <v>6.1614728000000003</v>
      </c>
      <c r="K180">
        <v>8.2734384999999993</v>
      </c>
      <c r="L180">
        <v>0</v>
      </c>
      <c r="M180">
        <v>0</v>
      </c>
      <c r="N180">
        <v>0</v>
      </c>
      <c r="O180">
        <v>0</v>
      </c>
      <c r="P180">
        <v>2</v>
      </c>
      <c r="Q180">
        <v>0</v>
      </c>
      <c r="R180">
        <v>5</v>
      </c>
      <c r="S180">
        <v>0</v>
      </c>
      <c r="T180">
        <v>7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0.28571428599999998</v>
      </c>
      <c r="AA180">
        <v>0</v>
      </c>
      <c r="AB180">
        <v>0.71428571399999996</v>
      </c>
      <c r="AC180">
        <v>0</v>
      </c>
      <c r="AD180">
        <f t="shared" si="2"/>
        <v>0</v>
      </c>
    </row>
    <row r="181" spans="1:30" x14ac:dyDescent="0.3">
      <c r="A181" t="s">
        <v>56</v>
      </c>
      <c r="B181" t="s">
        <v>30</v>
      </c>
      <c r="C181">
        <v>-99999</v>
      </c>
      <c r="D181">
        <v>0</v>
      </c>
      <c r="E181">
        <v>7</v>
      </c>
      <c r="F181">
        <v>16.800999000000001</v>
      </c>
      <c r="G181">
        <v>0.78623027000000001</v>
      </c>
      <c r="H181">
        <v>9.7812634000000003</v>
      </c>
      <c r="I181">
        <v>10.245285000000001</v>
      </c>
      <c r="J181">
        <v>6.1614728000000003</v>
      </c>
      <c r="K181">
        <v>8.2734384999999993</v>
      </c>
      <c r="L181">
        <v>0</v>
      </c>
      <c r="M181">
        <v>0</v>
      </c>
      <c r="N181">
        <v>0</v>
      </c>
      <c r="O181">
        <v>0</v>
      </c>
      <c r="P181">
        <v>2</v>
      </c>
      <c r="Q181">
        <v>0</v>
      </c>
      <c r="R181">
        <v>5</v>
      </c>
      <c r="S181">
        <v>0</v>
      </c>
      <c r="T181">
        <v>7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0.28571428599999998</v>
      </c>
      <c r="AA181">
        <v>0</v>
      </c>
      <c r="AB181">
        <v>0.71428571399999996</v>
      </c>
      <c r="AC181">
        <v>0</v>
      </c>
      <c r="AD181">
        <f t="shared" si="2"/>
        <v>0</v>
      </c>
    </row>
    <row r="182" spans="1:30" x14ac:dyDescent="0.3">
      <c r="A182" t="s">
        <v>57</v>
      </c>
      <c r="B182" t="s">
        <v>27</v>
      </c>
      <c r="C182">
        <v>561</v>
      </c>
      <c r="D182">
        <v>1.0142602495543673</v>
      </c>
      <c r="E182">
        <v>3</v>
      </c>
      <c r="F182">
        <v>12.773146000000001</v>
      </c>
      <c r="G182">
        <v>1.0822611</v>
      </c>
      <c r="H182">
        <v>7.4644045999999999</v>
      </c>
      <c r="I182">
        <v>9.0111436999999999</v>
      </c>
      <c r="J182">
        <v>3.9042709000000002</v>
      </c>
      <c r="K182">
        <v>6.1012344000000001</v>
      </c>
      <c r="L182">
        <v>6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>
        <v>0</v>
      </c>
      <c r="T182">
        <v>7</v>
      </c>
      <c r="U182">
        <v>0</v>
      </c>
      <c r="V182">
        <v>0.85714285700000004</v>
      </c>
      <c r="W182">
        <v>0</v>
      </c>
      <c r="X182">
        <v>0</v>
      </c>
      <c r="Y182">
        <v>0</v>
      </c>
      <c r="Z182">
        <v>0</v>
      </c>
      <c r="AA182">
        <v>0.14285714299999999</v>
      </c>
      <c r="AB182">
        <v>0</v>
      </c>
      <c r="AC182">
        <v>0</v>
      </c>
      <c r="AD182">
        <f t="shared" si="2"/>
        <v>0</v>
      </c>
    </row>
    <row r="183" spans="1:30" x14ac:dyDescent="0.3">
      <c r="A183" t="s">
        <v>57</v>
      </c>
      <c r="B183" t="s">
        <v>27</v>
      </c>
      <c r="C183">
        <v>319</v>
      </c>
      <c r="D183">
        <v>0.87620304680195793</v>
      </c>
      <c r="E183">
        <v>4</v>
      </c>
      <c r="F183">
        <v>12.773146000000001</v>
      </c>
      <c r="G183">
        <v>1.0822611</v>
      </c>
      <c r="H183">
        <v>7.4644045999999999</v>
      </c>
      <c r="I183">
        <v>9.0111436999999999</v>
      </c>
      <c r="J183">
        <v>3.9042709000000002</v>
      </c>
      <c r="K183">
        <v>6.1012344000000001</v>
      </c>
      <c r="L183">
        <v>6</v>
      </c>
      <c r="M183">
        <v>0</v>
      </c>
      <c r="N183">
        <v>0</v>
      </c>
      <c r="O183">
        <v>0</v>
      </c>
      <c r="P183">
        <v>0</v>
      </c>
      <c r="Q183">
        <v>1</v>
      </c>
      <c r="R183">
        <v>0</v>
      </c>
      <c r="S183">
        <v>0</v>
      </c>
      <c r="T183">
        <v>7</v>
      </c>
      <c r="U183">
        <v>0</v>
      </c>
      <c r="V183">
        <v>0.85714285700000004</v>
      </c>
      <c r="W183">
        <v>0</v>
      </c>
      <c r="X183">
        <v>0</v>
      </c>
      <c r="Y183">
        <v>0</v>
      </c>
      <c r="Z183">
        <v>0</v>
      </c>
      <c r="AA183">
        <v>0.14285714299999999</v>
      </c>
      <c r="AB183">
        <v>0</v>
      </c>
      <c r="AC183">
        <v>0</v>
      </c>
      <c r="AD183">
        <f t="shared" si="2"/>
        <v>0</v>
      </c>
    </row>
    <row r="184" spans="1:30" x14ac:dyDescent="0.3">
      <c r="A184" t="s">
        <v>57</v>
      </c>
      <c r="B184" t="s">
        <v>27</v>
      </c>
      <c r="C184">
        <v>47</v>
      </c>
      <c r="D184">
        <v>1.0619634191862635</v>
      </c>
      <c r="E184">
        <v>5</v>
      </c>
      <c r="F184">
        <v>12.773146000000001</v>
      </c>
      <c r="G184">
        <v>1.0822611</v>
      </c>
      <c r="H184">
        <v>7.4644045999999999</v>
      </c>
      <c r="I184">
        <v>9.0111436999999999</v>
      </c>
      <c r="J184">
        <v>3.9042709000000002</v>
      </c>
      <c r="K184">
        <v>6.1012344000000001</v>
      </c>
      <c r="L184">
        <v>6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>
        <v>0</v>
      </c>
      <c r="T184">
        <v>7</v>
      </c>
      <c r="U184">
        <v>0</v>
      </c>
      <c r="V184">
        <v>0.85714285700000004</v>
      </c>
      <c r="W184">
        <v>0</v>
      </c>
      <c r="X184">
        <v>0</v>
      </c>
      <c r="Y184">
        <v>0</v>
      </c>
      <c r="Z184">
        <v>0</v>
      </c>
      <c r="AA184">
        <v>0.14285714299999999</v>
      </c>
      <c r="AB184">
        <v>0</v>
      </c>
      <c r="AC184">
        <v>0</v>
      </c>
      <c r="AD184">
        <f t="shared" si="2"/>
        <v>0</v>
      </c>
    </row>
    <row r="185" spans="1:30" x14ac:dyDescent="0.3">
      <c r="A185" t="s">
        <v>57</v>
      </c>
      <c r="B185" t="s">
        <v>27</v>
      </c>
      <c r="C185">
        <v>5</v>
      </c>
      <c r="D185">
        <v>3.9929824561403513</v>
      </c>
      <c r="E185">
        <v>6</v>
      </c>
      <c r="F185">
        <v>12.773146000000001</v>
      </c>
      <c r="G185">
        <v>1.0822611</v>
      </c>
      <c r="H185">
        <v>7.4644045999999999</v>
      </c>
      <c r="I185">
        <v>9.0111436999999999</v>
      </c>
      <c r="J185">
        <v>3.9042709000000002</v>
      </c>
      <c r="K185">
        <v>6.1012344000000001</v>
      </c>
      <c r="L185">
        <v>6</v>
      </c>
      <c r="M185">
        <v>0</v>
      </c>
      <c r="N185">
        <v>0</v>
      </c>
      <c r="O185">
        <v>0</v>
      </c>
      <c r="P185">
        <v>0</v>
      </c>
      <c r="Q185">
        <v>1</v>
      </c>
      <c r="R185">
        <v>0</v>
      </c>
      <c r="S185">
        <v>0</v>
      </c>
      <c r="T185">
        <v>7</v>
      </c>
      <c r="U185">
        <v>0</v>
      </c>
      <c r="V185">
        <v>0.85714285700000004</v>
      </c>
      <c r="W185">
        <v>0</v>
      </c>
      <c r="X185">
        <v>0</v>
      </c>
      <c r="Y185">
        <v>0</v>
      </c>
      <c r="Z185">
        <v>0</v>
      </c>
      <c r="AA185">
        <v>0.14285714299999999</v>
      </c>
      <c r="AB185">
        <v>0</v>
      </c>
      <c r="AC185">
        <v>0</v>
      </c>
      <c r="AD185">
        <f t="shared" si="2"/>
        <v>1</v>
      </c>
    </row>
    <row r="186" spans="1:30" x14ac:dyDescent="0.3">
      <c r="A186" t="s">
        <v>57</v>
      </c>
      <c r="B186" t="s">
        <v>27</v>
      </c>
      <c r="C186">
        <v>-99999</v>
      </c>
      <c r="D186">
        <v>0</v>
      </c>
      <c r="E186">
        <v>7</v>
      </c>
      <c r="F186">
        <v>12.773146000000001</v>
      </c>
      <c r="G186">
        <v>1.0822611</v>
      </c>
      <c r="H186">
        <v>7.4644045999999999</v>
      </c>
      <c r="I186">
        <v>9.0111436999999999</v>
      </c>
      <c r="J186">
        <v>3.9042709000000002</v>
      </c>
      <c r="K186">
        <v>6.1012344000000001</v>
      </c>
      <c r="L186">
        <v>6</v>
      </c>
      <c r="M186">
        <v>0</v>
      </c>
      <c r="N186">
        <v>0</v>
      </c>
      <c r="O186">
        <v>0</v>
      </c>
      <c r="P186">
        <v>0</v>
      </c>
      <c r="Q186">
        <v>1</v>
      </c>
      <c r="R186">
        <v>0</v>
      </c>
      <c r="S186">
        <v>0</v>
      </c>
      <c r="T186">
        <v>7</v>
      </c>
      <c r="U186">
        <v>0</v>
      </c>
      <c r="V186">
        <v>0.85714285700000004</v>
      </c>
      <c r="W186">
        <v>0</v>
      </c>
      <c r="X186">
        <v>0</v>
      </c>
      <c r="Y186">
        <v>0</v>
      </c>
      <c r="Z186">
        <v>0</v>
      </c>
      <c r="AA186">
        <v>0.14285714299999999</v>
      </c>
      <c r="AB186">
        <v>0</v>
      </c>
      <c r="AC186">
        <v>0</v>
      </c>
      <c r="AD186">
        <f t="shared" si="2"/>
        <v>0</v>
      </c>
    </row>
    <row r="187" spans="1:30" x14ac:dyDescent="0.3">
      <c r="A187" t="s">
        <v>57</v>
      </c>
      <c r="B187" t="s">
        <v>28</v>
      </c>
      <c r="C187">
        <v>561</v>
      </c>
      <c r="D187">
        <v>0.9608781311567689</v>
      </c>
      <c r="E187">
        <v>3</v>
      </c>
      <c r="F187">
        <v>15.359131</v>
      </c>
      <c r="G187">
        <v>1.3907092000000001</v>
      </c>
      <c r="H187">
        <v>7.6025276000000002</v>
      </c>
      <c r="I187">
        <v>9.7346087000000008</v>
      </c>
      <c r="J187">
        <v>5.0179337999999998</v>
      </c>
      <c r="K187">
        <v>7.1698092999999998</v>
      </c>
      <c r="L187">
        <v>2</v>
      </c>
      <c r="M187">
        <v>0</v>
      </c>
      <c r="N187">
        <v>2</v>
      </c>
      <c r="O187">
        <v>0</v>
      </c>
      <c r="P187">
        <v>3</v>
      </c>
      <c r="Q187">
        <v>0</v>
      </c>
      <c r="R187">
        <v>0</v>
      </c>
      <c r="S187">
        <v>0</v>
      </c>
      <c r="T187">
        <v>7</v>
      </c>
      <c r="U187">
        <v>0</v>
      </c>
      <c r="V187">
        <v>0.28571428599999998</v>
      </c>
      <c r="W187">
        <v>0</v>
      </c>
      <c r="X187">
        <v>0.28571428599999998</v>
      </c>
      <c r="Y187">
        <v>0</v>
      </c>
      <c r="Z187">
        <v>0.428571429</v>
      </c>
      <c r="AA187">
        <v>0</v>
      </c>
      <c r="AB187">
        <v>0</v>
      </c>
      <c r="AC187">
        <v>0</v>
      </c>
      <c r="AD187">
        <f t="shared" si="2"/>
        <v>0</v>
      </c>
    </row>
    <row r="188" spans="1:30" x14ac:dyDescent="0.3">
      <c r="A188" t="s">
        <v>57</v>
      </c>
      <c r="B188" t="s">
        <v>28</v>
      </c>
      <c r="C188">
        <v>272</v>
      </c>
      <c r="D188">
        <v>0.62390350877192979</v>
      </c>
      <c r="E188">
        <v>4</v>
      </c>
      <c r="F188">
        <v>15.359131</v>
      </c>
      <c r="G188">
        <v>1.3907092000000001</v>
      </c>
      <c r="H188">
        <v>7.6025276000000002</v>
      </c>
      <c r="I188">
        <v>9.7346087000000008</v>
      </c>
      <c r="J188">
        <v>5.0179337999999998</v>
      </c>
      <c r="K188">
        <v>7.1698092999999998</v>
      </c>
      <c r="L188">
        <v>2</v>
      </c>
      <c r="M188">
        <v>0</v>
      </c>
      <c r="N188">
        <v>2</v>
      </c>
      <c r="O188">
        <v>0</v>
      </c>
      <c r="P188">
        <v>3</v>
      </c>
      <c r="Q188">
        <v>0</v>
      </c>
      <c r="R188">
        <v>0</v>
      </c>
      <c r="S188">
        <v>0</v>
      </c>
      <c r="T188">
        <v>7</v>
      </c>
      <c r="U188">
        <v>0</v>
      </c>
      <c r="V188">
        <v>0.28571428599999998</v>
      </c>
      <c r="W188">
        <v>0</v>
      </c>
      <c r="X188">
        <v>0.28571428599999998</v>
      </c>
      <c r="Y188">
        <v>0</v>
      </c>
      <c r="Z188">
        <v>0.428571429</v>
      </c>
      <c r="AA188">
        <v>0</v>
      </c>
      <c r="AB188">
        <v>0</v>
      </c>
      <c r="AC188">
        <v>0</v>
      </c>
      <c r="AD188">
        <f t="shared" si="2"/>
        <v>0</v>
      </c>
    </row>
    <row r="189" spans="1:30" x14ac:dyDescent="0.3">
      <c r="A189" t="s">
        <v>57</v>
      </c>
      <c r="B189" t="s">
        <v>28</v>
      </c>
      <c r="C189">
        <v>1</v>
      </c>
      <c r="D189">
        <v>0</v>
      </c>
      <c r="E189">
        <v>5</v>
      </c>
      <c r="F189">
        <v>15.359131</v>
      </c>
      <c r="G189">
        <v>1.3907092000000001</v>
      </c>
      <c r="H189">
        <v>7.6025276000000002</v>
      </c>
      <c r="I189">
        <v>9.7346087000000008</v>
      </c>
      <c r="J189">
        <v>5.0179337999999998</v>
      </c>
      <c r="K189">
        <v>7.1698092999999998</v>
      </c>
      <c r="L189">
        <v>2</v>
      </c>
      <c r="M189">
        <v>0</v>
      </c>
      <c r="N189">
        <v>2</v>
      </c>
      <c r="O189">
        <v>0</v>
      </c>
      <c r="P189">
        <v>3</v>
      </c>
      <c r="Q189">
        <v>0</v>
      </c>
      <c r="R189">
        <v>0</v>
      </c>
      <c r="S189">
        <v>0</v>
      </c>
      <c r="T189">
        <v>7</v>
      </c>
      <c r="U189">
        <v>0</v>
      </c>
      <c r="V189">
        <v>0.28571428599999998</v>
      </c>
      <c r="W189">
        <v>0</v>
      </c>
      <c r="X189">
        <v>0.28571428599999998</v>
      </c>
      <c r="Y189">
        <v>0</v>
      </c>
      <c r="Z189">
        <v>0.428571429</v>
      </c>
      <c r="AA189">
        <v>0</v>
      </c>
      <c r="AB189">
        <v>0</v>
      </c>
      <c r="AC189">
        <v>0</v>
      </c>
      <c r="AD189">
        <f t="shared" si="2"/>
        <v>0</v>
      </c>
    </row>
    <row r="190" spans="1:30" x14ac:dyDescent="0.3">
      <c r="A190" t="s">
        <v>57</v>
      </c>
      <c r="B190" t="s">
        <v>28</v>
      </c>
      <c r="C190">
        <v>-99999</v>
      </c>
      <c r="D190">
        <v>0</v>
      </c>
      <c r="E190">
        <v>6</v>
      </c>
      <c r="F190">
        <v>15.359131</v>
      </c>
      <c r="G190">
        <v>1.3907092000000001</v>
      </c>
      <c r="H190">
        <v>7.6025276000000002</v>
      </c>
      <c r="I190">
        <v>9.7346087000000008</v>
      </c>
      <c r="J190">
        <v>5.0179337999999998</v>
      </c>
      <c r="K190">
        <v>7.1698092999999998</v>
      </c>
      <c r="L190">
        <v>2</v>
      </c>
      <c r="M190">
        <v>0</v>
      </c>
      <c r="N190">
        <v>2</v>
      </c>
      <c r="O190">
        <v>0</v>
      </c>
      <c r="P190">
        <v>3</v>
      </c>
      <c r="Q190">
        <v>0</v>
      </c>
      <c r="R190">
        <v>0</v>
      </c>
      <c r="S190">
        <v>0</v>
      </c>
      <c r="T190">
        <v>7</v>
      </c>
      <c r="U190">
        <v>0</v>
      </c>
      <c r="V190">
        <v>0.28571428599999998</v>
      </c>
      <c r="W190">
        <v>0</v>
      </c>
      <c r="X190">
        <v>0.28571428599999998</v>
      </c>
      <c r="Y190">
        <v>0</v>
      </c>
      <c r="Z190">
        <v>0.428571429</v>
      </c>
      <c r="AA190">
        <v>0</v>
      </c>
      <c r="AB190">
        <v>0</v>
      </c>
      <c r="AC190">
        <v>0</v>
      </c>
      <c r="AD190">
        <f t="shared" si="2"/>
        <v>0</v>
      </c>
    </row>
    <row r="191" spans="1:30" x14ac:dyDescent="0.3">
      <c r="A191" t="s">
        <v>57</v>
      </c>
      <c r="B191" t="s">
        <v>28</v>
      </c>
      <c r="C191">
        <v>-99999</v>
      </c>
      <c r="D191">
        <v>0</v>
      </c>
      <c r="E191">
        <v>7</v>
      </c>
      <c r="F191">
        <v>15.359131</v>
      </c>
      <c r="G191">
        <v>1.3907092000000001</v>
      </c>
      <c r="H191">
        <v>7.6025276000000002</v>
      </c>
      <c r="I191">
        <v>9.7346087000000008</v>
      </c>
      <c r="J191">
        <v>5.0179337999999998</v>
      </c>
      <c r="K191">
        <v>7.1698092999999998</v>
      </c>
      <c r="L191">
        <v>2</v>
      </c>
      <c r="M191">
        <v>0</v>
      </c>
      <c r="N191">
        <v>2</v>
      </c>
      <c r="O191">
        <v>0</v>
      </c>
      <c r="P191">
        <v>3</v>
      </c>
      <c r="Q191">
        <v>0</v>
      </c>
      <c r="R191">
        <v>0</v>
      </c>
      <c r="S191">
        <v>0</v>
      </c>
      <c r="T191">
        <v>7</v>
      </c>
      <c r="U191">
        <v>0</v>
      </c>
      <c r="V191">
        <v>0.28571428599999998</v>
      </c>
      <c r="W191">
        <v>0</v>
      </c>
      <c r="X191">
        <v>0.28571428599999998</v>
      </c>
      <c r="Y191">
        <v>0</v>
      </c>
      <c r="Z191">
        <v>0.428571429</v>
      </c>
      <c r="AA191">
        <v>0</v>
      </c>
      <c r="AB191">
        <v>0</v>
      </c>
      <c r="AC191">
        <v>0</v>
      </c>
      <c r="AD191">
        <f t="shared" si="2"/>
        <v>0</v>
      </c>
    </row>
    <row r="192" spans="1:30" x14ac:dyDescent="0.3">
      <c r="A192" t="s">
        <v>57</v>
      </c>
      <c r="B192" t="s">
        <v>29</v>
      </c>
      <c r="C192">
        <v>554</v>
      </c>
      <c r="D192">
        <v>0.97301919057571729</v>
      </c>
      <c r="E192">
        <v>3</v>
      </c>
      <c r="F192">
        <v>15.036624</v>
      </c>
      <c r="G192">
        <v>1.1693492000000001</v>
      </c>
      <c r="H192">
        <v>8.0140838999999993</v>
      </c>
      <c r="I192">
        <v>8.9300785000000005</v>
      </c>
      <c r="J192">
        <v>3.1334168999999998</v>
      </c>
      <c r="K192">
        <v>5.8112472999999998</v>
      </c>
      <c r="L192">
        <v>4</v>
      </c>
      <c r="M192">
        <v>1</v>
      </c>
      <c r="N192">
        <v>1</v>
      </c>
      <c r="O192">
        <v>0</v>
      </c>
      <c r="P192">
        <v>0</v>
      </c>
      <c r="Q192">
        <v>1</v>
      </c>
      <c r="R192">
        <v>0</v>
      </c>
      <c r="S192">
        <v>0</v>
      </c>
      <c r="T192">
        <v>7</v>
      </c>
      <c r="U192">
        <v>0</v>
      </c>
      <c r="V192">
        <v>0.571428571</v>
      </c>
      <c r="W192">
        <v>0.14285714299999999</v>
      </c>
      <c r="X192">
        <v>0.14285714299999999</v>
      </c>
      <c r="Y192">
        <v>0</v>
      </c>
      <c r="Z192">
        <v>0</v>
      </c>
      <c r="AA192">
        <v>0.14285714299999999</v>
      </c>
      <c r="AB192">
        <v>0</v>
      </c>
      <c r="AC192">
        <v>0</v>
      </c>
      <c r="AD192">
        <f t="shared" si="2"/>
        <v>0</v>
      </c>
    </row>
    <row r="193" spans="1:30" x14ac:dyDescent="0.3">
      <c r="A193" t="s">
        <v>57</v>
      </c>
      <c r="B193" t="s">
        <v>29</v>
      </c>
      <c r="C193">
        <v>386</v>
      </c>
      <c r="D193">
        <v>0.95686755749477315</v>
      </c>
      <c r="E193">
        <v>4</v>
      </c>
      <c r="F193">
        <v>15.036624</v>
      </c>
      <c r="G193">
        <v>1.1693492000000001</v>
      </c>
      <c r="H193">
        <v>8.0140838999999993</v>
      </c>
      <c r="I193">
        <v>8.9300785000000005</v>
      </c>
      <c r="J193">
        <v>3.1334168999999998</v>
      </c>
      <c r="K193">
        <v>5.8112472999999998</v>
      </c>
      <c r="L193">
        <v>4</v>
      </c>
      <c r="M193">
        <v>1</v>
      </c>
      <c r="N193">
        <v>1</v>
      </c>
      <c r="O193">
        <v>0</v>
      </c>
      <c r="P193">
        <v>0</v>
      </c>
      <c r="Q193">
        <v>1</v>
      </c>
      <c r="R193">
        <v>0</v>
      </c>
      <c r="S193">
        <v>0</v>
      </c>
      <c r="T193">
        <v>7</v>
      </c>
      <c r="U193">
        <v>0</v>
      </c>
      <c r="V193">
        <v>0.571428571</v>
      </c>
      <c r="W193">
        <v>0.14285714299999999</v>
      </c>
      <c r="X193">
        <v>0.14285714299999999</v>
      </c>
      <c r="Y193">
        <v>0</v>
      </c>
      <c r="Z193">
        <v>0</v>
      </c>
      <c r="AA193">
        <v>0.14285714299999999</v>
      </c>
      <c r="AB193">
        <v>0</v>
      </c>
      <c r="AC193">
        <v>0</v>
      </c>
      <c r="AD193">
        <f t="shared" si="2"/>
        <v>0</v>
      </c>
    </row>
    <row r="194" spans="1:30" x14ac:dyDescent="0.3">
      <c r="A194" t="s">
        <v>57</v>
      </c>
      <c r="B194" t="s">
        <v>29</v>
      </c>
      <c r="C194">
        <v>57</v>
      </c>
      <c r="D194">
        <v>0.87565404739919972</v>
      </c>
      <c r="E194">
        <v>5</v>
      </c>
      <c r="F194">
        <v>15.036624</v>
      </c>
      <c r="G194">
        <v>1.1693492000000001</v>
      </c>
      <c r="H194">
        <v>8.0140838999999993</v>
      </c>
      <c r="I194">
        <v>8.9300785000000005</v>
      </c>
      <c r="J194">
        <v>3.1334168999999998</v>
      </c>
      <c r="K194">
        <v>5.8112472999999998</v>
      </c>
      <c r="L194">
        <v>4</v>
      </c>
      <c r="M194">
        <v>1</v>
      </c>
      <c r="N194">
        <v>1</v>
      </c>
      <c r="O194">
        <v>0</v>
      </c>
      <c r="P194">
        <v>0</v>
      </c>
      <c r="Q194">
        <v>1</v>
      </c>
      <c r="R194">
        <v>0</v>
      </c>
      <c r="S194">
        <v>0</v>
      </c>
      <c r="T194">
        <v>7</v>
      </c>
      <c r="U194">
        <v>0</v>
      </c>
      <c r="V194">
        <v>0.571428571</v>
      </c>
      <c r="W194">
        <v>0.14285714299999999</v>
      </c>
      <c r="X194">
        <v>0.14285714299999999</v>
      </c>
      <c r="Y194">
        <v>0</v>
      </c>
      <c r="Z194">
        <v>0</v>
      </c>
      <c r="AA194">
        <v>0.14285714299999999</v>
      </c>
      <c r="AB194">
        <v>0</v>
      </c>
      <c r="AC194">
        <v>0</v>
      </c>
      <c r="AD194">
        <f t="shared" si="2"/>
        <v>0</v>
      </c>
    </row>
    <row r="195" spans="1:30" x14ac:dyDescent="0.3">
      <c r="A195" t="s">
        <v>57</v>
      </c>
      <c r="B195" t="s">
        <v>29</v>
      </c>
      <c r="C195">
        <v>2</v>
      </c>
      <c r="D195">
        <v>4.9912280701754383</v>
      </c>
      <c r="E195">
        <v>6</v>
      </c>
      <c r="F195">
        <v>15.036624</v>
      </c>
      <c r="G195">
        <v>1.1693492000000001</v>
      </c>
      <c r="H195">
        <v>8.0140838999999993</v>
      </c>
      <c r="I195">
        <v>8.9300785000000005</v>
      </c>
      <c r="J195">
        <v>3.1334168999999998</v>
      </c>
      <c r="K195">
        <v>5.8112472999999998</v>
      </c>
      <c r="L195">
        <v>4</v>
      </c>
      <c r="M195">
        <v>1</v>
      </c>
      <c r="N195">
        <v>1</v>
      </c>
      <c r="O195">
        <v>0</v>
      </c>
      <c r="P195">
        <v>0</v>
      </c>
      <c r="Q195">
        <v>1</v>
      </c>
      <c r="R195">
        <v>0</v>
      </c>
      <c r="S195">
        <v>0</v>
      </c>
      <c r="T195">
        <v>7</v>
      </c>
      <c r="U195">
        <v>0</v>
      </c>
      <c r="V195">
        <v>0.571428571</v>
      </c>
      <c r="W195">
        <v>0.14285714299999999</v>
      </c>
      <c r="X195">
        <v>0.14285714299999999</v>
      </c>
      <c r="Y195">
        <v>0</v>
      </c>
      <c r="Z195">
        <v>0</v>
      </c>
      <c r="AA195">
        <v>0.14285714299999999</v>
      </c>
      <c r="AB195">
        <v>0</v>
      </c>
      <c r="AC195">
        <v>0</v>
      </c>
      <c r="AD195">
        <f t="shared" ref="AD195:AD258" si="3">IF(D195&gt;2, 1, 0)</f>
        <v>1</v>
      </c>
    </row>
    <row r="196" spans="1:30" x14ac:dyDescent="0.3">
      <c r="A196" t="s">
        <v>57</v>
      </c>
      <c r="B196" t="s">
        <v>29</v>
      </c>
      <c r="C196">
        <v>-99999</v>
      </c>
      <c r="D196">
        <v>0</v>
      </c>
      <c r="E196">
        <v>7</v>
      </c>
      <c r="F196">
        <v>15.036624</v>
      </c>
      <c r="G196">
        <v>1.1693492000000001</v>
      </c>
      <c r="H196">
        <v>8.0140838999999993</v>
      </c>
      <c r="I196">
        <v>8.9300785000000005</v>
      </c>
      <c r="J196">
        <v>3.1334168999999998</v>
      </c>
      <c r="K196">
        <v>5.8112472999999998</v>
      </c>
      <c r="L196">
        <v>4</v>
      </c>
      <c r="M196">
        <v>1</v>
      </c>
      <c r="N196">
        <v>1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7</v>
      </c>
      <c r="U196">
        <v>0</v>
      </c>
      <c r="V196">
        <v>0.571428571</v>
      </c>
      <c r="W196">
        <v>0.14285714299999999</v>
      </c>
      <c r="X196">
        <v>0.14285714299999999</v>
      </c>
      <c r="Y196">
        <v>0</v>
      </c>
      <c r="Z196">
        <v>0</v>
      </c>
      <c r="AA196">
        <v>0.14285714299999999</v>
      </c>
      <c r="AB196">
        <v>0</v>
      </c>
      <c r="AC196">
        <v>0</v>
      </c>
      <c r="AD196">
        <f t="shared" si="3"/>
        <v>0</v>
      </c>
    </row>
    <row r="197" spans="1:30" x14ac:dyDescent="0.3">
      <c r="A197" t="s">
        <v>57</v>
      </c>
      <c r="B197" t="s">
        <v>30</v>
      </c>
      <c r="C197">
        <v>20</v>
      </c>
      <c r="D197">
        <v>0</v>
      </c>
      <c r="E197">
        <v>3</v>
      </c>
      <c r="F197">
        <v>9.5245247000000006</v>
      </c>
      <c r="G197">
        <v>0.65968722000000002</v>
      </c>
      <c r="H197">
        <v>4.8972688</v>
      </c>
      <c r="I197">
        <v>9.7710332999999991</v>
      </c>
      <c r="J197">
        <v>7.7819437999999996</v>
      </c>
      <c r="K197">
        <v>8.9978780999999994</v>
      </c>
      <c r="L197">
        <v>0</v>
      </c>
      <c r="M197">
        <v>0</v>
      </c>
      <c r="N197">
        <v>0</v>
      </c>
      <c r="O197">
        <v>0</v>
      </c>
      <c r="P197">
        <v>7</v>
      </c>
      <c r="Q197">
        <v>0</v>
      </c>
      <c r="R197">
        <v>0</v>
      </c>
      <c r="S197">
        <v>0</v>
      </c>
      <c r="T197">
        <v>7</v>
      </c>
      <c r="U197">
        <v>1</v>
      </c>
      <c r="V197">
        <v>0</v>
      </c>
      <c r="W197">
        <v>0</v>
      </c>
      <c r="X197">
        <v>0</v>
      </c>
      <c r="Y197">
        <v>0</v>
      </c>
      <c r="Z197">
        <v>1</v>
      </c>
      <c r="AA197">
        <v>0</v>
      </c>
      <c r="AB197">
        <v>0</v>
      </c>
      <c r="AC197">
        <v>0</v>
      </c>
      <c r="AD197">
        <f t="shared" si="3"/>
        <v>0</v>
      </c>
    </row>
    <row r="198" spans="1:30" x14ac:dyDescent="0.3">
      <c r="A198" t="s">
        <v>57</v>
      </c>
      <c r="B198" t="s">
        <v>30</v>
      </c>
      <c r="C198">
        <v>3</v>
      </c>
      <c r="D198">
        <v>0</v>
      </c>
      <c r="E198">
        <v>4</v>
      </c>
      <c r="F198">
        <v>9.5245247000000006</v>
      </c>
      <c r="G198">
        <v>0.65968722000000002</v>
      </c>
      <c r="H198">
        <v>4.8972688</v>
      </c>
      <c r="I198">
        <v>9.7710332999999991</v>
      </c>
      <c r="J198">
        <v>7.7819437999999996</v>
      </c>
      <c r="K198">
        <v>8.9978780999999994</v>
      </c>
      <c r="L198">
        <v>0</v>
      </c>
      <c r="M198">
        <v>0</v>
      </c>
      <c r="N198">
        <v>0</v>
      </c>
      <c r="O198">
        <v>0</v>
      </c>
      <c r="P198">
        <v>7</v>
      </c>
      <c r="Q198">
        <v>0</v>
      </c>
      <c r="R198">
        <v>0</v>
      </c>
      <c r="S198">
        <v>0</v>
      </c>
      <c r="T198">
        <v>7</v>
      </c>
      <c r="U198">
        <v>1</v>
      </c>
      <c r="V198">
        <v>0</v>
      </c>
      <c r="W198">
        <v>0</v>
      </c>
      <c r="X198">
        <v>0</v>
      </c>
      <c r="Y198">
        <v>0</v>
      </c>
      <c r="Z198">
        <v>1</v>
      </c>
      <c r="AA198">
        <v>0</v>
      </c>
      <c r="AB198">
        <v>0</v>
      </c>
      <c r="AC198">
        <v>0</v>
      </c>
      <c r="AD198">
        <f t="shared" si="3"/>
        <v>0</v>
      </c>
    </row>
    <row r="199" spans="1:30" x14ac:dyDescent="0.3">
      <c r="A199" t="s">
        <v>57</v>
      </c>
      <c r="B199" t="s">
        <v>30</v>
      </c>
      <c r="C199">
        <v>-99999</v>
      </c>
      <c r="D199">
        <v>0</v>
      </c>
      <c r="E199">
        <v>5</v>
      </c>
      <c r="F199">
        <v>9.5245247000000006</v>
      </c>
      <c r="G199">
        <v>0.65968722000000002</v>
      </c>
      <c r="H199">
        <v>4.8972688</v>
      </c>
      <c r="I199">
        <v>9.7710332999999991</v>
      </c>
      <c r="J199">
        <v>7.7819437999999996</v>
      </c>
      <c r="K199">
        <v>8.9978780999999994</v>
      </c>
      <c r="L199">
        <v>0</v>
      </c>
      <c r="M199">
        <v>0</v>
      </c>
      <c r="N199">
        <v>0</v>
      </c>
      <c r="O199">
        <v>0</v>
      </c>
      <c r="P199">
        <v>7</v>
      </c>
      <c r="Q199">
        <v>0</v>
      </c>
      <c r="R199">
        <v>0</v>
      </c>
      <c r="S199">
        <v>0</v>
      </c>
      <c r="T199">
        <v>7</v>
      </c>
      <c r="U199">
        <v>1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0</v>
      </c>
      <c r="AB199">
        <v>0</v>
      </c>
      <c r="AC199">
        <v>0</v>
      </c>
      <c r="AD199">
        <f t="shared" si="3"/>
        <v>0</v>
      </c>
    </row>
    <row r="200" spans="1:30" x14ac:dyDescent="0.3">
      <c r="A200" t="s">
        <v>57</v>
      </c>
      <c r="B200" t="s">
        <v>30</v>
      </c>
      <c r="C200">
        <v>-99999</v>
      </c>
      <c r="D200">
        <v>0</v>
      </c>
      <c r="E200">
        <v>6</v>
      </c>
      <c r="F200">
        <v>9.5245247000000006</v>
      </c>
      <c r="G200">
        <v>0.65968722000000002</v>
      </c>
      <c r="H200">
        <v>4.8972688</v>
      </c>
      <c r="I200">
        <v>9.7710332999999991</v>
      </c>
      <c r="J200">
        <v>7.7819437999999996</v>
      </c>
      <c r="K200">
        <v>8.9978780999999994</v>
      </c>
      <c r="L200">
        <v>0</v>
      </c>
      <c r="M200">
        <v>0</v>
      </c>
      <c r="N200">
        <v>0</v>
      </c>
      <c r="O200">
        <v>0</v>
      </c>
      <c r="P200">
        <v>7</v>
      </c>
      <c r="Q200">
        <v>0</v>
      </c>
      <c r="R200">
        <v>0</v>
      </c>
      <c r="S200">
        <v>0</v>
      </c>
      <c r="T200">
        <v>7</v>
      </c>
      <c r="U200">
        <v>1</v>
      </c>
      <c r="V200">
        <v>0</v>
      </c>
      <c r="W200">
        <v>0</v>
      </c>
      <c r="X200">
        <v>0</v>
      </c>
      <c r="Y200">
        <v>0</v>
      </c>
      <c r="Z200">
        <v>1</v>
      </c>
      <c r="AA200">
        <v>0</v>
      </c>
      <c r="AB200">
        <v>0</v>
      </c>
      <c r="AC200">
        <v>0</v>
      </c>
      <c r="AD200">
        <f t="shared" si="3"/>
        <v>0</v>
      </c>
    </row>
    <row r="201" spans="1:30" x14ac:dyDescent="0.3">
      <c r="A201" t="s">
        <v>57</v>
      </c>
      <c r="B201" t="s">
        <v>30</v>
      </c>
      <c r="C201">
        <v>-99999</v>
      </c>
      <c r="D201">
        <v>0</v>
      </c>
      <c r="E201">
        <v>7</v>
      </c>
      <c r="F201">
        <v>9.5245247000000006</v>
      </c>
      <c r="G201">
        <v>0.65968722000000002</v>
      </c>
      <c r="H201">
        <v>4.8972688</v>
      </c>
      <c r="I201">
        <v>9.7710332999999991</v>
      </c>
      <c r="J201">
        <v>7.7819437999999996</v>
      </c>
      <c r="K201">
        <v>8.9978780999999994</v>
      </c>
      <c r="L201">
        <v>0</v>
      </c>
      <c r="M201">
        <v>0</v>
      </c>
      <c r="N201">
        <v>0</v>
      </c>
      <c r="O201">
        <v>0</v>
      </c>
      <c r="P201">
        <v>7</v>
      </c>
      <c r="Q201">
        <v>0</v>
      </c>
      <c r="R201">
        <v>0</v>
      </c>
      <c r="S201">
        <v>0</v>
      </c>
      <c r="T201">
        <v>7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f t="shared" si="3"/>
        <v>0</v>
      </c>
    </row>
    <row r="202" spans="1:30" x14ac:dyDescent="0.3">
      <c r="A202" t="s">
        <v>35</v>
      </c>
      <c r="B202" t="s">
        <v>27</v>
      </c>
      <c r="C202">
        <v>569</v>
      </c>
      <c r="D202">
        <v>1</v>
      </c>
      <c r="E202">
        <v>3</v>
      </c>
      <c r="F202">
        <v>9.4315251999999994</v>
      </c>
      <c r="G202">
        <v>0.75621163999999996</v>
      </c>
      <c r="H202">
        <v>4.4819326000000004</v>
      </c>
      <c r="I202">
        <v>7.8259100999999998</v>
      </c>
      <c r="J202">
        <v>4.9590192000000002</v>
      </c>
      <c r="K202">
        <v>6.0777998000000002</v>
      </c>
      <c r="L202">
        <v>4</v>
      </c>
      <c r="M202">
        <v>1</v>
      </c>
      <c r="N202">
        <v>1</v>
      </c>
      <c r="O202">
        <v>0</v>
      </c>
      <c r="P202">
        <v>1</v>
      </c>
      <c r="Q202">
        <v>0</v>
      </c>
      <c r="R202">
        <v>0</v>
      </c>
      <c r="S202">
        <v>0</v>
      </c>
      <c r="T202">
        <v>7</v>
      </c>
      <c r="U202">
        <v>0</v>
      </c>
      <c r="V202">
        <v>0.571428571</v>
      </c>
      <c r="W202">
        <v>0.14285714299999999</v>
      </c>
      <c r="X202">
        <v>0.14285714299999999</v>
      </c>
      <c r="Y202">
        <v>0</v>
      </c>
      <c r="Z202">
        <v>0.14285714299999999</v>
      </c>
      <c r="AA202">
        <v>0</v>
      </c>
      <c r="AB202">
        <v>0</v>
      </c>
      <c r="AC202">
        <v>0</v>
      </c>
      <c r="AD202">
        <f t="shared" si="3"/>
        <v>0</v>
      </c>
    </row>
    <row r="203" spans="1:30" x14ac:dyDescent="0.3">
      <c r="A203" t="s">
        <v>35</v>
      </c>
      <c r="B203" t="s">
        <v>27</v>
      </c>
      <c r="C203">
        <v>529</v>
      </c>
      <c r="D203">
        <v>1.0756143667296785</v>
      </c>
      <c r="E203">
        <v>4</v>
      </c>
      <c r="F203">
        <v>9.4315251999999994</v>
      </c>
      <c r="G203">
        <v>0.75621163999999996</v>
      </c>
      <c r="H203">
        <v>4.4819326000000004</v>
      </c>
      <c r="I203">
        <v>7.8259100999999998</v>
      </c>
      <c r="J203">
        <v>4.9590192000000002</v>
      </c>
      <c r="K203">
        <v>6.0777998000000002</v>
      </c>
      <c r="L203">
        <v>4</v>
      </c>
      <c r="M203">
        <v>1</v>
      </c>
      <c r="N203">
        <v>1</v>
      </c>
      <c r="O203">
        <v>0</v>
      </c>
      <c r="P203">
        <v>1</v>
      </c>
      <c r="Q203">
        <v>0</v>
      </c>
      <c r="R203">
        <v>0</v>
      </c>
      <c r="S203">
        <v>0</v>
      </c>
      <c r="T203">
        <v>7</v>
      </c>
      <c r="U203">
        <v>0</v>
      </c>
      <c r="V203">
        <v>0.571428571</v>
      </c>
      <c r="W203">
        <v>0.14285714299999999</v>
      </c>
      <c r="X203">
        <v>0.14285714299999999</v>
      </c>
      <c r="Y203">
        <v>0</v>
      </c>
      <c r="Z203">
        <v>0.14285714299999999</v>
      </c>
      <c r="AA203">
        <v>0</v>
      </c>
      <c r="AB203">
        <v>0</v>
      </c>
      <c r="AC203">
        <v>0</v>
      </c>
      <c r="AD203">
        <f t="shared" si="3"/>
        <v>0</v>
      </c>
    </row>
    <row r="204" spans="1:30" x14ac:dyDescent="0.3">
      <c r="A204" t="s">
        <v>35</v>
      </c>
      <c r="B204" t="s">
        <v>27</v>
      </c>
      <c r="C204">
        <v>167</v>
      </c>
      <c r="D204">
        <v>0.43681867035160443</v>
      </c>
      <c r="E204">
        <v>5</v>
      </c>
      <c r="F204">
        <v>9.4315251999999994</v>
      </c>
      <c r="G204">
        <v>0.75621163999999996</v>
      </c>
      <c r="H204">
        <v>4.4819326000000004</v>
      </c>
      <c r="I204">
        <v>7.8259100999999998</v>
      </c>
      <c r="J204">
        <v>4.9590192000000002</v>
      </c>
      <c r="K204">
        <v>6.0777998000000002</v>
      </c>
      <c r="L204">
        <v>4</v>
      </c>
      <c r="M204">
        <v>1</v>
      </c>
      <c r="N204">
        <v>1</v>
      </c>
      <c r="O204">
        <v>0</v>
      </c>
      <c r="P204">
        <v>1</v>
      </c>
      <c r="Q204">
        <v>0</v>
      </c>
      <c r="R204">
        <v>0</v>
      </c>
      <c r="S204">
        <v>0</v>
      </c>
      <c r="T204">
        <v>7</v>
      </c>
      <c r="U204">
        <v>0</v>
      </c>
      <c r="V204">
        <v>0.571428571</v>
      </c>
      <c r="W204">
        <v>0.14285714299999999</v>
      </c>
      <c r="X204">
        <v>0.14285714299999999</v>
      </c>
      <c r="Y204">
        <v>0</v>
      </c>
      <c r="Z204">
        <v>0.14285714299999999</v>
      </c>
      <c r="AA204">
        <v>0</v>
      </c>
      <c r="AB204">
        <v>0</v>
      </c>
      <c r="AC204">
        <v>0</v>
      </c>
      <c r="AD204">
        <f t="shared" si="3"/>
        <v>0</v>
      </c>
    </row>
    <row r="205" spans="1:30" x14ac:dyDescent="0.3">
      <c r="A205" t="s">
        <v>35</v>
      </c>
      <c r="B205" t="s">
        <v>27</v>
      </c>
      <c r="C205">
        <v>1</v>
      </c>
      <c r="D205">
        <v>0</v>
      </c>
      <c r="E205">
        <v>6</v>
      </c>
      <c r="F205">
        <v>9.4315251999999994</v>
      </c>
      <c r="G205">
        <v>0.75621163999999996</v>
      </c>
      <c r="H205">
        <v>4.4819326000000004</v>
      </c>
      <c r="I205">
        <v>7.8259100999999998</v>
      </c>
      <c r="J205">
        <v>4.9590192000000002</v>
      </c>
      <c r="K205">
        <v>6.0777998000000002</v>
      </c>
      <c r="L205">
        <v>4</v>
      </c>
      <c r="M205">
        <v>1</v>
      </c>
      <c r="N205">
        <v>1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7</v>
      </c>
      <c r="U205">
        <v>0</v>
      </c>
      <c r="V205">
        <v>0.571428571</v>
      </c>
      <c r="W205">
        <v>0.14285714299999999</v>
      </c>
      <c r="X205">
        <v>0.14285714299999999</v>
      </c>
      <c r="Y205">
        <v>0</v>
      </c>
      <c r="Z205">
        <v>0.14285714299999999</v>
      </c>
      <c r="AA205">
        <v>0</v>
      </c>
      <c r="AB205">
        <v>0</v>
      </c>
      <c r="AC205">
        <v>0</v>
      </c>
      <c r="AD205">
        <f t="shared" si="3"/>
        <v>0</v>
      </c>
    </row>
    <row r="206" spans="1:30" x14ac:dyDescent="0.3">
      <c r="A206" t="s">
        <v>35</v>
      </c>
      <c r="B206" t="s">
        <v>27</v>
      </c>
      <c r="C206">
        <v>-99999</v>
      </c>
      <c r="D206">
        <v>0</v>
      </c>
      <c r="E206">
        <v>7</v>
      </c>
      <c r="F206">
        <v>9.4315251999999994</v>
      </c>
      <c r="G206">
        <v>0.75621163999999996</v>
      </c>
      <c r="H206">
        <v>4.4819326000000004</v>
      </c>
      <c r="I206">
        <v>7.8259100999999998</v>
      </c>
      <c r="J206">
        <v>4.9590192000000002</v>
      </c>
      <c r="K206">
        <v>6.0777998000000002</v>
      </c>
      <c r="L206">
        <v>4</v>
      </c>
      <c r="M206">
        <v>1</v>
      </c>
      <c r="N206">
        <v>1</v>
      </c>
      <c r="O206">
        <v>0</v>
      </c>
      <c r="P206">
        <v>1</v>
      </c>
      <c r="Q206">
        <v>0</v>
      </c>
      <c r="R206">
        <v>0</v>
      </c>
      <c r="S206">
        <v>0</v>
      </c>
      <c r="T206">
        <v>7</v>
      </c>
      <c r="U206">
        <v>0</v>
      </c>
      <c r="V206">
        <v>0.571428571</v>
      </c>
      <c r="W206">
        <v>0.14285714299999999</v>
      </c>
      <c r="X206">
        <v>0.14285714299999999</v>
      </c>
      <c r="Y206">
        <v>0</v>
      </c>
      <c r="Z206">
        <v>0.14285714299999999</v>
      </c>
      <c r="AA206">
        <v>0</v>
      </c>
      <c r="AB206">
        <v>0</v>
      </c>
      <c r="AC206">
        <v>0</v>
      </c>
      <c r="AD206">
        <f t="shared" si="3"/>
        <v>0</v>
      </c>
    </row>
    <row r="207" spans="1:30" x14ac:dyDescent="0.3">
      <c r="A207" t="s">
        <v>35</v>
      </c>
      <c r="B207" t="s">
        <v>28</v>
      </c>
      <c r="C207">
        <v>551</v>
      </c>
      <c r="D207">
        <v>1.0061892130857648</v>
      </c>
      <c r="E207">
        <v>3</v>
      </c>
      <c r="F207">
        <v>11.451571</v>
      </c>
      <c r="G207">
        <v>1.1672163</v>
      </c>
      <c r="H207">
        <v>6.1839066000000003</v>
      </c>
      <c r="I207">
        <v>7.3901858000000002</v>
      </c>
      <c r="J207">
        <v>4.7553058000000004</v>
      </c>
      <c r="K207">
        <v>5.8689752000000004</v>
      </c>
      <c r="L207">
        <v>2</v>
      </c>
      <c r="M207">
        <v>1</v>
      </c>
      <c r="N207">
        <v>0</v>
      </c>
      <c r="O207">
        <v>0</v>
      </c>
      <c r="P207">
        <v>3</v>
      </c>
      <c r="Q207">
        <v>1</v>
      </c>
      <c r="R207">
        <v>0</v>
      </c>
      <c r="S207">
        <v>0</v>
      </c>
      <c r="T207">
        <v>7</v>
      </c>
      <c r="U207">
        <v>0</v>
      </c>
      <c r="V207">
        <v>0.28571428599999998</v>
      </c>
      <c r="W207">
        <v>0.14285714299999999</v>
      </c>
      <c r="X207">
        <v>0</v>
      </c>
      <c r="Y207">
        <v>0</v>
      </c>
      <c r="Z207">
        <v>0.428571429</v>
      </c>
      <c r="AA207">
        <v>0.14285714299999999</v>
      </c>
      <c r="AB207">
        <v>0</v>
      </c>
      <c r="AC207">
        <v>0</v>
      </c>
      <c r="AD207">
        <f t="shared" si="3"/>
        <v>0</v>
      </c>
    </row>
    <row r="208" spans="1:30" x14ac:dyDescent="0.3">
      <c r="A208" t="s">
        <v>35</v>
      </c>
      <c r="B208" t="s">
        <v>28</v>
      </c>
      <c r="C208">
        <v>193</v>
      </c>
      <c r="D208">
        <v>1.058323369204198</v>
      </c>
      <c r="E208">
        <v>4</v>
      </c>
      <c r="F208">
        <v>11.451571</v>
      </c>
      <c r="G208">
        <v>1.1672163</v>
      </c>
      <c r="H208">
        <v>6.1839066000000003</v>
      </c>
      <c r="I208">
        <v>7.3901858000000002</v>
      </c>
      <c r="J208">
        <v>4.7553058000000004</v>
      </c>
      <c r="K208">
        <v>5.8689752000000004</v>
      </c>
      <c r="L208">
        <v>2</v>
      </c>
      <c r="M208">
        <v>1</v>
      </c>
      <c r="N208">
        <v>0</v>
      </c>
      <c r="O208">
        <v>0</v>
      </c>
      <c r="P208">
        <v>3</v>
      </c>
      <c r="Q208">
        <v>1</v>
      </c>
      <c r="R208">
        <v>0</v>
      </c>
      <c r="S208">
        <v>0</v>
      </c>
      <c r="T208">
        <v>7</v>
      </c>
      <c r="U208">
        <v>0</v>
      </c>
      <c r="V208">
        <v>0.28571428599999998</v>
      </c>
      <c r="W208">
        <v>0.14285714299999999</v>
      </c>
      <c r="X208">
        <v>0</v>
      </c>
      <c r="Y208">
        <v>0</v>
      </c>
      <c r="Z208">
        <v>0.428571429</v>
      </c>
      <c r="AA208">
        <v>0.14285714299999999</v>
      </c>
      <c r="AB208">
        <v>0</v>
      </c>
      <c r="AC208">
        <v>0</v>
      </c>
      <c r="AD208">
        <f t="shared" si="3"/>
        <v>0</v>
      </c>
    </row>
    <row r="209" spans="1:30" x14ac:dyDescent="0.3">
      <c r="A209" t="s">
        <v>35</v>
      </c>
      <c r="B209" t="s">
        <v>28</v>
      </c>
      <c r="C209">
        <v>13</v>
      </c>
      <c r="D209">
        <v>0</v>
      </c>
      <c r="E209">
        <v>5</v>
      </c>
      <c r="F209">
        <v>11.451571</v>
      </c>
      <c r="G209">
        <v>1.1672163</v>
      </c>
      <c r="H209">
        <v>6.1839066000000003</v>
      </c>
      <c r="I209">
        <v>7.3901858000000002</v>
      </c>
      <c r="J209">
        <v>4.7553058000000004</v>
      </c>
      <c r="K209">
        <v>5.8689752000000004</v>
      </c>
      <c r="L209">
        <v>2</v>
      </c>
      <c r="M209">
        <v>1</v>
      </c>
      <c r="N209">
        <v>0</v>
      </c>
      <c r="O209">
        <v>0</v>
      </c>
      <c r="P209">
        <v>3</v>
      </c>
      <c r="Q209">
        <v>1</v>
      </c>
      <c r="R209">
        <v>0</v>
      </c>
      <c r="S209">
        <v>0</v>
      </c>
      <c r="T209">
        <v>7</v>
      </c>
      <c r="U209">
        <v>0</v>
      </c>
      <c r="V209">
        <v>0.28571428599999998</v>
      </c>
      <c r="W209">
        <v>0.14285714299999999</v>
      </c>
      <c r="X209">
        <v>0</v>
      </c>
      <c r="Y209">
        <v>0</v>
      </c>
      <c r="Z209">
        <v>0.428571429</v>
      </c>
      <c r="AA209">
        <v>0.14285714299999999</v>
      </c>
      <c r="AB209">
        <v>0</v>
      </c>
      <c r="AC209">
        <v>0</v>
      </c>
      <c r="AD209">
        <f t="shared" si="3"/>
        <v>0</v>
      </c>
    </row>
    <row r="210" spans="1:30" x14ac:dyDescent="0.3">
      <c r="A210" t="s">
        <v>35</v>
      </c>
      <c r="B210" t="s">
        <v>28</v>
      </c>
      <c r="C210">
        <v>-99999</v>
      </c>
      <c r="D210">
        <v>0</v>
      </c>
      <c r="E210">
        <v>6</v>
      </c>
      <c r="F210">
        <v>11.451571</v>
      </c>
      <c r="G210">
        <v>1.1672163</v>
      </c>
      <c r="H210">
        <v>6.1839066000000003</v>
      </c>
      <c r="I210">
        <v>7.3901858000000002</v>
      </c>
      <c r="J210">
        <v>4.7553058000000004</v>
      </c>
      <c r="K210">
        <v>5.8689752000000004</v>
      </c>
      <c r="L210">
        <v>2</v>
      </c>
      <c r="M210">
        <v>1</v>
      </c>
      <c r="N210">
        <v>0</v>
      </c>
      <c r="O210">
        <v>0</v>
      </c>
      <c r="P210">
        <v>3</v>
      </c>
      <c r="Q210">
        <v>1</v>
      </c>
      <c r="R210">
        <v>0</v>
      </c>
      <c r="S210">
        <v>0</v>
      </c>
      <c r="T210">
        <v>7</v>
      </c>
      <c r="U210">
        <v>0</v>
      </c>
      <c r="V210">
        <v>0.28571428599999998</v>
      </c>
      <c r="W210">
        <v>0.14285714299999999</v>
      </c>
      <c r="X210">
        <v>0</v>
      </c>
      <c r="Y210">
        <v>0</v>
      </c>
      <c r="Z210">
        <v>0.428571429</v>
      </c>
      <c r="AA210">
        <v>0.14285714299999999</v>
      </c>
      <c r="AB210">
        <v>0</v>
      </c>
      <c r="AC210">
        <v>0</v>
      </c>
      <c r="AD210">
        <f t="shared" si="3"/>
        <v>0</v>
      </c>
    </row>
    <row r="211" spans="1:30" x14ac:dyDescent="0.3">
      <c r="A211" t="s">
        <v>35</v>
      </c>
      <c r="B211" t="s">
        <v>28</v>
      </c>
      <c r="C211">
        <v>-99999</v>
      </c>
      <c r="D211">
        <v>0</v>
      </c>
      <c r="E211">
        <v>7</v>
      </c>
      <c r="F211">
        <v>11.451571</v>
      </c>
      <c r="G211">
        <v>1.1672163</v>
      </c>
      <c r="H211">
        <v>6.1839066000000003</v>
      </c>
      <c r="I211">
        <v>7.3901858000000002</v>
      </c>
      <c r="J211">
        <v>4.7553058000000004</v>
      </c>
      <c r="K211">
        <v>5.8689752000000004</v>
      </c>
      <c r="L211">
        <v>2</v>
      </c>
      <c r="M211">
        <v>1</v>
      </c>
      <c r="N211">
        <v>0</v>
      </c>
      <c r="O211">
        <v>0</v>
      </c>
      <c r="P211">
        <v>3</v>
      </c>
      <c r="Q211">
        <v>1</v>
      </c>
      <c r="R211">
        <v>0</v>
      </c>
      <c r="S211">
        <v>0</v>
      </c>
      <c r="T211">
        <v>7</v>
      </c>
      <c r="U211">
        <v>0</v>
      </c>
      <c r="V211">
        <v>0.28571428599999998</v>
      </c>
      <c r="W211">
        <v>0.14285714299999999</v>
      </c>
      <c r="X211">
        <v>0</v>
      </c>
      <c r="Y211">
        <v>0</v>
      </c>
      <c r="Z211">
        <v>0.428571429</v>
      </c>
      <c r="AA211">
        <v>0.14285714299999999</v>
      </c>
      <c r="AB211">
        <v>0</v>
      </c>
      <c r="AC211">
        <v>0</v>
      </c>
      <c r="AD211">
        <f t="shared" si="3"/>
        <v>0</v>
      </c>
    </row>
    <row r="212" spans="1:30" x14ac:dyDescent="0.3">
      <c r="A212" t="s">
        <v>35</v>
      </c>
      <c r="B212" t="s">
        <v>29</v>
      </c>
      <c r="C212">
        <v>568</v>
      </c>
      <c r="D212">
        <v>1.0017605633802817</v>
      </c>
      <c r="E212">
        <v>3</v>
      </c>
      <c r="F212">
        <v>5.4791378999999996</v>
      </c>
      <c r="G212">
        <v>1.3398620000000001</v>
      </c>
      <c r="H212">
        <v>3.7455769000000001</v>
      </c>
      <c r="I212">
        <v>7.8259100999999998</v>
      </c>
      <c r="J212">
        <v>3.61043</v>
      </c>
      <c r="K212">
        <v>5.5548767999999997</v>
      </c>
      <c r="L212">
        <v>4</v>
      </c>
      <c r="M212">
        <v>1</v>
      </c>
      <c r="N212">
        <v>2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7</v>
      </c>
      <c r="U212">
        <v>0</v>
      </c>
      <c r="V212">
        <v>0.571428571</v>
      </c>
      <c r="W212">
        <v>0.14285714299999999</v>
      </c>
      <c r="X212">
        <v>0.28571428599999998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f t="shared" si="3"/>
        <v>0</v>
      </c>
    </row>
    <row r="213" spans="1:30" x14ac:dyDescent="0.3">
      <c r="A213" t="s">
        <v>35</v>
      </c>
      <c r="B213" t="s">
        <v>29</v>
      </c>
      <c r="C213">
        <v>550</v>
      </c>
      <c r="D213">
        <v>1.0345454545454544</v>
      </c>
      <c r="E213">
        <v>4</v>
      </c>
      <c r="F213">
        <v>5.4791378999999996</v>
      </c>
      <c r="G213">
        <v>1.3398620000000001</v>
      </c>
      <c r="H213">
        <v>3.7455769000000001</v>
      </c>
      <c r="I213">
        <v>7.8259100999999998</v>
      </c>
      <c r="J213">
        <v>3.61043</v>
      </c>
      <c r="K213">
        <v>5.5548767999999997</v>
      </c>
      <c r="L213">
        <v>4</v>
      </c>
      <c r="M213">
        <v>1</v>
      </c>
      <c r="N213">
        <v>2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7</v>
      </c>
      <c r="U213">
        <v>0</v>
      </c>
      <c r="V213">
        <v>0.571428571</v>
      </c>
      <c r="W213">
        <v>0.14285714299999999</v>
      </c>
      <c r="X213">
        <v>0.28571428599999998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f t="shared" si="3"/>
        <v>0</v>
      </c>
    </row>
    <row r="214" spans="1:30" x14ac:dyDescent="0.3">
      <c r="A214" t="s">
        <v>35</v>
      </c>
      <c r="B214" t="s">
        <v>29</v>
      </c>
      <c r="C214">
        <v>328</v>
      </c>
      <c r="D214">
        <v>0.93409943714821764</v>
      </c>
      <c r="E214">
        <v>5</v>
      </c>
      <c r="F214">
        <v>5.4791378999999996</v>
      </c>
      <c r="G214">
        <v>1.3398620000000001</v>
      </c>
      <c r="H214">
        <v>3.7455769000000001</v>
      </c>
      <c r="I214">
        <v>7.8259100999999998</v>
      </c>
      <c r="J214">
        <v>3.61043</v>
      </c>
      <c r="K214">
        <v>5.5548767999999997</v>
      </c>
      <c r="L214">
        <v>4</v>
      </c>
      <c r="M214">
        <v>1</v>
      </c>
      <c r="N214">
        <v>2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7</v>
      </c>
      <c r="U214">
        <v>0</v>
      </c>
      <c r="V214">
        <v>0.571428571</v>
      </c>
      <c r="W214">
        <v>0.14285714299999999</v>
      </c>
      <c r="X214">
        <v>0.28571428599999998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f t="shared" si="3"/>
        <v>0</v>
      </c>
    </row>
    <row r="215" spans="1:30" x14ac:dyDescent="0.3">
      <c r="A215" t="s">
        <v>35</v>
      </c>
      <c r="B215" t="s">
        <v>29</v>
      </c>
      <c r="C215">
        <v>36</v>
      </c>
      <c r="D215">
        <v>1.2158119658119657</v>
      </c>
      <c r="E215">
        <v>6</v>
      </c>
      <c r="F215">
        <v>5.4791378999999996</v>
      </c>
      <c r="G215">
        <v>1.3398620000000001</v>
      </c>
      <c r="H215">
        <v>3.7455769000000001</v>
      </c>
      <c r="I215">
        <v>7.8259100999999998</v>
      </c>
      <c r="J215">
        <v>3.61043</v>
      </c>
      <c r="K215">
        <v>5.5548767999999997</v>
      </c>
      <c r="L215">
        <v>4</v>
      </c>
      <c r="M215">
        <v>1</v>
      </c>
      <c r="N215">
        <v>2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7</v>
      </c>
      <c r="U215">
        <v>0</v>
      </c>
      <c r="V215">
        <v>0.571428571</v>
      </c>
      <c r="W215">
        <v>0.14285714299999999</v>
      </c>
      <c r="X215">
        <v>0.28571428599999998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f t="shared" si="3"/>
        <v>0</v>
      </c>
    </row>
    <row r="216" spans="1:30" x14ac:dyDescent="0.3">
      <c r="A216" t="s">
        <v>35</v>
      </c>
      <c r="B216" t="s">
        <v>29</v>
      </c>
      <c r="C216">
        <v>-99999</v>
      </c>
      <c r="D216">
        <v>0</v>
      </c>
      <c r="E216">
        <v>7</v>
      </c>
      <c r="F216">
        <v>5.4791378999999996</v>
      </c>
      <c r="G216">
        <v>1.3398620000000001</v>
      </c>
      <c r="H216">
        <v>3.7455769000000001</v>
      </c>
      <c r="I216">
        <v>7.8259100999999998</v>
      </c>
      <c r="J216">
        <v>3.61043</v>
      </c>
      <c r="K216">
        <v>5.5548767999999997</v>
      </c>
      <c r="L216">
        <v>4</v>
      </c>
      <c r="M216">
        <v>1</v>
      </c>
      <c r="N216">
        <v>2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7</v>
      </c>
      <c r="U216">
        <v>0</v>
      </c>
      <c r="V216">
        <v>0.571428571</v>
      </c>
      <c r="W216">
        <v>0.14285714299999999</v>
      </c>
      <c r="X216">
        <v>0.28571428599999998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f t="shared" si="3"/>
        <v>0</v>
      </c>
    </row>
    <row r="217" spans="1:30" x14ac:dyDescent="0.3">
      <c r="A217" t="s">
        <v>35</v>
      </c>
      <c r="B217" t="s">
        <v>30</v>
      </c>
      <c r="C217">
        <v>39</v>
      </c>
      <c r="D217">
        <v>0.37409598948060485</v>
      </c>
      <c r="E217">
        <v>3</v>
      </c>
      <c r="F217">
        <v>13.652856999999999</v>
      </c>
      <c r="G217">
        <v>1.5954263</v>
      </c>
      <c r="H217">
        <v>7.4811964</v>
      </c>
      <c r="I217">
        <v>8.0913457999999991</v>
      </c>
      <c r="J217">
        <v>4.9441189999999997</v>
      </c>
      <c r="K217">
        <v>6.4539795</v>
      </c>
      <c r="L217">
        <v>1</v>
      </c>
      <c r="M217">
        <v>0</v>
      </c>
      <c r="N217">
        <v>0</v>
      </c>
      <c r="O217">
        <v>0</v>
      </c>
      <c r="P217">
        <v>3</v>
      </c>
      <c r="Q217">
        <v>0</v>
      </c>
      <c r="R217">
        <v>3</v>
      </c>
      <c r="S217">
        <v>0</v>
      </c>
      <c r="T217">
        <v>7</v>
      </c>
      <c r="U217">
        <v>0</v>
      </c>
      <c r="V217">
        <v>0.14285714299999999</v>
      </c>
      <c r="W217">
        <v>0</v>
      </c>
      <c r="X217">
        <v>0</v>
      </c>
      <c r="Y217">
        <v>0</v>
      </c>
      <c r="Z217">
        <v>0.428571429</v>
      </c>
      <c r="AA217">
        <v>0</v>
      </c>
      <c r="AB217">
        <v>0.428571429</v>
      </c>
      <c r="AC217">
        <v>0</v>
      </c>
      <c r="AD217">
        <f t="shared" si="3"/>
        <v>0</v>
      </c>
    </row>
    <row r="218" spans="1:30" x14ac:dyDescent="0.3">
      <c r="A218" t="s">
        <v>35</v>
      </c>
      <c r="B218" t="s">
        <v>30</v>
      </c>
      <c r="C218">
        <v>13</v>
      </c>
      <c r="D218">
        <v>0</v>
      </c>
      <c r="E218">
        <v>4</v>
      </c>
      <c r="F218">
        <v>13.652856999999999</v>
      </c>
      <c r="G218">
        <v>1.5954263</v>
      </c>
      <c r="H218">
        <v>7.4811964</v>
      </c>
      <c r="I218">
        <v>8.0913457999999991</v>
      </c>
      <c r="J218">
        <v>4.9441189999999997</v>
      </c>
      <c r="K218">
        <v>6.4539795</v>
      </c>
      <c r="L218">
        <v>1</v>
      </c>
      <c r="M218">
        <v>0</v>
      </c>
      <c r="N218">
        <v>0</v>
      </c>
      <c r="O218">
        <v>0</v>
      </c>
      <c r="P218">
        <v>3</v>
      </c>
      <c r="Q218">
        <v>0</v>
      </c>
      <c r="R218">
        <v>3</v>
      </c>
      <c r="S218">
        <v>0</v>
      </c>
      <c r="T218">
        <v>7</v>
      </c>
      <c r="U218">
        <v>0</v>
      </c>
      <c r="V218">
        <v>0.14285714299999999</v>
      </c>
      <c r="W218">
        <v>0</v>
      </c>
      <c r="X218">
        <v>0</v>
      </c>
      <c r="Y218">
        <v>0</v>
      </c>
      <c r="Z218">
        <v>0.428571429</v>
      </c>
      <c r="AA218">
        <v>0</v>
      </c>
      <c r="AB218">
        <v>0.428571429</v>
      </c>
      <c r="AC218">
        <v>0</v>
      </c>
      <c r="AD218">
        <f t="shared" si="3"/>
        <v>0</v>
      </c>
    </row>
    <row r="219" spans="1:30" x14ac:dyDescent="0.3">
      <c r="A219" t="s">
        <v>35</v>
      </c>
      <c r="B219" t="s">
        <v>30</v>
      </c>
      <c r="C219">
        <v>-99999</v>
      </c>
      <c r="D219">
        <v>0</v>
      </c>
      <c r="E219">
        <v>5</v>
      </c>
      <c r="F219">
        <v>13.652856999999999</v>
      </c>
      <c r="G219">
        <v>1.5954263</v>
      </c>
      <c r="H219">
        <v>7.4811964</v>
      </c>
      <c r="I219">
        <v>8.0913457999999991</v>
      </c>
      <c r="J219">
        <v>4.9441189999999997</v>
      </c>
      <c r="K219">
        <v>6.4539795</v>
      </c>
      <c r="L219">
        <v>1</v>
      </c>
      <c r="M219">
        <v>0</v>
      </c>
      <c r="N219">
        <v>0</v>
      </c>
      <c r="O219">
        <v>0</v>
      </c>
      <c r="P219">
        <v>3</v>
      </c>
      <c r="Q219">
        <v>0</v>
      </c>
      <c r="R219">
        <v>3</v>
      </c>
      <c r="S219">
        <v>0</v>
      </c>
      <c r="T219">
        <v>7</v>
      </c>
      <c r="U219">
        <v>0</v>
      </c>
      <c r="V219">
        <v>0.14285714299999999</v>
      </c>
      <c r="W219">
        <v>0</v>
      </c>
      <c r="X219">
        <v>0</v>
      </c>
      <c r="Y219">
        <v>0</v>
      </c>
      <c r="Z219">
        <v>0.428571429</v>
      </c>
      <c r="AA219">
        <v>0</v>
      </c>
      <c r="AB219">
        <v>0.428571429</v>
      </c>
      <c r="AC219">
        <v>0</v>
      </c>
      <c r="AD219">
        <f t="shared" si="3"/>
        <v>0</v>
      </c>
    </row>
    <row r="220" spans="1:30" x14ac:dyDescent="0.3">
      <c r="A220" t="s">
        <v>35</v>
      </c>
      <c r="B220" t="s">
        <v>30</v>
      </c>
      <c r="C220">
        <v>-99999</v>
      </c>
      <c r="D220">
        <v>0</v>
      </c>
      <c r="E220">
        <v>6</v>
      </c>
      <c r="F220">
        <v>13.652856999999999</v>
      </c>
      <c r="G220">
        <v>1.5954263</v>
      </c>
      <c r="H220">
        <v>7.4811964</v>
      </c>
      <c r="I220">
        <v>8.0913457999999991</v>
      </c>
      <c r="J220">
        <v>4.9441189999999997</v>
      </c>
      <c r="K220">
        <v>6.4539795</v>
      </c>
      <c r="L220">
        <v>1</v>
      </c>
      <c r="M220">
        <v>0</v>
      </c>
      <c r="N220">
        <v>0</v>
      </c>
      <c r="O220">
        <v>0</v>
      </c>
      <c r="P220">
        <v>3</v>
      </c>
      <c r="Q220">
        <v>0</v>
      </c>
      <c r="R220">
        <v>3</v>
      </c>
      <c r="S220">
        <v>0</v>
      </c>
      <c r="T220">
        <v>7</v>
      </c>
      <c r="U220">
        <v>0</v>
      </c>
      <c r="V220">
        <v>0.14285714299999999</v>
      </c>
      <c r="W220">
        <v>0</v>
      </c>
      <c r="X220">
        <v>0</v>
      </c>
      <c r="Y220">
        <v>0</v>
      </c>
      <c r="Z220">
        <v>0.428571429</v>
      </c>
      <c r="AA220">
        <v>0</v>
      </c>
      <c r="AB220">
        <v>0.428571429</v>
      </c>
      <c r="AC220">
        <v>0</v>
      </c>
      <c r="AD220">
        <f t="shared" si="3"/>
        <v>0</v>
      </c>
    </row>
    <row r="221" spans="1:30" x14ac:dyDescent="0.3">
      <c r="A221" t="s">
        <v>35</v>
      </c>
      <c r="B221" t="s">
        <v>30</v>
      </c>
      <c r="C221">
        <v>-99999</v>
      </c>
      <c r="D221">
        <v>0</v>
      </c>
      <c r="E221">
        <v>7</v>
      </c>
      <c r="F221">
        <v>13.652856999999999</v>
      </c>
      <c r="G221">
        <v>1.5954263</v>
      </c>
      <c r="H221">
        <v>7.4811964</v>
      </c>
      <c r="I221">
        <v>8.0913457999999991</v>
      </c>
      <c r="J221">
        <v>4.9441189999999997</v>
      </c>
      <c r="K221">
        <v>6.4539795</v>
      </c>
      <c r="L221">
        <v>1</v>
      </c>
      <c r="M221">
        <v>0</v>
      </c>
      <c r="N221">
        <v>0</v>
      </c>
      <c r="O221">
        <v>0</v>
      </c>
      <c r="P221">
        <v>3</v>
      </c>
      <c r="Q221">
        <v>0</v>
      </c>
      <c r="R221">
        <v>3</v>
      </c>
      <c r="S221">
        <v>0</v>
      </c>
      <c r="T221">
        <v>7</v>
      </c>
      <c r="U221">
        <v>0</v>
      </c>
      <c r="V221">
        <v>0.14285714299999999</v>
      </c>
      <c r="W221">
        <v>0</v>
      </c>
      <c r="X221">
        <v>0</v>
      </c>
      <c r="Y221">
        <v>0</v>
      </c>
      <c r="Z221">
        <v>0.428571429</v>
      </c>
      <c r="AA221">
        <v>0</v>
      </c>
      <c r="AB221">
        <v>0.428571429</v>
      </c>
      <c r="AC221">
        <v>0</v>
      </c>
      <c r="AD221">
        <f t="shared" si="3"/>
        <v>0</v>
      </c>
    </row>
    <row r="222" spans="1:30" x14ac:dyDescent="0.3">
      <c r="A222" t="s">
        <v>37</v>
      </c>
      <c r="B222" t="s">
        <v>27</v>
      </c>
      <c r="C222">
        <v>567</v>
      </c>
      <c r="D222">
        <v>1.0035273368606701</v>
      </c>
      <c r="E222">
        <v>3</v>
      </c>
      <c r="F222">
        <v>11.605651999999999</v>
      </c>
      <c r="G222">
        <v>1.1183616999999999</v>
      </c>
      <c r="H222">
        <v>5.2936968999999996</v>
      </c>
      <c r="I222">
        <v>9.3384333000000002</v>
      </c>
      <c r="J222">
        <v>5.8081149999999999</v>
      </c>
      <c r="K222">
        <v>7.9662389999999998</v>
      </c>
      <c r="L222">
        <v>4</v>
      </c>
      <c r="M222">
        <v>1</v>
      </c>
      <c r="N222">
        <v>1</v>
      </c>
      <c r="O222">
        <v>0</v>
      </c>
      <c r="P222">
        <v>1</v>
      </c>
      <c r="Q222">
        <v>0</v>
      </c>
      <c r="R222">
        <v>0</v>
      </c>
      <c r="S222">
        <v>0</v>
      </c>
      <c r="T222">
        <v>7</v>
      </c>
      <c r="U222">
        <v>0</v>
      </c>
      <c r="V222">
        <v>0.571428571</v>
      </c>
      <c r="W222">
        <v>0.14285714299999999</v>
      </c>
      <c r="X222">
        <v>0.14285714299999999</v>
      </c>
      <c r="Y222">
        <v>0</v>
      </c>
      <c r="Z222">
        <v>0.14285714299999999</v>
      </c>
      <c r="AA222">
        <v>0</v>
      </c>
      <c r="AB222">
        <v>0</v>
      </c>
      <c r="AC222">
        <v>0</v>
      </c>
      <c r="AD222">
        <f t="shared" si="3"/>
        <v>0</v>
      </c>
    </row>
    <row r="223" spans="1:30" x14ac:dyDescent="0.3">
      <c r="A223" t="s">
        <v>37</v>
      </c>
      <c r="B223" t="s">
        <v>27</v>
      </c>
      <c r="C223">
        <v>373</v>
      </c>
      <c r="D223">
        <v>1.1168613558023746</v>
      </c>
      <c r="E223">
        <v>4</v>
      </c>
      <c r="F223">
        <v>11.605651999999999</v>
      </c>
      <c r="G223">
        <v>1.1183616999999999</v>
      </c>
      <c r="H223">
        <v>5.2936968999999996</v>
      </c>
      <c r="I223">
        <v>9.3384333000000002</v>
      </c>
      <c r="J223">
        <v>5.8081149999999999</v>
      </c>
      <c r="K223">
        <v>7.9662389999999998</v>
      </c>
      <c r="L223">
        <v>4</v>
      </c>
      <c r="M223">
        <v>1</v>
      </c>
      <c r="N223">
        <v>1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7</v>
      </c>
      <c r="U223">
        <v>0</v>
      </c>
      <c r="V223">
        <v>0.571428571</v>
      </c>
      <c r="W223">
        <v>0.14285714299999999</v>
      </c>
      <c r="X223">
        <v>0.14285714299999999</v>
      </c>
      <c r="Y223">
        <v>0</v>
      </c>
      <c r="Z223">
        <v>0.14285714299999999</v>
      </c>
      <c r="AA223">
        <v>0</v>
      </c>
      <c r="AB223">
        <v>0</v>
      </c>
      <c r="AC223">
        <v>0</v>
      </c>
      <c r="AD223">
        <f t="shared" si="3"/>
        <v>0</v>
      </c>
    </row>
    <row r="224" spans="1:30" x14ac:dyDescent="0.3">
      <c r="A224" t="s">
        <v>37</v>
      </c>
      <c r="B224" t="s">
        <v>27</v>
      </c>
      <c r="C224">
        <v>34</v>
      </c>
      <c r="D224">
        <v>2.9884453781512605</v>
      </c>
      <c r="E224">
        <v>5</v>
      </c>
      <c r="F224">
        <v>11.605651999999999</v>
      </c>
      <c r="G224">
        <v>1.1183616999999999</v>
      </c>
      <c r="H224">
        <v>5.2936968999999996</v>
      </c>
      <c r="I224">
        <v>9.3384333000000002</v>
      </c>
      <c r="J224">
        <v>5.8081149999999999</v>
      </c>
      <c r="K224">
        <v>7.9662389999999998</v>
      </c>
      <c r="L224">
        <v>4</v>
      </c>
      <c r="M224">
        <v>1</v>
      </c>
      <c r="N224">
        <v>1</v>
      </c>
      <c r="O224">
        <v>0</v>
      </c>
      <c r="P224">
        <v>1</v>
      </c>
      <c r="Q224">
        <v>0</v>
      </c>
      <c r="R224">
        <v>0</v>
      </c>
      <c r="S224">
        <v>0</v>
      </c>
      <c r="T224">
        <v>7</v>
      </c>
      <c r="U224">
        <v>0</v>
      </c>
      <c r="V224">
        <v>0.571428571</v>
      </c>
      <c r="W224">
        <v>0.14285714299999999</v>
      </c>
      <c r="X224">
        <v>0.14285714299999999</v>
      </c>
      <c r="Y224">
        <v>0</v>
      </c>
      <c r="Z224">
        <v>0.14285714299999999</v>
      </c>
      <c r="AA224">
        <v>0</v>
      </c>
      <c r="AB224">
        <v>0</v>
      </c>
      <c r="AC224">
        <v>0</v>
      </c>
      <c r="AD224">
        <f t="shared" si="3"/>
        <v>1</v>
      </c>
    </row>
    <row r="225" spans="1:30" x14ac:dyDescent="0.3">
      <c r="A225" t="s">
        <v>37</v>
      </c>
      <c r="B225" t="s">
        <v>27</v>
      </c>
      <c r="C225">
        <v>-99999</v>
      </c>
      <c r="D225">
        <v>0</v>
      </c>
      <c r="E225">
        <v>6</v>
      </c>
      <c r="F225">
        <v>11.605651999999999</v>
      </c>
      <c r="G225">
        <v>1.1183616999999999</v>
      </c>
      <c r="H225">
        <v>5.2936968999999996</v>
      </c>
      <c r="I225">
        <v>9.3384333000000002</v>
      </c>
      <c r="J225">
        <v>5.8081149999999999</v>
      </c>
      <c r="K225">
        <v>7.9662389999999998</v>
      </c>
      <c r="L225">
        <v>4</v>
      </c>
      <c r="M225">
        <v>1</v>
      </c>
      <c r="N225">
        <v>1</v>
      </c>
      <c r="O225">
        <v>0</v>
      </c>
      <c r="P225">
        <v>1</v>
      </c>
      <c r="Q225">
        <v>0</v>
      </c>
      <c r="R225">
        <v>0</v>
      </c>
      <c r="S225">
        <v>0</v>
      </c>
      <c r="T225">
        <v>7</v>
      </c>
      <c r="U225">
        <v>0</v>
      </c>
      <c r="V225">
        <v>0.571428571</v>
      </c>
      <c r="W225">
        <v>0.14285714299999999</v>
      </c>
      <c r="X225">
        <v>0.14285714299999999</v>
      </c>
      <c r="Y225">
        <v>0</v>
      </c>
      <c r="Z225">
        <v>0.14285714299999999</v>
      </c>
      <c r="AA225">
        <v>0</v>
      </c>
      <c r="AB225">
        <v>0</v>
      </c>
      <c r="AC225">
        <v>0</v>
      </c>
      <c r="AD225">
        <f t="shared" si="3"/>
        <v>0</v>
      </c>
    </row>
    <row r="226" spans="1:30" x14ac:dyDescent="0.3">
      <c r="A226" t="s">
        <v>37</v>
      </c>
      <c r="B226" t="s">
        <v>27</v>
      </c>
      <c r="C226">
        <v>-99999</v>
      </c>
      <c r="D226">
        <v>0</v>
      </c>
      <c r="E226">
        <v>7</v>
      </c>
      <c r="F226">
        <v>11.605651999999999</v>
      </c>
      <c r="G226">
        <v>1.1183616999999999</v>
      </c>
      <c r="H226">
        <v>5.2936968999999996</v>
      </c>
      <c r="I226">
        <v>9.3384333000000002</v>
      </c>
      <c r="J226">
        <v>5.8081149999999999</v>
      </c>
      <c r="K226">
        <v>7.9662389999999998</v>
      </c>
      <c r="L226">
        <v>4</v>
      </c>
      <c r="M226">
        <v>1</v>
      </c>
      <c r="N226">
        <v>1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7</v>
      </c>
      <c r="U226">
        <v>0</v>
      </c>
      <c r="V226">
        <v>0.571428571</v>
      </c>
      <c r="W226">
        <v>0.14285714299999999</v>
      </c>
      <c r="X226">
        <v>0.14285714299999999</v>
      </c>
      <c r="Y226">
        <v>0</v>
      </c>
      <c r="Z226">
        <v>0.14285714299999999</v>
      </c>
      <c r="AA226">
        <v>0</v>
      </c>
      <c r="AB226">
        <v>0</v>
      </c>
      <c r="AC226">
        <v>0</v>
      </c>
      <c r="AD226">
        <f t="shared" si="3"/>
        <v>0</v>
      </c>
    </row>
    <row r="227" spans="1:30" x14ac:dyDescent="0.3">
      <c r="A227" t="s">
        <v>37</v>
      </c>
      <c r="B227" t="s">
        <v>28</v>
      </c>
      <c r="C227">
        <v>22</v>
      </c>
      <c r="D227">
        <v>1.8474025974025976</v>
      </c>
      <c r="E227">
        <v>3</v>
      </c>
      <c r="F227">
        <v>13.145735</v>
      </c>
      <c r="G227">
        <v>1.3052363</v>
      </c>
      <c r="H227">
        <v>8.7116279999999993</v>
      </c>
      <c r="I227">
        <v>9.1865635000000001</v>
      </c>
      <c r="J227">
        <v>4.0604091000000002</v>
      </c>
      <c r="K227">
        <v>7.3372054000000002</v>
      </c>
      <c r="L227">
        <v>0</v>
      </c>
      <c r="M227">
        <v>0</v>
      </c>
      <c r="N227">
        <v>1</v>
      </c>
      <c r="O227">
        <v>0</v>
      </c>
      <c r="P227">
        <v>6</v>
      </c>
      <c r="Q227">
        <v>0</v>
      </c>
      <c r="R227">
        <v>0</v>
      </c>
      <c r="S227">
        <v>0</v>
      </c>
      <c r="T227">
        <v>7</v>
      </c>
      <c r="U227">
        <v>0</v>
      </c>
      <c r="V227">
        <v>0</v>
      </c>
      <c r="W227">
        <v>0</v>
      </c>
      <c r="X227">
        <v>0.14285714299999999</v>
      </c>
      <c r="Y227">
        <v>0</v>
      </c>
      <c r="Z227">
        <v>0.85714285700000004</v>
      </c>
      <c r="AA227">
        <v>0</v>
      </c>
      <c r="AB227">
        <v>0</v>
      </c>
      <c r="AC227">
        <v>0</v>
      </c>
      <c r="AD227">
        <f t="shared" si="3"/>
        <v>0</v>
      </c>
    </row>
    <row r="228" spans="1:30" x14ac:dyDescent="0.3">
      <c r="A228" t="s">
        <v>37</v>
      </c>
      <c r="B228" t="s">
        <v>28</v>
      </c>
      <c r="C228">
        <v>1</v>
      </c>
      <c r="D228">
        <v>10.160714285714286</v>
      </c>
      <c r="E228">
        <v>4</v>
      </c>
      <c r="F228">
        <v>13.145735</v>
      </c>
      <c r="G228">
        <v>1.3052363</v>
      </c>
      <c r="H228">
        <v>8.7116279999999993</v>
      </c>
      <c r="I228">
        <v>9.1865635000000001</v>
      </c>
      <c r="J228">
        <v>4.0604091000000002</v>
      </c>
      <c r="K228">
        <v>7.3372054000000002</v>
      </c>
      <c r="L228">
        <v>0</v>
      </c>
      <c r="M228">
        <v>0</v>
      </c>
      <c r="N228">
        <v>1</v>
      </c>
      <c r="O228">
        <v>0</v>
      </c>
      <c r="P228">
        <v>6</v>
      </c>
      <c r="Q228">
        <v>0</v>
      </c>
      <c r="R228">
        <v>0</v>
      </c>
      <c r="S228">
        <v>0</v>
      </c>
      <c r="T228">
        <v>7</v>
      </c>
      <c r="U228">
        <v>0</v>
      </c>
      <c r="V228">
        <v>0</v>
      </c>
      <c r="W228">
        <v>0</v>
      </c>
      <c r="X228">
        <v>0.14285714299999999</v>
      </c>
      <c r="Y228">
        <v>0</v>
      </c>
      <c r="Z228">
        <v>0.85714285700000004</v>
      </c>
      <c r="AA228">
        <v>0</v>
      </c>
      <c r="AB228">
        <v>0</v>
      </c>
      <c r="AC228">
        <v>0</v>
      </c>
      <c r="AD228">
        <f t="shared" si="3"/>
        <v>1</v>
      </c>
    </row>
    <row r="229" spans="1:30" x14ac:dyDescent="0.3">
      <c r="A229" t="s">
        <v>37</v>
      </c>
      <c r="B229" t="s">
        <v>28</v>
      </c>
      <c r="C229">
        <v>-99999</v>
      </c>
      <c r="D229">
        <v>0</v>
      </c>
      <c r="E229">
        <v>5</v>
      </c>
      <c r="F229">
        <v>13.145735</v>
      </c>
      <c r="G229">
        <v>1.3052363</v>
      </c>
      <c r="H229">
        <v>8.7116279999999993</v>
      </c>
      <c r="I229">
        <v>9.1865635000000001</v>
      </c>
      <c r="J229">
        <v>4.0604091000000002</v>
      </c>
      <c r="K229">
        <v>7.3372054000000002</v>
      </c>
      <c r="L229">
        <v>0</v>
      </c>
      <c r="M229">
        <v>0</v>
      </c>
      <c r="N229">
        <v>1</v>
      </c>
      <c r="O229">
        <v>0</v>
      </c>
      <c r="P229">
        <v>6</v>
      </c>
      <c r="Q229">
        <v>0</v>
      </c>
      <c r="R229">
        <v>0</v>
      </c>
      <c r="S229">
        <v>0</v>
      </c>
      <c r="T229">
        <v>7</v>
      </c>
      <c r="U229">
        <v>0</v>
      </c>
      <c r="V229">
        <v>0</v>
      </c>
      <c r="W229">
        <v>0</v>
      </c>
      <c r="X229">
        <v>0.14285714299999999</v>
      </c>
      <c r="Y229">
        <v>0</v>
      </c>
      <c r="Z229">
        <v>0.85714285700000004</v>
      </c>
      <c r="AA229">
        <v>0</v>
      </c>
      <c r="AB229">
        <v>0</v>
      </c>
      <c r="AC229">
        <v>0</v>
      </c>
      <c r="AD229">
        <f t="shared" si="3"/>
        <v>0</v>
      </c>
    </row>
    <row r="230" spans="1:30" x14ac:dyDescent="0.3">
      <c r="A230" t="s">
        <v>37</v>
      </c>
      <c r="B230" t="s">
        <v>28</v>
      </c>
      <c r="C230">
        <v>-99999</v>
      </c>
      <c r="D230">
        <v>0</v>
      </c>
      <c r="E230">
        <v>6</v>
      </c>
      <c r="F230">
        <v>13.145735</v>
      </c>
      <c r="G230">
        <v>1.3052363</v>
      </c>
      <c r="H230">
        <v>8.7116279999999993</v>
      </c>
      <c r="I230">
        <v>9.1865635000000001</v>
      </c>
      <c r="J230">
        <v>4.0604091000000002</v>
      </c>
      <c r="K230">
        <v>7.3372054000000002</v>
      </c>
      <c r="L230">
        <v>0</v>
      </c>
      <c r="M230">
        <v>0</v>
      </c>
      <c r="N230">
        <v>1</v>
      </c>
      <c r="O230">
        <v>0</v>
      </c>
      <c r="P230">
        <v>6</v>
      </c>
      <c r="Q230">
        <v>0</v>
      </c>
      <c r="R230">
        <v>0</v>
      </c>
      <c r="S230">
        <v>0</v>
      </c>
      <c r="T230">
        <v>7</v>
      </c>
      <c r="U230">
        <v>0</v>
      </c>
      <c r="V230">
        <v>0</v>
      </c>
      <c r="W230">
        <v>0</v>
      </c>
      <c r="X230">
        <v>0.14285714299999999</v>
      </c>
      <c r="Y230">
        <v>0</v>
      </c>
      <c r="Z230">
        <v>0.85714285700000004</v>
      </c>
      <c r="AA230">
        <v>0</v>
      </c>
      <c r="AB230">
        <v>0</v>
      </c>
      <c r="AC230">
        <v>0</v>
      </c>
      <c r="AD230">
        <f t="shared" si="3"/>
        <v>0</v>
      </c>
    </row>
    <row r="231" spans="1:30" x14ac:dyDescent="0.3">
      <c r="A231" t="s">
        <v>37</v>
      </c>
      <c r="B231" t="s">
        <v>28</v>
      </c>
      <c r="C231">
        <v>-99999</v>
      </c>
      <c r="D231">
        <v>0</v>
      </c>
      <c r="E231">
        <v>7</v>
      </c>
      <c r="F231">
        <v>13.145735</v>
      </c>
      <c r="G231">
        <v>1.3052363</v>
      </c>
      <c r="H231">
        <v>8.7116279999999993</v>
      </c>
      <c r="I231">
        <v>9.1865635000000001</v>
      </c>
      <c r="J231">
        <v>4.0604091000000002</v>
      </c>
      <c r="K231">
        <v>7.3372054000000002</v>
      </c>
      <c r="L231">
        <v>0</v>
      </c>
      <c r="M231">
        <v>0</v>
      </c>
      <c r="N231">
        <v>1</v>
      </c>
      <c r="O231">
        <v>0</v>
      </c>
      <c r="P231">
        <v>6</v>
      </c>
      <c r="Q231">
        <v>0</v>
      </c>
      <c r="R231">
        <v>0</v>
      </c>
      <c r="S231">
        <v>0</v>
      </c>
      <c r="T231">
        <v>7</v>
      </c>
      <c r="U231">
        <v>0</v>
      </c>
      <c r="V231">
        <v>0</v>
      </c>
      <c r="W231">
        <v>0</v>
      </c>
      <c r="X231">
        <v>0.14285714299999999</v>
      </c>
      <c r="Y231">
        <v>0</v>
      </c>
      <c r="Z231">
        <v>0.85714285700000004</v>
      </c>
      <c r="AA231">
        <v>0</v>
      </c>
      <c r="AB231">
        <v>0</v>
      </c>
      <c r="AC231">
        <v>0</v>
      </c>
      <c r="AD231">
        <f t="shared" si="3"/>
        <v>0</v>
      </c>
    </row>
    <row r="232" spans="1:30" x14ac:dyDescent="0.3">
      <c r="A232" t="s">
        <v>37</v>
      </c>
      <c r="B232" t="s">
        <v>29</v>
      </c>
      <c r="C232">
        <v>424</v>
      </c>
      <c r="D232">
        <v>1.2940532345013478</v>
      </c>
      <c r="E232">
        <v>3</v>
      </c>
      <c r="F232">
        <v>16.991033999999999</v>
      </c>
      <c r="G232">
        <v>1.8162537999999999</v>
      </c>
      <c r="H232">
        <v>9.4123955000000006</v>
      </c>
      <c r="I232">
        <v>9.7464894999999991</v>
      </c>
      <c r="J232">
        <v>4.8855443000000003</v>
      </c>
      <c r="K232">
        <v>7.9757457</v>
      </c>
      <c r="L232">
        <v>3</v>
      </c>
      <c r="M232">
        <v>0</v>
      </c>
      <c r="N232">
        <v>1</v>
      </c>
      <c r="O232">
        <v>0</v>
      </c>
      <c r="P232">
        <v>1</v>
      </c>
      <c r="Q232">
        <v>1</v>
      </c>
      <c r="R232">
        <v>0</v>
      </c>
      <c r="S232">
        <v>1</v>
      </c>
      <c r="T232">
        <v>7</v>
      </c>
      <c r="U232">
        <v>0</v>
      </c>
      <c r="V232">
        <v>0.428571429</v>
      </c>
      <c r="W232">
        <v>0</v>
      </c>
      <c r="X232">
        <v>0.14285714299999999</v>
      </c>
      <c r="Y232">
        <v>0</v>
      </c>
      <c r="Z232">
        <v>0.14285714299999999</v>
      </c>
      <c r="AA232">
        <v>0.14285714299999999</v>
      </c>
      <c r="AB232">
        <v>0</v>
      </c>
      <c r="AC232">
        <v>0.14285714299999999</v>
      </c>
      <c r="AD232">
        <f t="shared" si="3"/>
        <v>0</v>
      </c>
    </row>
    <row r="233" spans="1:30" x14ac:dyDescent="0.3">
      <c r="A233" t="s">
        <v>37</v>
      </c>
      <c r="B233" t="s">
        <v>29</v>
      </c>
      <c r="C233">
        <v>135</v>
      </c>
      <c r="D233">
        <v>0.90317460317460319</v>
      </c>
      <c r="E233">
        <v>4</v>
      </c>
      <c r="F233">
        <v>16.991033999999999</v>
      </c>
      <c r="G233">
        <v>1.8162537999999999</v>
      </c>
      <c r="H233">
        <v>9.4123955000000006</v>
      </c>
      <c r="I233">
        <v>9.7464894999999991</v>
      </c>
      <c r="J233">
        <v>4.8855443000000003</v>
      </c>
      <c r="K233">
        <v>7.9757457</v>
      </c>
      <c r="L233">
        <v>3</v>
      </c>
      <c r="M233">
        <v>0</v>
      </c>
      <c r="N233">
        <v>1</v>
      </c>
      <c r="O233">
        <v>0</v>
      </c>
      <c r="P233">
        <v>1</v>
      </c>
      <c r="Q233">
        <v>1</v>
      </c>
      <c r="R233">
        <v>0</v>
      </c>
      <c r="S233">
        <v>1</v>
      </c>
      <c r="T233">
        <v>7</v>
      </c>
      <c r="U233">
        <v>0</v>
      </c>
      <c r="V233">
        <v>0.428571429</v>
      </c>
      <c r="W233">
        <v>0</v>
      </c>
      <c r="X233">
        <v>0.14285714299999999</v>
      </c>
      <c r="Y233">
        <v>0</v>
      </c>
      <c r="Z233">
        <v>0.14285714299999999</v>
      </c>
      <c r="AA233">
        <v>0.14285714299999999</v>
      </c>
      <c r="AB233">
        <v>0</v>
      </c>
      <c r="AC233">
        <v>0.14285714299999999</v>
      </c>
      <c r="AD233">
        <f t="shared" si="3"/>
        <v>0</v>
      </c>
    </row>
    <row r="234" spans="1:30" x14ac:dyDescent="0.3">
      <c r="A234" t="s">
        <v>37</v>
      </c>
      <c r="B234" t="s">
        <v>29</v>
      </c>
      <c r="C234">
        <v>7</v>
      </c>
      <c r="D234">
        <v>0</v>
      </c>
      <c r="E234">
        <v>5</v>
      </c>
      <c r="F234">
        <v>16.991033999999999</v>
      </c>
      <c r="G234">
        <v>1.8162537999999999</v>
      </c>
      <c r="H234">
        <v>9.4123955000000006</v>
      </c>
      <c r="I234">
        <v>9.7464894999999991</v>
      </c>
      <c r="J234">
        <v>4.8855443000000003</v>
      </c>
      <c r="K234">
        <v>7.9757457</v>
      </c>
      <c r="L234">
        <v>3</v>
      </c>
      <c r="M234">
        <v>0</v>
      </c>
      <c r="N234">
        <v>1</v>
      </c>
      <c r="O234">
        <v>0</v>
      </c>
      <c r="P234">
        <v>1</v>
      </c>
      <c r="Q234">
        <v>1</v>
      </c>
      <c r="R234">
        <v>0</v>
      </c>
      <c r="S234">
        <v>1</v>
      </c>
      <c r="T234">
        <v>7</v>
      </c>
      <c r="U234">
        <v>0</v>
      </c>
      <c r="V234">
        <v>0.428571429</v>
      </c>
      <c r="W234">
        <v>0</v>
      </c>
      <c r="X234">
        <v>0.14285714299999999</v>
      </c>
      <c r="Y234">
        <v>0</v>
      </c>
      <c r="Z234">
        <v>0.14285714299999999</v>
      </c>
      <c r="AA234">
        <v>0.14285714299999999</v>
      </c>
      <c r="AB234">
        <v>0</v>
      </c>
      <c r="AC234">
        <v>0.14285714299999999</v>
      </c>
      <c r="AD234">
        <f t="shared" si="3"/>
        <v>0</v>
      </c>
    </row>
    <row r="235" spans="1:30" x14ac:dyDescent="0.3">
      <c r="A235" t="s">
        <v>37</v>
      </c>
      <c r="B235" t="s">
        <v>29</v>
      </c>
      <c r="C235">
        <v>-99999</v>
      </c>
      <c r="D235">
        <v>0</v>
      </c>
      <c r="E235">
        <v>6</v>
      </c>
      <c r="F235">
        <v>16.991033999999999</v>
      </c>
      <c r="G235">
        <v>1.8162537999999999</v>
      </c>
      <c r="H235">
        <v>9.4123955000000006</v>
      </c>
      <c r="I235">
        <v>9.7464894999999991</v>
      </c>
      <c r="J235">
        <v>4.8855443000000003</v>
      </c>
      <c r="K235">
        <v>7.9757457</v>
      </c>
      <c r="L235">
        <v>3</v>
      </c>
      <c r="M235">
        <v>0</v>
      </c>
      <c r="N235">
        <v>1</v>
      </c>
      <c r="O235">
        <v>0</v>
      </c>
      <c r="P235">
        <v>1</v>
      </c>
      <c r="Q235">
        <v>1</v>
      </c>
      <c r="R235">
        <v>0</v>
      </c>
      <c r="S235">
        <v>1</v>
      </c>
      <c r="T235">
        <v>7</v>
      </c>
      <c r="U235">
        <v>0</v>
      </c>
      <c r="V235">
        <v>0.428571429</v>
      </c>
      <c r="W235">
        <v>0</v>
      </c>
      <c r="X235">
        <v>0.14285714299999999</v>
      </c>
      <c r="Y235">
        <v>0</v>
      </c>
      <c r="Z235">
        <v>0.14285714299999999</v>
      </c>
      <c r="AA235">
        <v>0.14285714299999999</v>
      </c>
      <c r="AB235">
        <v>0</v>
      </c>
      <c r="AC235">
        <v>0.14285714299999999</v>
      </c>
      <c r="AD235">
        <f t="shared" si="3"/>
        <v>0</v>
      </c>
    </row>
    <row r="236" spans="1:30" x14ac:dyDescent="0.3">
      <c r="A236" t="s">
        <v>37</v>
      </c>
      <c r="B236" t="s">
        <v>29</v>
      </c>
      <c r="C236">
        <v>-99999</v>
      </c>
      <c r="D236">
        <v>0</v>
      </c>
      <c r="E236">
        <v>7</v>
      </c>
      <c r="F236">
        <v>16.991033999999999</v>
      </c>
      <c r="G236">
        <v>1.8162537999999999</v>
      </c>
      <c r="H236">
        <v>9.4123955000000006</v>
      </c>
      <c r="I236">
        <v>9.7464894999999991</v>
      </c>
      <c r="J236">
        <v>4.8855443000000003</v>
      </c>
      <c r="K236">
        <v>7.9757457</v>
      </c>
      <c r="L236">
        <v>3</v>
      </c>
      <c r="M236">
        <v>0</v>
      </c>
      <c r="N236">
        <v>1</v>
      </c>
      <c r="O236">
        <v>0</v>
      </c>
      <c r="P236">
        <v>1</v>
      </c>
      <c r="Q236">
        <v>1</v>
      </c>
      <c r="R236">
        <v>0</v>
      </c>
      <c r="S236">
        <v>1</v>
      </c>
      <c r="T236">
        <v>7</v>
      </c>
      <c r="U236">
        <v>0</v>
      </c>
      <c r="V236">
        <v>0.428571429</v>
      </c>
      <c r="W236">
        <v>0</v>
      </c>
      <c r="X236">
        <v>0.14285714299999999</v>
      </c>
      <c r="Y236">
        <v>0</v>
      </c>
      <c r="Z236">
        <v>0.14285714299999999</v>
      </c>
      <c r="AA236">
        <v>0.14285714299999999</v>
      </c>
      <c r="AB236">
        <v>0</v>
      </c>
      <c r="AC236">
        <v>0.14285714299999999</v>
      </c>
      <c r="AD236">
        <f t="shared" si="3"/>
        <v>0</v>
      </c>
    </row>
    <row r="237" spans="1:30" x14ac:dyDescent="0.3">
      <c r="A237" t="s">
        <v>37</v>
      </c>
      <c r="B237" t="s">
        <v>30</v>
      </c>
      <c r="C237">
        <v>39</v>
      </c>
      <c r="D237">
        <v>0.7815934065934067</v>
      </c>
      <c r="E237">
        <v>3</v>
      </c>
      <c r="F237">
        <v>6.0151462999999996</v>
      </c>
      <c r="G237">
        <v>0.56696557999999997</v>
      </c>
      <c r="H237">
        <v>2.9937885</v>
      </c>
      <c r="I237">
        <v>9.1865635000000001</v>
      </c>
      <c r="J237">
        <v>6.9080129000000001</v>
      </c>
      <c r="K237">
        <v>7.8282126999999999</v>
      </c>
      <c r="L237">
        <v>1</v>
      </c>
      <c r="M237">
        <v>0</v>
      </c>
      <c r="N237">
        <v>0</v>
      </c>
      <c r="O237">
        <v>0</v>
      </c>
      <c r="P237">
        <v>6</v>
      </c>
      <c r="Q237">
        <v>0</v>
      </c>
      <c r="R237">
        <v>0</v>
      </c>
      <c r="S237">
        <v>0</v>
      </c>
      <c r="T237">
        <v>7</v>
      </c>
      <c r="U237">
        <v>0</v>
      </c>
      <c r="V237">
        <v>0.14285714299999999</v>
      </c>
      <c r="W237">
        <v>0</v>
      </c>
      <c r="X237">
        <v>0</v>
      </c>
      <c r="Y237">
        <v>0</v>
      </c>
      <c r="Z237">
        <v>0.85714285700000004</v>
      </c>
      <c r="AA237">
        <v>0</v>
      </c>
      <c r="AB237">
        <v>0</v>
      </c>
      <c r="AC237">
        <v>0</v>
      </c>
      <c r="AD237">
        <f t="shared" si="3"/>
        <v>0</v>
      </c>
    </row>
    <row r="238" spans="1:30" x14ac:dyDescent="0.3">
      <c r="A238" t="s">
        <v>37</v>
      </c>
      <c r="B238" t="s">
        <v>30</v>
      </c>
      <c r="C238">
        <v>12</v>
      </c>
      <c r="D238">
        <v>0.84672619047619047</v>
      </c>
      <c r="E238">
        <v>4</v>
      </c>
      <c r="F238">
        <v>6.0151462999999996</v>
      </c>
      <c r="G238">
        <v>0.56696557999999997</v>
      </c>
      <c r="H238">
        <v>2.9937885</v>
      </c>
      <c r="I238">
        <v>9.1865635000000001</v>
      </c>
      <c r="J238">
        <v>6.9080129000000001</v>
      </c>
      <c r="K238">
        <v>7.8282126999999999</v>
      </c>
      <c r="L238">
        <v>1</v>
      </c>
      <c r="M238">
        <v>0</v>
      </c>
      <c r="N238">
        <v>0</v>
      </c>
      <c r="O238">
        <v>0</v>
      </c>
      <c r="P238">
        <v>6</v>
      </c>
      <c r="Q238">
        <v>0</v>
      </c>
      <c r="R238">
        <v>0</v>
      </c>
      <c r="S238">
        <v>0</v>
      </c>
      <c r="T238">
        <v>7</v>
      </c>
      <c r="U238">
        <v>0</v>
      </c>
      <c r="V238">
        <v>0.14285714299999999</v>
      </c>
      <c r="W238">
        <v>0</v>
      </c>
      <c r="X238">
        <v>0</v>
      </c>
      <c r="Y238">
        <v>0</v>
      </c>
      <c r="Z238">
        <v>0.85714285700000004</v>
      </c>
      <c r="AA238">
        <v>0</v>
      </c>
      <c r="AB238">
        <v>0</v>
      </c>
      <c r="AC238">
        <v>0</v>
      </c>
      <c r="AD238">
        <f t="shared" si="3"/>
        <v>0</v>
      </c>
    </row>
    <row r="239" spans="1:30" x14ac:dyDescent="0.3">
      <c r="A239" t="s">
        <v>37</v>
      </c>
      <c r="B239" t="s">
        <v>30</v>
      </c>
      <c r="C239">
        <v>1</v>
      </c>
      <c r="D239">
        <v>0</v>
      </c>
      <c r="E239">
        <v>5</v>
      </c>
      <c r="F239">
        <v>6.0151462999999996</v>
      </c>
      <c r="G239">
        <v>0.56696557999999997</v>
      </c>
      <c r="H239">
        <v>2.9937885</v>
      </c>
      <c r="I239">
        <v>9.1865635000000001</v>
      </c>
      <c r="J239">
        <v>6.9080129000000001</v>
      </c>
      <c r="K239">
        <v>7.8282126999999999</v>
      </c>
      <c r="L239">
        <v>1</v>
      </c>
      <c r="M239">
        <v>0</v>
      </c>
      <c r="N239">
        <v>0</v>
      </c>
      <c r="O239">
        <v>0</v>
      </c>
      <c r="P239">
        <v>6</v>
      </c>
      <c r="Q239">
        <v>0</v>
      </c>
      <c r="R239">
        <v>0</v>
      </c>
      <c r="S239">
        <v>0</v>
      </c>
      <c r="T239">
        <v>7</v>
      </c>
      <c r="U239">
        <v>0</v>
      </c>
      <c r="V239">
        <v>0.14285714299999999</v>
      </c>
      <c r="W239">
        <v>0</v>
      </c>
      <c r="X239">
        <v>0</v>
      </c>
      <c r="Y239">
        <v>0</v>
      </c>
      <c r="Z239">
        <v>0.85714285700000004</v>
      </c>
      <c r="AA239">
        <v>0</v>
      </c>
      <c r="AB239">
        <v>0</v>
      </c>
      <c r="AC239">
        <v>0</v>
      </c>
      <c r="AD239">
        <f t="shared" si="3"/>
        <v>0</v>
      </c>
    </row>
    <row r="240" spans="1:30" x14ac:dyDescent="0.3">
      <c r="A240" t="s">
        <v>37</v>
      </c>
      <c r="B240" t="s">
        <v>30</v>
      </c>
      <c r="C240">
        <v>-99999</v>
      </c>
      <c r="D240">
        <v>0</v>
      </c>
      <c r="E240">
        <v>6</v>
      </c>
      <c r="F240">
        <v>6.0151462999999996</v>
      </c>
      <c r="G240">
        <v>0.56696557999999997</v>
      </c>
      <c r="H240">
        <v>2.9937885</v>
      </c>
      <c r="I240">
        <v>9.1865635000000001</v>
      </c>
      <c r="J240">
        <v>6.9080129000000001</v>
      </c>
      <c r="K240">
        <v>7.8282126999999999</v>
      </c>
      <c r="L240">
        <v>1</v>
      </c>
      <c r="M240">
        <v>0</v>
      </c>
      <c r="N240">
        <v>0</v>
      </c>
      <c r="O240">
        <v>0</v>
      </c>
      <c r="P240">
        <v>6</v>
      </c>
      <c r="Q240">
        <v>0</v>
      </c>
      <c r="R240">
        <v>0</v>
      </c>
      <c r="S240">
        <v>0</v>
      </c>
      <c r="T240">
        <v>7</v>
      </c>
      <c r="U240">
        <v>0</v>
      </c>
      <c r="V240">
        <v>0.14285714299999999</v>
      </c>
      <c r="W240">
        <v>0</v>
      </c>
      <c r="X240">
        <v>0</v>
      </c>
      <c r="Y240">
        <v>0</v>
      </c>
      <c r="Z240">
        <v>0.85714285700000004</v>
      </c>
      <c r="AA240">
        <v>0</v>
      </c>
      <c r="AB240">
        <v>0</v>
      </c>
      <c r="AC240">
        <v>0</v>
      </c>
      <c r="AD240">
        <f t="shared" si="3"/>
        <v>0</v>
      </c>
    </row>
    <row r="241" spans="1:30" x14ac:dyDescent="0.3">
      <c r="A241" t="s">
        <v>37</v>
      </c>
      <c r="B241" t="s">
        <v>30</v>
      </c>
      <c r="C241">
        <v>-99999</v>
      </c>
      <c r="D241">
        <v>0</v>
      </c>
      <c r="E241">
        <v>7</v>
      </c>
      <c r="F241">
        <v>6.0151462999999996</v>
      </c>
      <c r="G241">
        <v>0.56696557999999997</v>
      </c>
      <c r="H241">
        <v>2.9937885</v>
      </c>
      <c r="I241">
        <v>9.1865635000000001</v>
      </c>
      <c r="J241">
        <v>6.9080129000000001</v>
      </c>
      <c r="K241">
        <v>7.8282126999999999</v>
      </c>
      <c r="L241">
        <v>1</v>
      </c>
      <c r="M241">
        <v>0</v>
      </c>
      <c r="N241">
        <v>0</v>
      </c>
      <c r="O241">
        <v>0</v>
      </c>
      <c r="P241">
        <v>6</v>
      </c>
      <c r="Q241">
        <v>0</v>
      </c>
      <c r="R241">
        <v>0</v>
      </c>
      <c r="S241">
        <v>0</v>
      </c>
      <c r="T241">
        <v>7</v>
      </c>
      <c r="U241">
        <v>0</v>
      </c>
      <c r="V241">
        <v>0.14285714299999999</v>
      </c>
      <c r="W241">
        <v>0</v>
      </c>
      <c r="X241">
        <v>0</v>
      </c>
      <c r="Y241">
        <v>0</v>
      </c>
      <c r="Z241">
        <v>0.85714285700000004</v>
      </c>
      <c r="AA241">
        <v>0</v>
      </c>
      <c r="AB241">
        <v>0</v>
      </c>
      <c r="AC241">
        <v>0</v>
      </c>
      <c r="AD241">
        <f t="shared" si="3"/>
        <v>0</v>
      </c>
    </row>
    <row r="242" spans="1:30" x14ac:dyDescent="0.3">
      <c r="A242" t="s">
        <v>38</v>
      </c>
      <c r="B242" t="s">
        <v>27</v>
      </c>
      <c r="C242">
        <v>568</v>
      </c>
      <c r="D242">
        <v>1.0017605633802817</v>
      </c>
      <c r="E242">
        <v>3</v>
      </c>
      <c r="F242">
        <v>6.2632307999999997</v>
      </c>
      <c r="G242">
        <v>0.77097987999999995</v>
      </c>
      <c r="H242">
        <v>4.0917931000000003</v>
      </c>
      <c r="I242">
        <v>5.4519371999999997</v>
      </c>
      <c r="J242">
        <v>2.4798608</v>
      </c>
      <c r="K242">
        <v>3.8557076000000001</v>
      </c>
      <c r="L242">
        <v>4</v>
      </c>
      <c r="M242">
        <v>1</v>
      </c>
      <c r="N242">
        <v>1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7</v>
      </c>
      <c r="U242">
        <v>0</v>
      </c>
      <c r="V242">
        <v>0.571428571</v>
      </c>
      <c r="W242">
        <v>0.14285714299999999</v>
      </c>
      <c r="X242">
        <v>0.14285714299999999</v>
      </c>
      <c r="Y242">
        <v>0</v>
      </c>
      <c r="Z242">
        <v>0</v>
      </c>
      <c r="AA242">
        <v>0.14285714299999999</v>
      </c>
      <c r="AB242">
        <v>0</v>
      </c>
      <c r="AC242">
        <v>0</v>
      </c>
      <c r="AD242">
        <f t="shared" si="3"/>
        <v>0</v>
      </c>
    </row>
    <row r="243" spans="1:30" x14ac:dyDescent="0.3">
      <c r="A243" t="s">
        <v>38</v>
      </c>
      <c r="B243" t="s">
        <v>27</v>
      </c>
      <c r="C243">
        <v>554</v>
      </c>
      <c r="D243">
        <v>1.0270758122743684</v>
      </c>
      <c r="E243">
        <v>4</v>
      </c>
      <c r="F243">
        <v>6.2632307999999997</v>
      </c>
      <c r="G243">
        <v>0.77097987999999995</v>
      </c>
      <c r="H243">
        <v>4.0917931000000003</v>
      </c>
      <c r="I243">
        <v>5.4519371999999997</v>
      </c>
      <c r="J243">
        <v>2.4798608</v>
      </c>
      <c r="K243">
        <v>3.8557076000000001</v>
      </c>
      <c r="L243">
        <v>4</v>
      </c>
      <c r="M243">
        <v>1</v>
      </c>
      <c r="N243">
        <v>1</v>
      </c>
      <c r="O243">
        <v>0</v>
      </c>
      <c r="P243">
        <v>0</v>
      </c>
      <c r="Q243">
        <v>1</v>
      </c>
      <c r="R243">
        <v>0</v>
      </c>
      <c r="S243">
        <v>0</v>
      </c>
      <c r="T243">
        <v>7</v>
      </c>
      <c r="U243">
        <v>0</v>
      </c>
      <c r="V243">
        <v>0.571428571</v>
      </c>
      <c r="W243">
        <v>0.14285714299999999</v>
      </c>
      <c r="X243">
        <v>0.14285714299999999</v>
      </c>
      <c r="Y243">
        <v>0</v>
      </c>
      <c r="Z243">
        <v>0</v>
      </c>
      <c r="AA243">
        <v>0.14285714299999999</v>
      </c>
      <c r="AB243">
        <v>0</v>
      </c>
      <c r="AC243">
        <v>0</v>
      </c>
      <c r="AD243">
        <f t="shared" si="3"/>
        <v>0</v>
      </c>
    </row>
    <row r="244" spans="1:30" x14ac:dyDescent="0.3">
      <c r="A244" t="s">
        <v>38</v>
      </c>
      <c r="B244" t="s">
        <v>27</v>
      </c>
      <c r="C244">
        <v>354</v>
      </c>
      <c r="D244">
        <v>0.94014497388338136</v>
      </c>
      <c r="E244">
        <v>5</v>
      </c>
      <c r="F244">
        <v>6.2632307999999997</v>
      </c>
      <c r="G244">
        <v>0.77097987999999995</v>
      </c>
      <c r="H244">
        <v>4.0917931000000003</v>
      </c>
      <c r="I244">
        <v>5.4519371999999997</v>
      </c>
      <c r="J244">
        <v>2.4798608</v>
      </c>
      <c r="K244">
        <v>3.8557076000000001</v>
      </c>
      <c r="L244">
        <v>4</v>
      </c>
      <c r="M244">
        <v>1</v>
      </c>
      <c r="N244">
        <v>1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7</v>
      </c>
      <c r="U244">
        <v>0</v>
      </c>
      <c r="V244">
        <v>0.571428571</v>
      </c>
      <c r="W244">
        <v>0.14285714299999999</v>
      </c>
      <c r="X244">
        <v>0.14285714299999999</v>
      </c>
      <c r="Y244">
        <v>0</v>
      </c>
      <c r="Z244">
        <v>0</v>
      </c>
      <c r="AA244">
        <v>0.14285714299999999</v>
      </c>
      <c r="AB244">
        <v>0</v>
      </c>
      <c r="AC244">
        <v>0</v>
      </c>
      <c r="AD244">
        <f t="shared" si="3"/>
        <v>0</v>
      </c>
    </row>
    <row r="245" spans="1:30" x14ac:dyDescent="0.3">
      <c r="A245" t="s">
        <v>38</v>
      </c>
      <c r="B245" t="s">
        <v>27</v>
      </c>
      <c r="C245">
        <v>37</v>
      </c>
      <c r="D245">
        <v>0.58031616522182572</v>
      </c>
      <c r="E245">
        <v>6</v>
      </c>
      <c r="F245">
        <v>6.2632307999999997</v>
      </c>
      <c r="G245">
        <v>0.77097987999999995</v>
      </c>
      <c r="H245">
        <v>4.0917931000000003</v>
      </c>
      <c r="I245">
        <v>5.4519371999999997</v>
      </c>
      <c r="J245">
        <v>2.4798608</v>
      </c>
      <c r="K245">
        <v>3.8557076000000001</v>
      </c>
      <c r="L245">
        <v>4</v>
      </c>
      <c r="M245">
        <v>1</v>
      </c>
      <c r="N245">
        <v>1</v>
      </c>
      <c r="O245">
        <v>0</v>
      </c>
      <c r="P245">
        <v>0</v>
      </c>
      <c r="Q245">
        <v>1</v>
      </c>
      <c r="R245">
        <v>0</v>
      </c>
      <c r="S245">
        <v>0</v>
      </c>
      <c r="T245">
        <v>7</v>
      </c>
      <c r="U245">
        <v>0</v>
      </c>
      <c r="V245">
        <v>0.571428571</v>
      </c>
      <c r="W245">
        <v>0.14285714299999999</v>
      </c>
      <c r="X245">
        <v>0.14285714299999999</v>
      </c>
      <c r="Y245">
        <v>0</v>
      </c>
      <c r="Z245">
        <v>0</v>
      </c>
      <c r="AA245">
        <v>0.14285714299999999</v>
      </c>
      <c r="AB245">
        <v>0</v>
      </c>
      <c r="AC245">
        <v>0</v>
      </c>
      <c r="AD245">
        <f t="shared" si="3"/>
        <v>0</v>
      </c>
    </row>
    <row r="246" spans="1:30" x14ac:dyDescent="0.3">
      <c r="A246" t="s">
        <v>38</v>
      </c>
      <c r="B246" t="s">
        <v>27</v>
      </c>
      <c r="C246">
        <v>1</v>
      </c>
      <c r="D246">
        <v>0</v>
      </c>
      <c r="E246">
        <v>7</v>
      </c>
      <c r="F246">
        <v>6.2632307999999997</v>
      </c>
      <c r="G246">
        <v>0.77097987999999995</v>
      </c>
      <c r="H246">
        <v>4.0917931000000003</v>
      </c>
      <c r="I246">
        <v>5.4519371999999997</v>
      </c>
      <c r="J246">
        <v>2.4798608</v>
      </c>
      <c r="K246">
        <v>3.8557076000000001</v>
      </c>
      <c r="L246">
        <v>4</v>
      </c>
      <c r="M246">
        <v>1</v>
      </c>
      <c r="N246">
        <v>1</v>
      </c>
      <c r="O246">
        <v>0</v>
      </c>
      <c r="P246">
        <v>0</v>
      </c>
      <c r="Q246">
        <v>1</v>
      </c>
      <c r="R246">
        <v>0</v>
      </c>
      <c r="S246">
        <v>0</v>
      </c>
      <c r="T246">
        <v>7</v>
      </c>
      <c r="U246">
        <v>0</v>
      </c>
      <c r="V246">
        <v>0.571428571</v>
      </c>
      <c r="W246">
        <v>0.14285714299999999</v>
      </c>
      <c r="X246">
        <v>0.14285714299999999</v>
      </c>
      <c r="Y246">
        <v>0</v>
      </c>
      <c r="Z246">
        <v>0</v>
      </c>
      <c r="AA246">
        <v>0.14285714299999999</v>
      </c>
      <c r="AB246">
        <v>0</v>
      </c>
      <c r="AC246">
        <v>0</v>
      </c>
      <c r="AD246">
        <f t="shared" si="3"/>
        <v>0</v>
      </c>
    </row>
    <row r="247" spans="1:30" x14ac:dyDescent="0.3">
      <c r="A247" t="s">
        <v>38</v>
      </c>
      <c r="B247" t="s">
        <v>28</v>
      </c>
      <c r="C247">
        <v>79</v>
      </c>
      <c r="D247">
        <v>0.54358729400525441</v>
      </c>
      <c r="E247">
        <v>3</v>
      </c>
      <c r="F247">
        <v>11.773111</v>
      </c>
      <c r="G247">
        <v>0.55587226000000001</v>
      </c>
      <c r="H247">
        <v>4.7066236000000004</v>
      </c>
      <c r="I247">
        <v>7.2324171000000002</v>
      </c>
      <c r="J247">
        <v>3.5477997999999999</v>
      </c>
      <c r="K247">
        <v>4.5780721</v>
      </c>
      <c r="L247">
        <v>1</v>
      </c>
      <c r="M247">
        <v>1</v>
      </c>
      <c r="N247">
        <v>0</v>
      </c>
      <c r="O247">
        <v>0</v>
      </c>
      <c r="P247">
        <v>5</v>
      </c>
      <c r="Q247">
        <v>0</v>
      </c>
      <c r="R247">
        <v>0</v>
      </c>
      <c r="S247">
        <v>0</v>
      </c>
      <c r="T247">
        <v>7</v>
      </c>
      <c r="U247">
        <v>0</v>
      </c>
      <c r="V247">
        <v>0.14285714299999999</v>
      </c>
      <c r="W247">
        <v>0.14285714299999999</v>
      </c>
      <c r="X247">
        <v>0</v>
      </c>
      <c r="Y247">
        <v>0</v>
      </c>
      <c r="Z247">
        <v>0.71428571399999996</v>
      </c>
      <c r="AA247">
        <v>0</v>
      </c>
      <c r="AB247">
        <v>0</v>
      </c>
      <c r="AC247">
        <v>0</v>
      </c>
      <c r="AD247">
        <f t="shared" si="3"/>
        <v>0</v>
      </c>
    </row>
    <row r="248" spans="1:30" x14ac:dyDescent="0.3">
      <c r="A248" t="s">
        <v>38</v>
      </c>
      <c r="B248" t="s">
        <v>28</v>
      </c>
      <c r="C248">
        <v>9</v>
      </c>
      <c r="D248">
        <v>0</v>
      </c>
      <c r="E248">
        <v>4</v>
      </c>
      <c r="F248">
        <v>11.773111</v>
      </c>
      <c r="G248">
        <v>0.55587226000000001</v>
      </c>
      <c r="H248">
        <v>4.7066236000000004</v>
      </c>
      <c r="I248">
        <v>7.2324171000000002</v>
      </c>
      <c r="J248">
        <v>3.5477997999999999</v>
      </c>
      <c r="K248">
        <v>4.5780721</v>
      </c>
      <c r="L248">
        <v>1</v>
      </c>
      <c r="M248">
        <v>1</v>
      </c>
      <c r="N248">
        <v>0</v>
      </c>
      <c r="O248">
        <v>0</v>
      </c>
      <c r="P248">
        <v>5</v>
      </c>
      <c r="Q248">
        <v>0</v>
      </c>
      <c r="R248">
        <v>0</v>
      </c>
      <c r="S248">
        <v>0</v>
      </c>
      <c r="T248">
        <v>7</v>
      </c>
      <c r="U248">
        <v>0</v>
      </c>
      <c r="V248">
        <v>0.14285714299999999</v>
      </c>
      <c r="W248">
        <v>0.14285714299999999</v>
      </c>
      <c r="X248">
        <v>0</v>
      </c>
      <c r="Y248">
        <v>0</v>
      </c>
      <c r="Z248">
        <v>0.71428571399999996</v>
      </c>
      <c r="AA248">
        <v>0</v>
      </c>
      <c r="AB248">
        <v>0</v>
      </c>
      <c r="AC248">
        <v>0</v>
      </c>
      <c r="AD248">
        <f t="shared" si="3"/>
        <v>0</v>
      </c>
    </row>
    <row r="249" spans="1:30" x14ac:dyDescent="0.3">
      <c r="A249" t="s">
        <v>38</v>
      </c>
      <c r="B249" t="s">
        <v>28</v>
      </c>
      <c r="C249">
        <v>-99999</v>
      </c>
      <c r="D249">
        <v>0</v>
      </c>
      <c r="E249">
        <v>5</v>
      </c>
      <c r="F249">
        <v>11.773111</v>
      </c>
      <c r="G249">
        <v>0.55587226000000001</v>
      </c>
      <c r="H249">
        <v>4.7066236000000004</v>
      </c>
      <c r="I249">
        <v>7.2324171000000002</v>
      </c>
      <c r="J249">
        <v>3.5477997999999999</v>
      </c>
      <c r="K249">
        <v>4.5780721</v>
      </c>
      <c r="L249">
        <v>1</v>
      </c>
      <c r="M249">
        <v>1</v>
      </c>
      <c r="N249">
        <v>0</v>
      </c>
      <c r="O249">
        <v>0</v>
      </c>
      <c r="P249">
        <v>5</v>
      </c>
      <c r="Q249">
        <v>0</v>
      </c>
      <c r="R249">
        <v>0</v>
      </c>
      <c r="S249">
        <v>0</v>
      </c>
      <c r="T249">
        <v>7</v>
      </c>
      <c r="U249">
        <v>0</v>
      </c>
      <c r="V249">
        <v>0.14285714299999999</v>
      </c>
      <c r="W249">
        <v>0.14285714299999999</v>
      </c>
      <c r="X249">
        <v>0</v>
      </c>
      <c r="Y249">
        <v>0</v>
      </c>
      <c r="Z249">
        <v>0.71428571399999996</v>
      </c>
      <c r="AA249">
        <v>0</v>
      </c>
      <c r="AB249">
        <v>0</v>
      </c>
      <c r="AC249">
        <v>0</v>
      </c>
      <c r="AD249">
        <f t="shared" si="3"/>
        <v>0</v>
      </c>
    </row>
    <row r="250" spans="1:30" x14ac:dyDescent="0.3">
      <c r="A250" t="s">
        <v>38</v>
      </c>
      <c r="B250" t="s">
        <v>28</v>
      </c>
      <c r="C250">
        <v>-99999</v>
      </c>
      <c r="D250">
        <v>0</v>
      </c>
      <c r="E250">
        <v>6</v>
      </c>
      <c r="F250">
        <v>11.773111</v>
      </c>
      <c r="G250">
        <v>0.55587226000000001</v>
      </c>
      <c r="H250">
        <v>4.7066236000000004</v>
      </c>
      <c r="I250">
        <v>7.2324171000000002</v>
      </c>
      <c r="J250">
        <v>3.5477997999999999</v>
      </c>
      <c r="K250">
        <v>4.5780721</v>
      </c>
      <c r="L250">
        <v>1</v>
      </c>
      <c r="M250">
        <v>1</v>
      </c>
      <c r="N250">
        <v>0</v>
      </c>
      <c r="O250">
        <v>0</v>
      </c>
      <c r="P250">
        <v>5</v>
      </c>
      <c r="Q250">
        <v>0</v>
      </c>
      <c r="R250">
        <v>0</v>
      </c>
      <c r="S250">
        <v>0</v>
      </c>
      <c r="T250">
        <v>7</v>
      </c>
      <c r="U250">
        <v>0</v>
      </c>
      <c r="V250">
        <v>0.14285714299999999</v>
      </c>
      <c r="W250">
        <v>0.14285714299999999</v>
      </c>
      <c r="X250">
        <v>0</v>
      </c>
      <c r="Y250">
        <v>0</v>
      </c>
      <c r="Z250">
        <v>0.71428571399999996</v>
      </c>
      <c r="AA250">
        <v>0</v>
      </c>
      <c r="AB250">
        <v>0</v>
      </c>
      <c r="AC250">
        <v>0</v>
      </c>
      <c r="AD250">
        <f t="shared" si="3"/>
        <v>0</v>
      </c>
    </row>
    <row r="251" spans="1:30" x14ac:dyDescent="0.3">
      <c r="A251" t="s">
        <v>38</v>
      </c>
      <c r="B251" t="s">
        <v>28</v>
      </c>
      <c r="C251">
        <v>-99999</v>
      </c>
      <c r="D251">
        <v>0</v>
      </c>
      <c r="E251">
        <v>7</v>
      </c>
      <c r="F251">
        <v>11.773111</v>
      </c>
      <c r="G251">
        <v>0.55587226000000001</v>
      </c>
      <c r="H251">
        <v>4.7066236000000004</v>
      </c>
      <c r="I251">
        <v>7.2324171000000002</v>
      </c>
      <c r="J251">
        <v>3.5477997999999999</v>
      </c>
      <c r="K251">
        <v>4.5780721</v>
      </c>
      <c r="L251">
        <v>1</v>
      </c>
      <c r="M251">
        <v>1</v>
      </c>
      <c r="N251">
        <v>0</v>
      </c>
      <c r="O251">
        <v>0</v>
      </c>
      <c r="P251">
        <v>5</v>
      </c>
      <c r="Q251">
        <v>0</v>
      </c>
      <c r="R251">
        <v>0</v>
      </c>
      <c r="S251">
        <v>0</v>
      </c>
      <c r="T251">
        <v>7</v>
      </c>
      <c r="U251">
        <v>0</v>
      </c>
      <c r="V251">
        <v>0.14285714299999999</v>
      </c>
      <c r="W251">
        <v>0.14285714299999999</v>
      </c>
      <c r="X251">
        <v>0</v>
      </c>
      <c r="Y251">
        <v>0</v>
      </c>
      <c r="Z251">
        <v>0.71428571399999996</v>
      </c>
      <c r="AA251">
        <v>0</v>
      </c>
      <c r="AB251">
        <v>0</v>
      </c>
      <c r="AC251">
        <v>0</v>
      </c>
      <c r="AD251">
        <f t="shared" si="3"/>
        <v>0</v>
      </c>
    </row>
    <row r="252" spans="1:30" x14ac:dyDescent="0.3">
      <c r="A252" t="s">
        <v>38</v>
      </c>
      <c r="B252" t="s">
        <v>29</v>
      </c>
      <c r="C252">
        <v>568</v>
      </c>
      <c r="D252">
        <v>1.0017605633802817</v>
      </c>
      <c r="E252">
        <v>3</v>
      </c>
      <c r="F252">
        <v>7.5264053000000004</v>
      </c>
      <c r="G252">
        <v>1.1091302999999999</v>
      </c>
      <c r="H252">
        <v>4.4118433000000001</v>
      </c>
      <c r="I252">
        <v>5.4519371999999997</v>
      </c>
      <c r="J252">
        <v>2.7437242999999998</v>
      </c>
      <c r="K252">
        <v>4.1624064000000001</v>
      </c>
      <c r="L252">
        <v>5</v>
      </c>
      <c r="M252">
        <v>1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7</v>
      </c>
      <c r="U252">
        <v>0</v>
      </c>
      <c r="V252">
        <v>0.71428571399999996</v>
      </c>
      <c r="W252">
        <v>0.14285714299999999</v>
      </c>
      <c r="X252">
        <v>0.14285714299999999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f t="shared" si="3"/>
        <v>0</v>
      </c>
    </row>
    <row r="253" spans="1:30" x14ac:dyDescent="0.3">
      <c r="A253" t="s">
        <v>38</v>
      </c>
      <c r="B253" t="s">
        <v>29</v>
      </c>
      <c r="C253">
        <v>544</v>
      </c>
      <c r="D253">
        <v>1.0262208657047724</v>
      </c>
      <c r="E253">
        <v>4</v>
      </c>
      <c r="F253">
        <v>7.5264053000000004</v>
      </c>
      <c r="G253">
        <v>1.1091302999999999</v>
      </c>
      <c r="H253">
        <v>4.4118433000000001</v>
      </c>
      <c r="I253">
        <v>5.4519371999999997</v>
      </c>
      <c r="J253">
        <v>2.7437242999999998</v>
      </c>
      <c r="K253">
        <v>4.1624064000000001</v>
      </c>
      <c r="L253">
        <v>5</v>
      </c>
      <c r="M253">
        <v>1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7</v>
      </c>
      <c r="U253">
        <v>0</v>
      </c>
      <c r="V253">
        <v>0.71428571399999996</v>
      </c>
      <c r="W253">
        <v>0.14285714299999999</v>
      </c>
      <c r="X253">
        <v>0.14285714299999999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f t="shared" si="3"/>
        <v>0</v>
      </c>
    </row>
    <row r="254" spans="1:30" x14ac:dyDescent="0.3">
      <c r="A254" t="s">
        <v>38</v>
      </c>
      <c r="B254" t="s">
        <v>29</v>
      </c>
      <c r="C254">
        <v>299</v>
      </c>
      <c r="D254">
        <v>0.89764624219095102</v>
      </c>
      <c r="E254">
        <v>5</v>
      </c>
      <c r="F254">
        <v>7.5264053000000004</v>
      </c>
      <c r="G254">
        <v>1.1091302999999999</v>
      </c>
      <c r="H254">
        <v>4.4118433000000001</v>
      </c>
      <c r="I254">
        <v>5.4519371999999997</v>
      </c>
      <c r="J254">
        <v>2.7437242999999998</v>
      </c>
      <c r="K254">
        <v>4.1624064000000001</v>
      </c>
      <c r="L254">
        <v>5</v>
      </c>
      <c r="M254">
        <v>1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7</v>
      </c>
      <c r="U254">
        <v>0</v>
      </c>
      <c r="V254">
        <v>0.71428571399999996</v>
      </c>
      <c r="W254">
        <v>0.14285714299999999</v>
      </c>
      <c r="X254">
        <v>0.14285714299999999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f t="shared" si="3"/>
        <v>0</v>
      </c>
    </row>
    <row r="255" spans="1:30" x14ac:dyDescent="0.3">
      <c r="A255" t="s">
        <v>38</v>
      </c>
      <c r="B255" t="s">
        <v>29</v>
      </c>
      <c r="C255">
        <v>39</v>
      </c>
      <c r="D255">
        <v>0.27527818093855833</v>
      </c>
      <c r="E255">
        <v>6</v>
      </c>
      <c r="F255">
        <v>7.5264053000000004</v>
      </c>
      <c r="G255">
        <v>1.1091302999999999</v>
      </c>
      <c r="H255">
        <v>4.4118433000000001</v>
      </c>
      <c r="I255">
        <v>5.4519371999999997</v>
      </c>
      <c r="J255">
        <v>2.7437242999999998</v>
      </c>
      <c r="K255">
        <v>4.1624064000000001</v>
      </c>
      <c r="L255">
        <v>5</v>
      </c>
      <c r="M255">
        <v>1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7</v>
      </c>
      <c r="U255">
        <v>0</v>
      </c>
      <c r="V255">
        <v>0.71428571399999996</v>
      </c>
      <c r="W255">
        <v>0.14285714299999999</v>
      </c>
      <c r="X255">
        <v>0.14285714299999999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f t="shared" si="3"/>
        <v>0</v>
      </c>
    </row>
    <row r="256" spans="1:30" x14ac:dyDescent="0.3">
      <c r="A256" t="s">
        <v>38</v>
      </c>
      <c r="B256" t="s">
        <v>29</v>
      </c>
      <c r="C256">
        <v>-99999</v>
      </c>
      <c r="D256">
        <v>0</v>
      </c>
      <c r="E256">
        <v>7</v>
      </c>
      <c r="F256">
        <v>7.5264053000000004</v>
      </c>
      <c r="G256">
        <v>1.1091302999999999</v>
      </c>
      <c r="H256">
        <v>4.4118433000000001</v>
      </c>
      <c r="I256">
        <v>5.4519371999999997</v>
      </c>
      <c r="J256">
        <v>2.7437242999999998</v>
      </c>
      <c r="K256">
        <v>4.1624064000000001</v>
      </c>
      <c r="L256">
        <v>5</v>
      </c>
      <c r="M256">
        <v>1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7</v>
      </c>
      <c r="U256">
        <v>0</v>
      </c>
      <c r="V256">
        <v>0.71428571399999996</v>
      </c>
      <c r="W256">
        <v>0.14285714299999999</v>
      </c>
      <c r="X256">
        <v>0.14285714299999999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f t="shared" si="3"/>
        <v>0</v>
      </c>
    </row>
    <row r="257" spans="1:30" x14ac:dyDescent="0.3">
      <c r="A257" t="s">
        <v>38</v>
      </c>
      <c r="B257" t="s">
        <v>30</v>
      </c>
      <c r="C257">
        <v>10</v>
      </c>
      <c r="D257">
        <v>0</v>
      </c>
      <c r="E257">
        <v>3</v>
      </c>
      <c r="F257">
        <v>11.185822</v>
      </c>
      <c r="G257">
        <v>0.51705027000000003</v>
      </c>
      <c r="H257">
        <v>6.9214067000000004</v>
      </c>
      <c r="I257">
        <v>7.7132753999999997</v>
      </c>
      <c r="J257">
        <v>3.6711664000000002</v>
      </c>
      <c r="K257">
        <v>5.6395140000000001</v>
      </c>
      <c r="L257">
        <v>0</v>
      </c>
      <c r="M257">
        <v>0</v>
      </c>
      <c r="N257">
        <v>0</v>
      </c>
      <c r="O257">
        <v>0</v>
      </c>
      <c r="P257">
        <v>3</v>
      </c>
      <c r="Q257">
        <v>0</v>
      </c>
      <c r="R257">
        <v>4</v>
      </c>
      <c r="S257">
        <v>0</v>
      </c>
      <c r="T257">
        <v>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0.428571429</v>
      </c>
      <c r="AA257">
        <v>0</v>
      </c>
      <c r="AB257">
        <v>0.571428571</v>
      </c>
      <c r="AC257">
        <v>0</v>
      </c>
      <c r="AD257">
        <f t="shared" si="3"/>
        <v>0</v>
      </c>
    </row>
    <row r="258" spans="1:30" x14ac:dyDescent="0.3">
      <c r="A258" t="s">
        <v>38</v>
      </c>
      <c r="B258" t="s">
        <v>30</v>
      </c>
      <c r="C258">
        <v>-99999</v>
      </c>
      <c r="D258">
        <v>0</v>
      </c>
      <c r="E258">
        <v>4</v>
      </c>
      <c r="F258">
        <v>11.185822</v>
      </c>
      <c r="G258">
        <v>0.51705027000000003</v>
      </c>
      <c r="H258">
        <v>6.9214067000000004</v>
      </c>
      <c r="I258">
        <v>7.7132753999999997</v>
      </c>
      <c r="J258">
        <v>3.6711664000000002</v>
      </c>
      <c r="K258">
        <v>5.6395140000000001</v>
      </c>
      <c r="L258">
        <v>0</v>
      </c>
      <c r="M258">
        <v>0</v>
      </c>
      <c r="N258">
        <v>0</v>
      </c>
      <c r="O258">
        <v>0</v>
      </c>
      <c r="P258">
        <v>3</v>
      </c>
      <c r="Q258">
        <v>0</v>
      </c>
      <c r="R258">
        <v>4</v>
      </c>
      <c r="S258">
        <v>0</v>
      </c>
      <c r="T258">
        <v>7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0.428571429</v>
      </c>
      <c r="AA258">
        <v>0</v>
      </c>
      <c r="AB258">
        <v>0.571428571</v>
      </c>
      <c r="AC258">
        <v>0</v>
      </c>
      <c r="AD258">
        <f t="shared" si="3"/>
        <v>0</v>
      </c>
    </row>
    <row r="259" spans="1:30" x14ac:dyDescent="0.3">
      <c r="A259" t="s">
        <v>38</v>
      </c>
      <c r="B259" t="s">
        <v>30</v>
      </c>
      <c r="C259">
        <v>-99999</v>
      </c>
      <c r="D259">
        <v>0</v>
      </c>
      <c r="E259">
        <v>5</v>
      </c>
      <c r="F259">
        <v>11.185822</v>
      </c>
      <c r="G259">
        <v>0.51705027000000003</v>
      </c>
      <c r="H259">
        <v>6.9214067000000004</v>
      </c>
      <c r="I259">
        <v>7.7132753999999997</v>
      </c>
      <c r="J259">
        <v>3.6711664000000002</v>
      </c>
      <c r="K259">
        <v>5.6395140000000001</v>
      </c>
      <c r="L259">
        <v>0</v>
      </c>
      <c r="M259">
        <v>0</v>
      </c>
      <c r="N259">
        <v>0</v>
      </c>
      <c r="O259">
        <v>0</v>
      </c>
      <c r="P259">
        <v>3</v>
      </c>
      <c r="Q259">
        <v>0</v>
      </c>
      <c r="R259">
        <v>4</v>
      </c>
      <c r="S259">
        <v>0</v>
      </c>
      <c r="T259">
        <v>7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0.428571429</v>
      </c>
      <c r="AA259">
        <v>0</v>
      </c>
      <c r="AB259">
        <v>0.571428571</v>
      </c>
      <c r="AC259">
        <v>0</v>
      </c>
      <c r="AD259">
        <f t="shared" ref="AD259:AD261" si="4">IF(D259&gt;2, 1, 0)</f>
        <v>0</v>
      </c>
    </row>
    <row r="260" spans="1:30" x14ac:dyDescent="0.3">
      <c r="A260" t="s">
        <v>38</v>
      </c>
      <c r="B260" t="s">
        <v>30</v>
      </c>
      <c r="C260">
        <v>-99999</v>
      </c>
      <c r="D260">
        <v>0</v>
      </c>
      <c r="E260">
        <v>6</v>
      </c>
      <c r="F260">
        <v>11.185822</v>
      </c>
      <c r="G260">
        <v>0.51705027000000003</v>
      </c>
      <c r="H260">
        <v>6.9214067000000004</v>
      </c>
      <c r="I260">
        <v>7.7132753999999997</v>
      </c>
      <c r="J260">
        <v>3.6711664000000002</v>
      </c>
      <c r="K260">
        <v>5.6395140000000001</v>
      </c>
      <c r="L260">
        <v>0</v>
      </c>
      <c r="M260">
        <v>0</v>
      </c>
      <c r="N260">
        <v>0</v>
      </c>
      <c r="O260">
        <v>0</v>
      </c>
      <c r="P260">
        <v>3</v>
      </c>
      <c r="Q260">
        <v>0</v>
      </c>
      <c r="R260">
        <v>4</v>
      </c>
      <c r="S260">
        <v>0</v>
      </c>
      <c r="T260">
        <v>7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0.428571429</v>
      </c>
      <c r="AA260">
        <v>0</v>
      </c>
      <c r="AB260">
        <v>0.571428571</v>
      </c>
      <c r="AC260">
        <v>0</v>
      </c>
      <c r="AD260">
        <f t="shared" si="4"/>
        <v>0</v>
      </c>
    </row>
    <row r="261" spans="1:30" x14ac:dyDescent="0.3">
      <c r="A261" t="s">
        <v>38</v>
      </c>
      <c r="B261" t="s">
        <v>30</v>
      </c>
      <c r="C261">
        <v>-99999</v>
      </c>
      <c r="D261">
        <v>0</v>
      </c>
      <c r="E261">
        <v>7</v>
      </c>
      <c r="F261">
        <v>11.185822</v>
      </c>
      <c r="G261">
        <v>0.51705027000000003</v>
      </c>
      <c r="H261">
        <v>6.9214067000000004</v>
      </c>
      <c r="I261">
        <v>7.7132753999999997</v>
      </c>
      <c r="J261">
        <v>3.6711664000000002</v>
      </c>
      <c r="K261">
        <v>5.6395140000000001</v>
      </c>
      <c r="L261">
        <v>0</v>
      </c>
      <c r="M261">
        <v>0</v>
      </c>
      <c r="N261">
        <v>0</v>
      </c>
      <c r="O261">
        <v>0</v>
      </c>
      <c r="P261">
        <v>3</v>
      </c>
      <c r="Q261">
        <v>0</v>
      </c>
      <c r="R261">
        <v>4</v>
      </c>
      <c r="S261">
        <v>0</v>
      </c>
      <c r="T261">
        <v>7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0.428571429</v>
      </c>
      <c r="AA261">
        <v>0</v>
      </c>
      <c r="AB261">
        <v>0.571428571</v>
      </c>
      <c r="AC261">
        <v>0</v>
      </c>
      <c r="AD261">
        <f t="shared" si="4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F8A0-73A6-47A1-89E9-42886D134F1C}">
  <sheetPr codeName="Sheet25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567</v>
      </c>
      <c r="D2">
        <v>1.0035273368606701</v>
      </c>
    </row>
    <row r="3" spans="1:29" x14ac:dyDescent="0.3">
      <c r="A3" t="s">
        <v>53</v>
      </c>
      <c r="B3" t="s">
        <v>27</v>
      </c>
      <c r="C3">
        <v>429</v>
      </c>
      <c r="D3">
        <v>1.1426932042316658</v>
      </c>
    </row>
    <row r="4" spans="1:29" x14ac:dyDescent="0.3">
      <c r="A4" t="s">
        <v>53</v>
      </c>
      <c r="B4" t="s">
        <v>27</v>
      </c>
      <c r="C4">
        <v>61</v>
      </c>
      <c r="D4">
        <v>2.8701134930643128</v>
      </c>
    </row>
    <row r="5" spans="1:29" x14ac:dyDescent="0.3">
      <c r="A5" t="s">
        <v>53</v>
      </c>
      <c r="B5" t="s">
        <v>27</v>
      </c>
      <c r="C5">
        <v>2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492</v>
      </c>
      <c r="D7">
        <v>1.1031269543464666</v>
      </c>
    </row>
    <row r="8" spans="1:29" x14ac:dyDescent="0.3">
      <c r="A8" t="s">
        <v>53</v>
      </c>
      <c r="B8" t="s">
        <v>28</v>
      </c>
      <c r="C8">
        <v>26</v>
      </c>
      <c r="D8">
        <v>2.0201183431952665</v>
      </c>
    </row>
    <row r="9" spans="1:29" x14ac:dyDescent="0.3">
      <c r="A9" t="s">
        <v>53</v>
      </c>
      <c r="B9" t="s">
        <v>28</v>
      </c>
      <c r="C9">
        <v>0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561</v>
      </c>
      <c r="D12">
        <v>1.0142602495543671</v>
      </c>
    </row>
    <row r="13" spans="1:29" x14ac:dyDescent="0.3">
      <c r="A13" t="s">
        <v>53</v>
      </c>
      <c r="B13" t="s">
        <v>29</v>
      </c>
      <c r="C13">
        <v>343</v>
      </c>
      <c r="D13">
        <v>1.0718995290423863</v>
      </c>
    </row>
    <row r="14" spans="1:29" x14ac:dyDescent="0.3">
      <c r="A14" t="s">
        <v>53</v>
      </c>
      <c r="B14" t="s">
        <v>29</v>
      </c>
      <c r="C14">
        <v>32</v>
      </c>
      <c r="D14">
        <v>0.82067307692307701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47</v>
      </c>
      <c r="D17">
        <v>0.93126022913256956</v>
      </c>
    </row>
    <row r="18" spans="1:4" x14ac:dyDescent="0.3">
      <c r="A18" t="s">
        <v>53</v>
      </c>
      <c r="B18" t="s">
        <v>30</v>
      </c>
      <c r="C18">
        <v>17</v>
      </c>
      <c r="D18">
        <v>0.51493212669683264</v>
      </c>
    </row>
    <row r="19" spans="1:4" x14ac:dyDescent="0.3">
      <c r="A19" t="s">
        <v>53</v>
      </c>
      <c r="B19" t="s">
        <v>30</v>
      </c>
      <c r="C19">
        <v>3</v>
      </c>
      <c r="D19">
        <v>2.9179487179487178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566</v>
      </c>
      <c r="D22">
        <v>1.0053003533568905</v>
      </c>
    </row>
    <row r="23" spans="1:4" x14ac:dyDescent="0.3">
      <c r="A23" t="s">
        <v>53</v>
      </c>
      <c r="B23" t="s">
        <v>27</v>
      </c>
      <c r="C23">
        <v>543</v>
      </c>
      <c r="D23">
        <v>1.0356974602766713</v>
      </c>
    </row>
    <row r="24" spans="1:4" x14ac:dyDescent="0.3">
      <c r="A24" t="s">
        <v>53</v>
      </c>
      <c r="B24" t="s">
        <v>27</v>
      </c>
      <c r="C24">
        <v>265</v>
      </c>
      <c r="D24">
        <v>0.77397981570864416</v>
      </c>
    </row>
    <row r="25" spans="1:4" x14ac:dyDescent="0.3">
      <c r="A25" t="s">
        <v>53</v>
      </c>
      <c r="B25" t="s">
        <v>27</v>
      </c>
      <c r="C25">
        <v>9</v>
      </c>
      <c r="D25">
        <v>0.73514211886304914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531</v>
      </c>
      <c r="D27">
        <v>0.99680287303464288</v>
      </c>
    </row>
    <row r="28" spans="1:4" x14ac:dyDescent="0.3">
      <c r="A28" t="s">
        <v>26</v>
      </c>
      <c r="B28" t="s">
        <v>28</v>
      </c>
      <c r="C28">
        <v>173</v>
      </c>
      <c r="D28">
        <v>0.65015459067078918</v>
      </c>
    </row>
    <row r="29" spans="1:4" x14ac:dyDescent="0.3">
      <c r="A29" t="s">
        <v>26</v>
      </c>
      <c r="B29" t="s">
        <v>28</v>
      </c>
      <c r="C29">
        <v>2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542</v>
      </c>
      <c r="D32">
        <v>0.98877971337852921</v>
      </c>
    </row>
    <row r="33" spans="1:4" x14ac:dyDescent="0.3">
      <c r="A33" t="s">
        <v>26</v>
      </c>
      <c r="B33" t="s">
        <v>29</v>
      </c>
      <c r="C33">
        <v>268</v>
      </c>
      <c r="D33">
        <v>0.91344151336341561</v>
      </c>
    </row>
    <row r="34" spans="1:4" x14ac:dyDescent="0.3">
      <c r="A34" t="s">
        <v>26</v>
      </c>
      <c r="B34" t="s">
        <v>29</v>
      </c>
      <c r="C34">
        <v>29</v>
      </c>
      <c r="D34">
        <v>0.45629510825982361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21</v>
      </c>
      <c r="D37">
        <v>0.63012181616832774</v>
      </c>
    </row>
    <row r="38" spans="1:4" x14ac:dyDescent="0.3">
      <c r="A38" t="s">
        <v>26</v>
      </c>
      <c r="B38" t="s">
        <v>30</v>
      </c>
      <c r="C38">
        <v>4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567</v>
      </c>
      <c r="D42">
        <v>1.0035273368606701</v>
      </c>
    </row>
    <row r="43" spans="1:4" x14ac:dyDescent="0.3">
      <c r="A43" t="s">
        <v>54</v>
      </c>
      <c r="B43" t="s">
        <v>27</v>
      </c>
      <c r="C43">
        <v>445</v>
      </c>
      <c r="D43">
        <v>0.98129082832505887</v>
      </c>
    </row>
    <row r="44" spans="1:4" x14ac:dyDescent="0.3">
      <c r="A44" t="s">
        <v>54</v>
      </c>
      <c r="B44" t="s">
        <v>27</v>
      </c>
      <c r="C44">
        <v>60</v>
      </c>
      <c r="D44">
        <v>0.77189922480620166</v>
      </c>
    </row>
    <row r="45" spans="1:4" x14ac:dyDescent="0.3">
      <c r="A45" t="s">
        <v>54</v>
      </c>
      <c r="B45" t="s">
        <v>27</v>
      </c>
      <c r="C45">
        <v>2</v>
      </c>
      <c r="D45">
        <v>3.308139534883721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528</v>
      </c>
      <c r="D47">
        <v>0.98993569415081051</v>
      </c>
    </row>
    <row r="48" spans="1:4" x14ac:dyDescent="0.3">
      <c r="A48" t="s">
        <v>54</v>
      </c>
      <c r="B48" t="s">
        <v>28</v>
      </c>
      <c r="C48">
        <v>114</v>
      </c>
      <c r="D48">
        <v>0.87056303549571601</v>
      </c>
    </row>
    <row r="49" spans="1:4" x14ac:dyDescent="0.3">
      <c r="A49" t="s">
        <v>54</v>
      </c>
      <c r="B49" t="s">
        <v>28</v>
      </c>
      <c r="C49">
        <v>1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561</v>
      </c>
      <c r="D52">
        <v>1.0142602495543671</v>
      </c>
    </row>
    <row r="53" spans="1:4" x14ac:dyDescent="0.3">
      <c r="A53" t="s">
        <v>54</v>
      </c>
      <c r="B53" t="s">
        <v>29</v>
      </c>
      <c r="C53">
        <v>340</v>
      </c>
      <c r="D53">
        <v>0.8756839945280438</v>
      </c>
    </row>
    <row r="54" spans="1:4" x14ac:dyDescent="0.3">
      <c r="A54" t="s">
        <v>54</v>
      </c>
      <c r="B54" t="s">
        <v>29</v>
      </c>
      <c r="C54">
        <v>40</v>
      </c>
      <c r="D54">
        <v>0.49622093023255814</v>
      </c>
    </row>
    <row r="55" spans="1:4" x14ac:dyDescent="0.3">
      <c r="A55" t="s">
        <v>54</v>
      </c>
      <c r="B55" t="s">
        <v>29</v>
      </c>
      <c r="C55">
        <v>1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44</v>
      </c>
      <c r="D57">
        <v>0.60147991543340384</v>
      </c>
    </row>
    <row r="58" spans="1:4" x14ac:dyDescent="0.3">
      <c r="A58" t="s">
        <v>54</v>
      </c>
      <c r="B58" t="s">
        <v>30</v>
      </c>
      <c r="C58">
        <v>13</v>
      </c>
      <c r="D58">
        <v>1.0178890876565296</v>
      </c>
    </row>
    <row r="59" spans="1:4" x14ac:dyDescent="0.3">
      <c r="A59" t="s">
        <v>54</v>
      </c>
      <c r="B59" t="s">
        <v>30</v>
      </c>
      <c r="C59">
        <v>1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551</v>
      </c>
      <c r="D62">
        <v>0.78340321672194757</v>
      </c>
    </row>
    <row r="63" spans="1:4" x14ac:dyDescent="0.3">
      <c r="A63" t="s">
        <v>31</v>
      </c>
      <c r="B63" t="s">
        <v>27</v>
      </c>
      <c r="C63">
        <v>342</v>
      </c>
      <c r="D63">
        <v>0.63107481347045769</v>
      </c>
    </row>
    <row r="64" spans="1:4" x14ac:dyDescent="0.3">
      <c r="A64" t="s">
        <v>31</v>
      </c>
      <c r="B64" t="s">
        <v>27</v>
      </c>
      <c r="C64">
        <v>22</v>
      </c>
      <c r="D64">
        <v>1.7836990595611286</v>
      </c>
    </row>
    <row r="65" spans="1:4" x14ac:dyDescent="0.3">
      <c r="A65" t="s">
        <v>31</v>
      </c>
      <c r="B65" t="s">
        <v>27</v>
      </c>
      <c r="C65">
        <v>0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568</v>
      </c>
      <c r="D67">
        <v>1.0017605633802817</v>
      </c>
    </row>
    <row r="68" spans="1:4" x14ac:dyDescent="0.3">
      <c r="A68" t="s">
        <v>31</v>
      </c>
      <c r="B68" t="s">
        <v>28</v>
      </c>
      <c r="C68">
        <v>532</v>
      </c>
      <c r="D68">
        <v>0.95890588540316302</v>
      </c>
    </row>
    <row r="69" spans="1:4" x14ac:dyDescent="0.3">
      <c r="A69" t="s">
        <v>31</v>
      </c>
      <c r="B69" t="s">
        <v>28</v>
      </c>
      <c r="C69">
        <v>203</v>
      </c>
      <c r="D69">
        <v>0.77322914897231187</v>
      </c>
    </row>
    <row r="70" spans="1:4" x14ac:dyDescent="0.3">
      <c r="A70" t="s">
        <v>31</v>
      </c>
      <c r="B70" t="s">
        <v>28</v>
      </c>
      <c r="C70">
        <v>8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555</v>
      </c>
      <c r="D72">
        <v>0.91916744330537437</v>
      </c>
    </row>
    <row r="73" spans="1:4" x14ac:dyDescent="0.3">
      <c r="A73" t="s">
        <v>31</v>
      </c>
      <c r="B73" t="s">
        <v>29</v>
      </c>
      <c r="C73">
        <v>223</v>
      </c>
      <c r="D73">
        <v>0.70388124323488477</v>
      </c>
    </row>
    <row r="74" spans="1:4" x14ac:dyDescent="0.3">
      <c r="A74" t="s">
        <v>31</v>
      </c>
      <c r="B74" t="s">
        <v>29</v>
      </c>
      <c r="C74">
        <v>20</v>
      </c>
      <c r="D74">
        <v>0.98103448275862071</v>
      </c>
    </row>
    <row r="75" spans="1:4" x14ac:dyDescent="0.3">
      <c r="A75" t="s">
        <v>31</v>
      </c>
      <c r="B75" t="s">
        <v>29</v>
      </c>
      <c r="C75">
        <v>0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113</v>
      </c>
      <c r="D77">
        <v>0.52090326518156849</v>
      </c>
    </row>
    <row r="78" spans="1:4" x14ac:dyDescent="0.3">
      <c r="A78" t="s">
        <v>31</v>
      </c>
      <c r="B78" t="s">
        <v>30</v>
      </c>
      <c r="C78">
        <v>7</v>
      </c>
      <c r="D78">
        <v>0</v>
      </c>
    </row>
    <row r="79" spans="1:4" x14ac:dyDescent="0.3">
      <c r="A79" t="s">
        <v>31</v>
      </c>
      <c r="B79" t="s">
        <v>30</v>
      </c>
      <c r="C79">
        <v>0</v>
      </c>
      <c r="D79">
        <v>0</v>
      </c>
    </row>
    <row r="80" spans="1:4" x14ac:dyDescent="0.3">
      <c r="A80" t="s">
        <v>31</v>
      </c>
      <c r="B80" t="s">
        <v>30</v>
      </c>
      <c r="C80">
        <v>0</v>
      </c>
      <c r="D80">
        <v>0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568</v>
      </c>
      <c r="D82">
        <v>1.0017605633802817</v>
      </c>
    </row>
    <row r="83" spans="1:4" x14ac:dyDescent="0.3">
      <c r="A83" t="s">
        <v>55</v>
      </c>
      <c r="B83" t="s">
        <v>27</v>
      </c>
      <c r="C83">
        <v>561</v>
      </c>
      <c r="D83">
        <v>0.98256461675579332</v>
      </c>
    </row>
    <row r="84" spans="1:4" x14ac:dyDescent="0.3">
      <c r="A84" t="s">
        <v>55</v>
      </c>
      <c r="B84" t="s">
        <v>27</v>
      </c>
      <c r="C84">
        <v>336</v>
      </c>
      <c r="D84">
        <v>0.7938058035714286</v>
      </c>
    </row>
    <row r="85" spans="1:4" x14ac:dyDescent="0.3">
      <c r="A85" t="s">
        <v>55</v>
      </c>
      <c r="B85" t="s">
        <v>27</v>
      </c>
      <c r="C85">
        <v>19</v>
      </c>
      <c r="D85">
        <v>2.8075657894736841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57</v>
      </c>
      <c r="D87">
        <v>2.1836622807017543</v>
      </c>
    </row>
    <row r="88" spans="1:4" x14ac:dyDescent="0.3">
      <c r="A88" t="s">
        <v>55</v>
      </c>
      <c r="B88" t="s">
        <v>28</v>
      </c>
      <c r="C88">
        <v>6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475</v>
      </c>
      <c r="D93">
        <v>0.71125000000000005</v>
      </c>
    </row>
    <row r="94" spans="1:4" x14ac:dyDescent="0.3">
      <c r="A94" t="s">
        <v>55</v>
      </c>
      <c r="B94" t="s">
        <v>29</v>
      </c>
      <c r="C94">
        <v>132</v>
      </c>
      <c r="D94">
        <v>0.67353219696969702</v>
      </c>
    </row>
    <row r="95" spans="1:4" x14ac:dyDescent="0.3">
      <c r="A95" t="s">
        <v>55</v>
      </c>
      <c r="B95" t="s">
        <v>29</v>
      </c>
      <c r="C95">
        <v>6</v>
      </c>
      <c r="D95">
        <v>2.9635416666666665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19</v>
      </c>
      <c r="D97">
        <v>3.7434210526315788</v>
      </c>
    </row>
    <row r="98" spans="1:4" x14ac:dyDescent="0.3">
      <c r="A98" t="s">
        <v>55</v>
      </c>
      <c r="B98" t="s">
        <v>30</v>
      </c>
      <c r="C98">
        <v>2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492</v>
      </c>
      <c r="D102">
        <v>1.1296086216676122</v>
      </c>
    </row>
    <row r="103" spans="1:4" x14ac:dyDescent="0.3">
      <c r="A103" t="s">
        <v>32</v>
      </c>
      <c r="B103" t="s">
        <v>27</v>
      </c>
      <c r="C103">
        <v>64</v>
      </c>
      <c r="D103">
        <v>4.5486918604651168</v>
      </c>
    </row>
    <row r="104" spans="1:4" x14ac:dyDescent="0.3">
      <c r="A104" t="s">
        <v>32</v>
      </c>
      <c r="B104" t="s">
        <v>27</v>
      </c>
      <c r="C104">
        <v>1</v>
      </c>
      <c r="D104">
        <v>0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">
      <c r="A108" t="s">
        <v>32</v>
      </c>
      <c r="B108" t="s">
        <v>28</v>
      </c>
      <c r="C108">
        <v>0</v>
      </c>
      <c r="D108">
        <v>0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499</v>
      </c>
      <c r="D112">
        <v>1.1402805611222446</v>
      </c>
    </row>
    <row r="113" spans="1:4" x14ac:dyDescent="0.3">
      <c r="A113" t="s">
        <v>32</v>
      </c>
      <c r="B113" t="s">
        <v>29</v>
      </c>
      <c r="C113">
        <v>170</v>
      </c>
      <c r="D113">
        <v>2.3351573187414503</v>
      </c>
    </row>
    <row r="114" spans="1:4" x14ac:dyDescent="0.3">
      <c r="A114" t="s">
        <v>32</v>
      </c>
      <c r="B114" t="s">
        <v>29</v>
      </c>
      <c r="C114">
        <v>6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14</v>
      </c>
      <c r="D117">
        <v>0</v>
      </c>
    </row>
    <row r="118" spans="1:4" x14ac:dyDescent="0.3">
      <c r="A118" t="s">
        <v>32</v>
      </c>
      <c r="B118" t="s">
        <v>30</v>
      </c>
      <c r="C118">
        <v>0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530</v>
      </c>
      <c r="D123">
        <v>0.9472807991120975</v>
      </c>
    </row>
    <row r="124" spans="1:4" x14ac:dyDescent="0.3">
      <c r="A124" t="s">
        <v>33</v>
      </c>
      <c r="B124" t="s">
        <v>27</v>
      </c>
      <c r="C124">
        <v>165</v>
      </c>
      <c r="D124">
        <v>0.74379084967320253</v>
      </c>
    </row>
    <row r="125" spans="1:4" x14ac:dyDescent="0.3">
      <c r="A125" t="s">
        <v>33</v>
      </c>
      <c r="B125" t="s">
        <v>27</v>
      </c>
      <c r="C125">
        <v>24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">
      <c r="A128" t="s">
        <v>33</v>
      </c>
      <c r="B128" t="s">
        <v>28</v>
      </c>
      <c r="C128">
        <v>1</v>
      </c>
      <c r="D128">
        <v>0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543</v>
      </c>
      <c r="D132">
        <v>0.94514859350738456</v>
      </c>
    </row>
    <row r="133" spans="1:4" x14ac:dyDescent="0.3">
      <c r="A133" t="s">
        <v>33</v>
      </c>
      <c r="B133" t="s">
        <v>29</v>
      </c>
      <c r="C133">
        <v>165</v>
      </c>
      <c r="D133">
        <v>0.67617349970291141</v>
      </c>
    </row>
    <row r="134" spans="1:4" x14ac:dyDescent="0.3">
      <c r="A134" t="s">
        <v>33</v>
      </c>
      <c r="B134" t="s">
        <v>29</v>
      </c>
      <c r="C134">
        <v>17</v>
      </c>
      <c r="D134">
        <v>0</v>
      </c>
    </row>
    <row r="135" spans="1:4" x14ac:dyDescent="0.3">
      <c r="A135" t="s">
        <v>33</v>
      </c>
      <c r="B135" t="s">
        <v>29</v>
      </c>
      <c r="C135">
        <v>1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50</v>
      </c>
      <c r="D137">
        <v>0.89254901960784305</v>
      </c>
    </row>
    <row r="138" spans="1:4" x14ac:dyDescent="0.3">
      <c r="A138" t="s">
        <v>33</v>
      </c>
      <c r="B138" t="s">
        <v>30</v>
      </c>
      <c r="C138">
        <v>11</v>
      </c>
      <c r="D138">
        <v>1.0142602495543671</v>
      </c>
    </row>
    <row r="139" spans="1:4" x14ac:dyDescent="0.3">
      <c r="A139" t="s">
        <v>33</v>
      </c>
      <c r="B139" t="s">
        <v>30</v>
      </c>
      <c r="C139">
        <v>0</v>
      </c>
      <c r="D139">
        <v>0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">
      <c r="A145" t="s">
        <v>34</v>
      </c>
      <c r="B145" t="s">
        <v>27</v>
      </c>
      <c r="C145">
        <v>0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519</v>
      </c>
      <c r="D147">
        <v>0.73089274245343616</v>
      </c>
    </row>
    <row r="148" spans="1:4" x14ac:dyDescent="0.3">
      <c r="A148" t="s">
        <v>34</v>
      </c>
      <c r="B148" t="s">
        <v>28</v>
      </c>
      <c r="C148">
        <v>51</v>
      </c>
      <c r="D148">
        <v>0.48508098891730606</v>
      </c>
    </row>
    <row r="149" spans="1:4" x14ac:dyDescent="0.3">
      <c r="A149" t="s">
        <v>34</v>
      </c>
      <c r="B149" t="s">
        <v>28</v>
      </c>
      <c r="C149">
        <v>3</v>
      </c>
      <c r="D149">
        <v>2.7487922705314007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510</v>
      </c>
      <c r="D152">
        <v>1.0025007104290993</v>
      </c>
    </row>
    <row r="153" spans="1:4" x14ac:dyDescent="0.3">
      <c r="A153" t="s">
        <v>34</v>
      </c>
      <c r="B153" t="s">
        <v>29</v>
      </c>
      <c r="C153">
        <v>142</v>
      </c>
      <c r="D153">
        <v>1.1614615227597469</v>
      </c>
    </row>
    <row r="154" spans="1:4" x14ac:dyDescent="0.3">
      <c r="A154" t="s">
        <v>34</v>
      </c>
      <c r="B154" t="s">
        <v>29</v>
      </c>
      <c r="C154">
        <v>10</v>
      </c>
      <c r="D154">
        <v>4.1231884057971016</v>
      </c>
    </row>
    <row r="155" spans="1:4" x14ac:dyDescent="0.3">
      <c r="A155" t="s">
        <v>34</v>
      </c>
      <c r="B155" t="s">
        <v>29</v>
      </c>
      <c r="C155">
        <v>0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19</v>
      </c>
      <c r="D157">
        <v>0.43401983218916856</v>
      </c>
    </row>
    <row r="158" spans="1:4" x14ac:dyDescent="0.3">
      <c r="A158" t="s">
        <v>34</v>
      </c>
      <c r="B158" t="s">
        <v>30</v>
      </c>
      <c r="C158">
        <v>2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54</v>
      </c>
      <c r="D162">
        <v>0.99406009783368277</v>
      </c>
    </row>
    <row r="163" spans="1:4" x14ac:dyDescent="0.3">
      <c r="A163" t="s">
        <v>56</v>
      </c>
      <c r="B163" t="s">
        <v>27</v>
      </c>
      <c r="C163">
        <v>0</v>
      </c>
      <c r="D163">
        <v>0</v>
      </c>
    </row>
    <row r="164" spans="1:4" x14ac:dyDescent="0.3">
      <c r="A164" t="s">
        <v>56</v>
      </c>
      <c r="B164" t="s">
        <v>27</v>
      </c>
      <c r="C164">
        <v>0</v>
      </c>
      <c r="D164">
        <v>0</v>
      </c>
    </row>
    <row r="165" spans="1:4" x14ac:dyDescent="0.3">
      <c r="A165" t="s">
        <v>56</v>
      </c>
      <c r="B165" t="s">
        <v>27</v>
      </c>
      <c r="C165">
        <v>0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19</v>
      </c>
      <c r="D177">
        <v>1.1300893743793445</v>
      </c>
    </row>
    <row r="178" spans="1:4" x14ac:dyDescent="0.3">
      <c r="A178" t="s">
        <v>56</v>
      </c>
      <c r="B178" t="s">
        <v>30</v>
      </c>
      <c r="C178">
        <v>3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561</v>
      </c>
      <c r="D187">
        <v>0.9608781311567689</v>
      </c>
    </row>
    <row r="188" spans="1:4" x14ac:dyDescent="0.3">
      <c r="A188" t="s">
        <v>57</v>
      </c>
      <c r="B188" t="s">
        <v>28</v>
      </c>
      <c r="C188">
        <v>272</v>
      </c>
      <c r="D188">
        <v>0.62390350877192979</v>
      </c>
    </row>
    <row r="189" spans="1:4" x14ac:dyDescent="0.3">
      <c r="A189" t="s">
        <v>57</v>
      </c>
      <c r="B189" t="s">
        <v>28</v>
      </c>
      <c r="C189">
        <v>1</v>
      </c>
      <c r="D189">
        <v>0</v>
      </c>
    </row>
    <row r="190" spans="1:4" x14ac:dyDescent="0.3">
      <c r="A190" t="s">
        <v>57</v>
      </c>
      <c r="B190" t="s">
        <v>28</v>
      </c>
      <c r="C190">
        <v>0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568</v>
      </c>
      <c r="D197">
        <v>1.0017605633802817</v>
      </c>
    </row>
    <row r="198" spans="1:4" x14ac:dyDescent="0.3">
      <c r="A198" t="s">
        <v>57</v>
      </c>
      <c r="B198" t="s">
        <v>30</v>
      </c>
      <c r="C198">
        <v>525</v>
      </c>
      <c r="D198">
        <v>1.0560195360195359</v>
      </c>
    </row>
    <row r="199" spans="1:4" x14ac:dyDescent="0.3">
      <c r="A199" t="s">
        <v>57</v>
      </c>
      <c r="B199" t="s">
        <v>30</v>
      </c>
      <c r="C199">
        <v>179</v>
      </c>
      <c r="D199">
        <v>0.48904168457241076</v>
      </c>
    </row>
    <row r="200" spans="1:4" x14ac:dyDescent="0.3">
      <c r="A200" t="s">
        <v>57</v>
      </c>
      <c r="B200" t="s">
        <v>30</v>
      </c>
      <c r="C200">
        <v>6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566</v>
      </c>
      <c r="D202">
        <v>1.0053003533568905</v>
      </c>
    </row>
    <row r="203" spans="1:4" x14ac:dyDescent="0.3">
      <c r="A203" t="s">
        <v>35</v>
      </c>
      <c r="B203" t="s">
        <v>27</v>
      </c>
      <c r="C203">
        <v>380</v>
      </c>
      <c r="D203">
        <v>0.92145748987854248</v>
      </c>
    </row>
    <row r="204" spans="1:4" x14ac:dyDescent="0.3">
      <c r="A204" t="s">
        <v>35</v>
      </c>
      <c r="B204" t="s">
        <v>27</v>
      </c>
      <c r="C204">
        <v>66</v>
      </c>
      <c r="D204">
        <v>1.3263403263403262</v>
      </c>
    </row>
    <row r="205" spans="1:4" x14ac:dyDescent="0.3">
      <c r="A205" t="s">
        <v>35</v>
      </c>
      <c r="B205" t="s">
        <v>27</v>
      </c>
      <c r="C205">
        <v>2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566</v>
      </c>
      <c r="D207">
        <v>1.0053003533568905</v>
      </c>
    </row>
    <row r="208" spans="1:4" x14ac:dyDescent="0.3">
      <c r="A208" t="s">
        <v>35</v>
      </c>
      <c r="B208" t="s">
        <v>28</v>
      </c>
      <c r="C208">
        <v>459</v>
      </c>
      <c r="D208">
        <v>1.0807217473884139</v>
      </c>
    </row>
    <row r="209" spans="1:4" x14ac:dyDescent="0.3">
      <c r="A209" t="s">
        <v>35</v>
      </c>
      <c r="B209" t="s">
        <v>28</v>
      </c>
      <c r="C209">
        <v>68</v>
      </c>
      <c r="D209">
        <v>1.930995475113122</v>
      </c>
    </row>
    <row r="210" spans="1:4" x14ac:dyDescent="0.3">
      <c r="A210" t="s">
        <v>35</v>
      </c>
      <c r="B210" t="s">
        <v>28</v>
      </c>
      <c r="C210">
        <v>3</v>
      </c>
      <c r="D210">
        <v>9.7264957264957257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556</v>
      </c>
      <c r="D212">
        <v>0.99714074893931004</v>
      </c>
    </row>
    <row r="213" spans="1:4" x14ac:dyDescent="0.3">
      <c r="A213" t="s">
        <v>35</v>
      </c>
      <c r="B213" t="s">
        <v>29</v>
      </c>
      <c r="C213">
        <v>358</v>
      </c>
      <c r="D213">
        <v>1.2633576851453947</v>
      </c>
    </row>
    <row r="214" spans="1:4" x14ac:dyDescent="0.3">
      <c r="A214" t="s">
        <v>35</v>
      </c>
      <c r="B214" t="s">
        <v>29</v>
      </c>
      <c r="C214">
        <v>2</v>
      </c>
      <c r="D214">
        <v>0</v>
      </c>
    </row>
    <row r="215" spans="1:4" x14ac:dyDescent="0.3">
      <c r="A215" t="s">
        <v>35</v>
      </c>
      <c r="B215" t="s">
        <v>29</v>
      </c>
      <c r="C215">
        <v>0</v>
      </c>
      <c r="D215">
        <v>0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568</v>
      </c>
      <c r="D217">
        <v>1.0017605633802817</v>
      </c>
    </row>
    <row r="218" spans="1:4" x14ac:dyDescent="0.3">
      <c r="A218" t="s">
        <v>35</v>
      </c>
      <c r="B218" t="s">
        <v>30</v>
      </c>
      <c r="C218">
        <v>528</v>
      </c>
      <c r="D218">
        <v>0.98143262987012991</v>
      </c>
    </row>
    <row r="219" spans="1:4" x14ac:dyDescent="0.3">
      <c r="A219" t="s">
        <v>35</v>
      </c>
      <c r="B219" t="s">
        <v>30</v>
      </c>
      <c r="C219">
        <v>223</v>
      </c>
      <c r="D219">
        <v>1.6858584240871237</v>
      </c>
    </row>
    <row r="220" spans="1:4" x14ac:dyDescent="0.3">
      <c r="A220" t="s">
        <v>35</v>
      </c>
      <c r="B220" t="s">
        <v>30</v>
      </c>
      <c r="C220">
        <v>20</v>
      </c>
      <c r="D220">
        <v>2.5401785714285716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17</v>
      </c>
      <c r="D222">
        <v>2.3907563025210083</v>
      </c>
    </row>
    <row r="223" spans="1:4" x14ac:dyDescent="0.3">
      <c r="A223" t="s">
        <v>37</v>
      </c>
      <c r="B223" t="s">
        <v>27</v>
      </c>
      <c r="C223">
        <v>0</v>
      </c>
      <c r="D223">
        <v>0</v>
      </c>
    </row>
    <row r="224" spans="1:4" x14ac:dyDescent="0.3">
      <c r="A224" t="s">
        <v>37</v>
      </c>
      <c r="B224" t="s">
        <v>27</v>
      </c>
      <c r="C224">
        <v>0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529</v>
      </c>
      <c r="D227">
        <v>1.0564069673237915</v>
      </c>
    </row>
    <row r="228" spans="1:4" x14ac:dyDescent="0.3">
      <c r="A228" t="s">
        <v>37</v>
      </c>
      <c r="B228" t="s">
        <v>28</v>
      </c>
      <c r="C228">
        <v>32</v>
      </c>
      <c r="D228">
        <v>0.9525669642857143</v>
      </c>
    </row>
    <row r="229" spans="1:4" x14ac:dyDescent="0.3">
      <c r="A229" t="s">
        <v>37</v>
      </c>
      <c r="B229" t="s">
        <v>28</v>
      </c>
      <c r="C229">
        <v>1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45</v>
      </c>
      <c r="D232">
        <v>0.67738095238095242</v>
      </c>
    </row>
    <row r="233" spans="1:4" x14ac:dyDescent="0.3">
      <c r="A233" t="s">
        <v>37</v>
      </c>
      <c r="B233" t="s">
        <v>29</v>
      </c>
      <c r="C233">
        <v>18</v>
      </c>
      <c r="D233">
        <v>0.56448412698412698</v>
      </c>
    </row>
    <row r="234" spans="1:4" x14ac:dyDescent="0.3">
      <c r="A234" t="s">
        <v>37</v>
      </c>
      <c r="B234" t="s">
        <v>29</v>
      </c>
      <c r="C234">
        <v>3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568</v>
      </c>
      <c r="D237">
        <v>1.0017605633802817</v>
      </c>
    </row>
    <row r="238" spans="1:4" x14ac:dyDescent="0.3">
      <c r="A238" t="s">
        <v>37</v>
      </c>
      <c r="B238" t="s">
        <v>30</v>
      </c>
      <c r="C238">
        <v>546</v>
      </c>
      <c r="D238">
        <v>1.0224618149146452</v>
      </c>
    </row>
    <row r="239" spans="1:4" x14ac:dyDescent="0.3">
      <c r="A239" t="s">
        <v>37</v>
      </c>
      <c r="B239" t="s">
        <v>30</v>
      </c>
      <c r="C239">
        <v>251</v>
      </c>
      <c r="D239">
        <v>1.5398030519431709</v>
      </c>
    </row>
    <row r="240" spans="1:4" x14ac:dyDescent="0.3">
      <c r="A240" t="s">
        <v>37</v>
      </c>
      <c r="B240" t="s">
        <v>30</v>
      </c>
      <c r="C240">
        <v>5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509</v>
      </c>
      <c r="D242">
        <v>1.0967861511658079</v>
      </c>
    </row>
    <row r="243" spans="1:4" x14ac:dyDescent="0.3">
      <c r="A243" t="s">
        <v>38</v>
      </c>
      <c r="B243" t="s">
        <v>27</v>
      </c>
      <c r="C243">
        <v>47</v>
      </c>
      <c r="D243">
        <v>0.91368928141308714</v>
      </c>
    </row>
    <row r="244" spans="1:4" x14ac:dyDescent="0.3">
      <c r="A244" t="s">
        <v>38</v>
      </c>
      <c r="B244" t="s">
        <v>27</v>
      </c>
      <c r="C244">
        <v>1</v>
      </c>
      <c r="D244">
        <v>0</v>
      </c>
    </row>
    <row r="245" spans="1:4" x14ac:dyDescent="0.3">
      <c r="A245" t="s">
        <v>38</v>
      </c>
      <c r="B245" t="s">
        <v>27</v>
      </c>
      <c r="C245">
        <v>0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568</v>
      </c>
      <c r="D247">
        <v>1.0017605633802817</v>
      </c>
    </row>
    <row r="248" spans="1:4" x14ac:dyDescent="0.3">
      <c r="A248" t="s">
        <v>38</v>
      </c>
      <c r="B248" t="s">
        <v>28</v>
      </c>
      <c r="C248">
        <v>558</v>
      </c>
      <c r="D248">
        <v>1.0197132616487454</v>
      </c>
    </row>
    <row r="249" spans="1:4" x14ac:dyDescent="0.3">
      <c r="A249" t="s">
        <v>38</v>
      </c>
      <c r="B249" t="s">
        <v>28</v>
      </c>
      <c r="C249">
        <v>417</v>
      </c>
      <c r="D249">
        <v>0.95258133116148602</v>
      </c>
    </row>
    <row r="250" spans="1:4" x14ac:dyDescent="0.3">
      <c r="A250" t="s">
        <v>38</v>
      </c>
      <c r="B250" t="s">
        <v>28</v>
      </c>
      <c r="C250">
        <v>67</v>
      </c>
      <c r="D250">
        <v>0.16023655308363841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44</v>
      </c>
      <c r="D252">
        <v>0.24399656946826762</v>
      </c>
    </row>
    <row r="253" spans="1:4" x14ac:dyDescent="0.3">
      <c r="A253" t="s">
        <v>38</v>
      </c>
      <c r="B253" t="s">
        <v>29</v>
      </c>
      <c r="C253">
        <v>13</v>
      </c>
      <c r="D253">
        <v>0</v>
      </c>
    </row>
    <row r="254" spans="1:4" x14ac:dyDescent="0.3">
      <c r="A254" t="s">
        <v>38</v>
      </c>
      <c r="B254" t="s">
        <v>29</v>
      </c>
      <c r="C254">
        <v>1</v>
      </c>
      <c r="D254">
        <v>0</v>
      </c>
    </row>
    <row r="255" spans="1:4" x14ac:dyDescent="0.3">
      <c r="A255" t="s">
        <v>38</v>
      </c>
      <c r="B255" t="s">
        <v>29</v>
      </c>
      <c r="C255">
        <v>0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20</v>
      </c>
      <c r="D257">
        <v>0</v>
      </c>
    </row>
    <row r="258" spans="1:4" x14ac:dyDescent="0.3">
      <c r="A258" t="s">
        <v>38</v>
      </c>
      <c r="B258" t="s">
        <v>30</v>
      </c>
      <c r="C258">
        <v>3</v>
      </c>
      <c r="D258">
        <v>0</v>
      </c>
    </row>
    <row r="259" spans="1:4" x14ac:dyDescent="0.3">
      <c r="A259" t="s">
        <v>38</v>
      </c>
      <c r="B259" t="s">
        <v>30</v>
      </c>
      <c r="C259">
        <v>1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74356-3E6C-48EA-B7BF-2C22209668D7}">
  <sheetPr codeName="Sheet26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563</v>
      </c>
      <c r="D2">
        <v>1.0106571936056838</v>
      </c>
    </row>
    <row r="3" spans="1:29" x14ac:dyDescent="0.3">
      <c r="A3" t="s">
        <v>53</v>
      </c>
      <c r="B3" t="s">
        <v>27</v>
      </c>
      <c r="C3">
        <v>170</v>
      </c>
      <c r="D3">
        <v>1.8537556561085973</v>
      </c>
    </row>
    <row r="4" spans="1:29" x14ac:dyDescent="0.3">
      <c r="A4" t="s">
        <v>53</v>
      </c>
      <c r="B4" t="s">
        <v>27</v>
      </c>
      <c r="C4">
        <v>11</v>
      </c>
      <c r="D4">
        <v>0</v>
      </c>
    </row>
    <row r="5" spans="1:29" x14ac:dyDescent="0.3">
      <c r="A5" t="s">
        <v>53</v>
      </c>
      <c r="B5" t="s">
        <v>27</v>
      </c>
      <c r="C5">
        <v>0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501</v>
      </c>
      <c r="D7">
        <v>1.1007830492860433</v>
      </c>
    </row>
    <row r="8" spans="1:29" x14ac:dyDescent="0.3">
      <c r="A8" t="s">
        <v>53</v>
      </c>
      <c r="B8" t="s">
        <v>28</v>
      </c>
      <c r="C8">
        <v>39</v>
      </c>
      <c r="D8">
        <v>2.0201183431952665</v>
      </c>
    </row>
    <row r="9" spans="1:29" x14ac:dyDescent="0.3">
      <c r="A9" t="s">
        <v>53</v>
      </c>
      <c r="B9" t="s">
        <v>28</v>
      </c>
      <c r="C9">
        <v>2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558</v>
      </c>
      <c r="D12">
        <v>1.0040253653156879</v>
      </c>
    </row>
    <row r="13" spans="1:29" x14ac:dyDescent="0.3">
      <c r="A13" t="s">
        <v>53</v>
      </c>
      <c r="B13" t="s">
        <v>29</v>
      </c>
      <c r="C13">
        <v>125</v>
      </c>
      <c r="D13">
        <v>1.190523076923077</v>
      </c>
    </row>
    <row r="14" spans="1:29" x14ac:dyDescent="0.3">
      <c r="A14" t="s">
        <v>53</v>
      </c>
      <c r="B14" t="s">
        <v>29</v>
      </c>
      <c r="C14">
        <v>7</v>
      </c>
      <c r="D14">
        <v>0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16</v>
      </c>
      <c r="D17">
        <v>0.54711538461538467</v>
      </c>
    </row>
    <row r="18" spans="1:4" x14ac:dyDescent="0.3">
      <c r="A18" t="s">
        <v>53</v>
      </c>
      <c r="B18" t="s">
        <v>30</v>
      </c>
      <c r="C18">
        <v>1</v>
      </c>
      <c r="D18">
        <v>8.7538461538461547</v>
      </c>
    </row>
    <row r="19" spans="1:4" x14ac:dyDescent="0.3">
      <c r="A19" t="s">
        <v>53</v>
      </c>
      <c r="B19" t="s">
        <v>30</v>
      </c>
      <c r="C19">
        <v>0</v>
      </c>
      <c r="D19">
        <v>0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566</v>
      </c>
      <c r="D22">
        <v>1.0053003533568905</v>
      </c>
    </row>
    <row r="23" spans="1:4" x14ac:dyDescent="0.3">
      <c r="A23" t="s">
        <v>53</v>
      </c>
      <c r="B23" t="s">
        <v>27</v>
      </c>
      <c r="C23">
        <v>481</v>
      </c>
      <c r="D23">
        <v>0.94911279795000736</v>
      </c>
    </row>
    <row r="24" spans="1:4" x14ac:dyDescent="0.3">
      <c r="A24" t="s">
        <v>53</v>
      </c>
      <c r="B24" t="s">
        <v>27</v>
      </c>
      <c r="C24">
        <v>87</v>
      </c>
      <c r="D24">
        <v>0.91259021651964722</v>
      </c>
    </row>
    <row r="25" spans="1:4" x14ac:dyDescent="0.3">
      <c r="A25" t="s">
        <v>53</v>
      </c>
      <c r="B25" t="s">
        <v>27</v>
      </c>
      <c r="C25">
        <v>3</v>
      </c>
      <c r="D25">
        <v>2.2054263565891472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267</v>
      </c>
      <c r="D27">
        <v>0.6442818569810993</v>
      </c>
    </row>
    <row r="28" spans="1:4" x14ac:dyDescent="0.3">
      <c r="A28" t="s">
        <v>26</v>
      </c>
      <c r="B28" t="s">
        <v>28</v>
      </c>
      <c r="C28">
        <v>13</v>
      </c>
      <c r="D28">
        <v>0.50894454382826482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544</v>
      </c>
      <c r="D32">
        <v>1.0094690492476062</v>
      </c>
    </row>
    <row r="33" spans="1:4" x14ac:dyDescent="0.3">
      <c r="A33" t="s">
        <v>26</v>
      </c>
      <c r="B33" t="s">
        <v>29</v>
      </c>
      <c r="C33">
        <v>280</v>
      </c>
      <c r="D33">
        <v>0.85066445182724248</v>
      </c>
    </row>
    <row r="34" spans="1:4" x14ac:dyDescent="0.3">
      <c r="A34" t="s">
        <v>26</v>
      </c>
      <c r="B34" t="s">
        <v>29</v>
      </c>
      <c r="C34">
        <v>18</v>
      </c>
      <c r="D34">
        <v>0.73514211886304914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14</v>
      </c>
      <c r="D37">
        <v>0.47259136212624586</v>
      </c>
    </row>
    <row r="38" spans="1:4" x14ac:dyDescent="0.3">
      <c r="A38" t="s">
        <v>26</v>
      </c>
      <c r="B38" t="s">
        <v>30</v>
      </c>
      <c r="C38">
        <v>0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561</v>
      </c>
      <c r="D42">
        <v>1.0024665257223397</v>
      </c>
    </row>
    <row r="43" spans="1:4" x14ac:dyDescent="0.3">
      <c r="A43" t="s">
        <v>54</v>
      </c>
      <c r="B43" t="s">
        <v>27</v>
      </c>
      <c r="C43">
        <v>282</v>
      </c>
      <c r="D43">
        <v>0.86809335312551539</v>
      </c>
    </row>
    <row r="44" spans="1:4" x14ac:dyDescent="0.3">
      <c r="A44" t="s">
        <v>54</v>
      </c>
      <c r="B44" t="s">
        <v>27</v>
      </c>
      <c r="C44">
        <v>20</v>
      </c>
      <c r="D44">
        <v>0.66162790697674423</v>
      </c>
    </row>
    <row r="45" spans="1:4" x14ac:dyDescent="0.3">
      <c r="A45" t="s">
        <v>54</v>
      </c>
      <c r="B45" t="s">
        <v>27</v>
      </c>
      <c r="C45">
        <v>0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529</v>
      </c>
      <c r="D47">
        <v>0.98806436013540255</v>
      </c>
    </row>
    <row r="48" spans="1:4" x14ac:dyDescent="0.3">
      <c r="A48" t="s">
        <v>54</v>
      </c>
      <c r="B48" t="s">
        <v>28</v>
      </c>
      <c r="C48">
        <v>124</v>
      </c>
      <c r="D48">
        <v>0.80035633908477122</v>
      </c>
    </row>
    <row r="49" spans="1:4" x14ac:dyDescent="0.3">
      <c r="A49" t="s">
        <v>54</v>
      </c>
      <c r="B49" t="s">
        <v>28</v>
      </c>
      <c r="C49">
        <v>3</v>
      </c>
      <c r="D49">
        <v>2.2054263565891472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543</v>
      </c>
      <c r="D52">
        <v>0.9869587562636517</v>
      </c>
    </row>
    <row r="53" spans="1:4" x14ac:dyDescent="0.3">
      <c r="A53" t="s">
        <v>54</v>
      </c>
      <c r="B53" t="s">
        <v>29</v>
      </c>
      <c r="C53">
        <v>334</v>
      </c>
      <c r="D53">
        <v>0.85179640718562866</v>
      </c>
    </row>
    <row r="54" spans="1:4" x14ac:dyDescent="0.3">
      <c r="A54" t="s">
        <v>54</v>
      </c>
      <c r="B54" t="s">
        <v>29</v>
      </c>
      <c r="C54">
        <v>30</v>
      </c>
      <c r="D54">
        <v>0.44108527131782949</v>
      </c>
    </row>
    <row r="55" spans="1:4" x14ac:dyDescent="0.3">
      <c r="A55" t="s">
        <v>54</v>
      </c>
      <c r="B55" t="s">
        <v>29</v>
      </c>
      <c r="C55">
        <v>0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74</v>
      </c>
      <c r="D57">
        <v>0.71527341294783164</v>
      </c>
    </row>
    <row r="58" spans="1:4" x14ac:dyDescent="0.3">
      <c r="A58" t="s">
        <v>54</v>
      </c>
      <c r="B58" t="s">
        <v>30</v>
      </c>
      <c r="C58">
        <v>16</v>
      </c>
      <c r="D58">
        <v>0.41351744186046513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558</v>
      </c>
      <c r="D62">
        <v>0.87906315659374612</v>
      </c>
    </row>
    <row r="63" spans="1:4" x14ac:dyDescent="0.3">
      <c r="A63" t="s">
        <v>31</v>
      </c>
      <c r="B63" t="s">
        <v>27</v>
      </c>
      <c r="C63">
        <v>424</v>
      </c>
      <c r="D63">
        <v>0.69412817176317498</v>
      </c>
    </row>
    <row r="64" spans="1:4" x14ac:dyDescent="0.3">
      <c r="A64" t="s">
        <v>31</v>
      </c>
      <c r="B64" t="s">
        <v>27</v>
      </c>
      <c r="C64">
        <v>70</v>
      </c>
      <c r="D64">
        <v>1.1211822660098523</v>
      </c>
    </row>
    <row r="65" spans="1:4" x14ac:dyDescent="0.3">
      <c r="A65" t="s">
        <v>31</v>
      </c>
      <c r="B65" t="s">
        <v>27</v>
      </c>
      <c r="C65">
        <v>4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568</v>
      </c>
      <c r="D67">
        <v>1.0017605633802817</v>
      </c>
    </row>
    <row r="68" spans="1:4" x14ac:dyDescent="0.3">
      <c r="A68" t="s">
        <v>31</v>
      </c>
      <c r="B68" t="s">
        <v>28</v>
      </c>
      <c r="C68">
        <v>508</v>
      </c>
      <c r="D68">
        <v>0.92696171599239752</v>
      </c>
    </row>
    <row r="69" spans="1:4" x14ac:dyDescent="0.3">
      <c r="A69" t="s">
        <v>31</v>
      </c>
      <c r="B69" t="s">
        <v>28</v>
      </c>
      <c r="C69">
        <v>158</v>
      </c>
      <c r="D69">
        <v>0.62090790048013977</v>
      </c>
    </row>
    <row r="70" spans="1:4" x14ac:dyDescent="0.3">
      <c r="A70" t="s">
        <v>31</v>
      </c>
      <c r="B70" t="s">
        <v>28</v>
      </c>
      <c r="C70">
        <v>6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">
      <c r="A73" t="s">
        <v>31</v>
      </c>
      <c r="B73" t="s">
        <v>29</v>
      </c>
      <c r="C73">
        <v>395</v>
      </c>
      <c r="D73">
        <v>0.69541684853775643</v>
      </c>
    </row>
    <row r="74" spans="1:4" x14ac:dyDescent="0.3">
      <c r="A74" t="s">
        <v>31</v>
      </c>
      <c r="B74" t="s">
        <v>29</v>
      </c>
      <c r="C74">
        <v>23</v>
      </c>
      <c r="D74">
        <v>0</v>
      </c>
    </row>
    <row r="75" spans="1:4" x14ac:dyDescent="0.3">
      <c r="A75" t="s">
        <v>31</v>
      </c>
      <c r="B75" t="s">
        <v>29</v>
      </c>
      <c r="C75">
        <v>2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566</v>
      </c>
      <c r="D77">
        <v>1.0053003533568905</v>
      </c>
    </row>
    <row r="78" spans="1:4" x14ac:dyDescent="0.3">
      <c r="A78" t="s">
        <v>31</v>
      </c>
      <c r="B78" t="s">
        <v>30</v>
      </c>
      <c r="C78">
        <v>480</v>
      </c>
      <c r="D78">
        <v>0.94015804597701158</v>
      </c>
    </row>
    <row r="79" spans="1:4" x14ac:dyDescent="0.3">
      <c r="A79" t="s">
        <v>31</v>
      </c>
      <c r="B79" t="s">
        <v>30</v>
      </c>
      <c r="C79">
        <v>157</v>
      </c>
      <c r="D79">
        <v>0.99978036459477271</v>
      </c>
    </row>
    <row r="80" spans="1:4" x14ac:dyDescent="0.3">
      <c r="A80" t="s">
        <v>31</v>
      </c>
      <c r="B80" t="s">
        <v>30</v>
      </c>
      <c r="C80">
        <v>3</v>
      </c>
      <c r="D80">
        <v>6.5402298850574709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567</v>
      </c>
      <c r="D82">
        <v>1.0035273368606703</v>
      </c>
    </row>
    <row r="83" spans="1:4" x14ac:dyDescent="0.3">
      <c r="A83" t="s">
        <v>55</v>
      </c>
      <c r="B83" t="s">
        <v>27</v>
      </c>
      <c r="C83">
        <v>508</v>
      </c>
      <c r="D83">
        <v>0.91006397637795278</v>
      </c>
    </row>
    <row r="84" spans="1:4" x14ac:dyDescent="0.3">
      <c r="A84" t="s">
        <v>55</v>
      </c>
      <c r="B84" t="s">
        <v>27</v>
      </c>
      <c r="C84">
        <v>132</v>
      </c>
      <c r="D84">
        <v>0.80823863636363646</v>
      </c>
    </row>
    <row r="85" spans="1:4" x14ac:dyDescent="0.3">
      <c r="A85" t="s">
        <v>55</v>
      </c>
      <c r="B85" t="s">
        <v>27</v>
      </c>
      <c r="C85">
        <v>4</v>
      </c>
      <c r="D85">
        <v>0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147</v>
      </c>
      <c r="D87">
        <v>1.3305697278911566</v>
      </c>
    </row>
    <row r="88" spans="1:4" x14ac:dyDescent="0.3">
      <c r="A88" t="s">
        <v>55</v>
      </c>
      <c r="B88" t="s">
        <v>28</v>
      </c>
      <c r="C88">
        <v>8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477</v>
      </c>
      <c r="D93">
        <v>0.70826781970649899</v>
      </c>
    </row>
    <row r="94" spans="1:4" x14ac:dyDescent="0.3">
      <c r="A94" t="s">
        <v>55</v>
      </c>
      <c r="B94" t="s">
        <v>29</v>
      </c>
      <c r="C94">
        <v>145</v>
      </c>
      <c r="D94">
        <v>0.8584051724137931</v>
      </c>
    </row>
    <row r="95" spans="1:4" x14ac:dyDescent="0.3">
      <c r="A95" t="s">
        <v>55</v>
      </c>
      <c r="B95" t="s">
        <v>29</v>
      </c>
      <c r="C95">
        <v>7</v>
      </c>
      <c r="D95">
        <v>2.5401785714285716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20</v>
      </c>
      <c r="D97">
        <v>3.5562500000000004</v>
      </c>
    </row>
    <row r="98" spans="1:4" x14ac:dyDescent="0.3">
      <c r="A98" t="s">
        <v>55</v>
      </c>
      <c r="B98" t="s">
        <v>30</v>
      </c>
      <c r="C98">
        <v>1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551</v>
      </c>
      <c r="D102">
        <v>1.0326678765880219</v>
      </c>
    </row>
    <row r="103" spans="1:4" x14ac:dyDescent="0.3">
      <c r="A103" t="s">
        <v>32</v>
      </c>
      <c r="B103" t="s">
        <v>27</v>
      </c>
      <c r="C103">
        <v>217</v>
      </c>
      <c r="D103">
        <v>1.6464473261172436</v>
      </c>
    </row>
    <row r="104" spans="1:4" x14ac:dyDescent="0.3">
      <c r="A104" t="s">
        <v>32</v>
      </c>
      <c r="B104" t="s">
        <v>27</v>
      </c>
      <c r="C104">
        <v>5</v>
      </c>
      <c r="D104">
        <v>10.586046511627908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456</v>
      </c>
      <c r="D107">
        <v>1.2478070175438598</v>
      </c>
    </row>
    <row r="108" spans="1:4" x14ac:dyDescent="0.3">
      <c r="A108" t="s">
        <v>32</v>
      </c>
      <c r="B108" t="s">
        <v>28</v>
      </c>
      <c r="C108">
        <v>81</v>
      </c>
      <c r="D108">
        <v>4.5742176284811942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565</v>
      </c>
      <c r="D112">
        <v>1.0070796460176992</v>
      </c>
    </row>
    <row r="113" spans="1:4" x14ac:dyDescent="0.3">
      <c r="A113" t="s">
        <v>32</v>
      </c>
      <c r="B113" t="s">
        <v>29</v>
      </c>
      <c r="C113">
        <v>325</v>
      </c>
      <c r="D113">
        <v>1.0993202146690519</v>
      </c>
    </row>
    <row r="114" spans="1:4" x14ac:dyDescent="0.3">
      <c r="A114" t="s">
        <v>32</v>
      </c>
      <c r="B114" t="s">
        <v>29</v>
      </c>
      <c r="C114">
        <v>10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38</v>
      </c>
      <c r="D117">
        <v>0.34822521419828639</v>
      </c>
    </row>
    <row r="118" spans="1:4" x14ac:dyDescent="0.3">
      <c r="A118" t="s">
        <v>32</v>
      </c>
      <c r="B118" t="s">
        <v>30</v>
      </c>
      <c r="C118">
        <v>8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473</v>
      </c>
      <c r="D123">
        <v>0.89632301123409186</v>
      </c>
    </row>
    <row r="124" spans="1:4" x14ac:dyDescent="0.3">
      <c r="A124" t="s">
        <v>33</v>
      </c>
      <c r="B124" t="s">
        <v>27</v>
      </c>
      <c r="C124">
        <v>73</v>
      </c>
      <c r="D124">
        <v>0.1528337362342197</v>
      </c>
    </row>
    <row r="125" spans="1:4" x14ac:dyDescent="0.3">
      <c r="A125" t="s">
        <v>33</v>
      </c>
      <c r="B125" t="s">
        <v>27</v>
      </c>
      <c r="C125">
        <v>0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499</v>
      </c>
      <c r="D127">
        <v>1.0732052339974065</v>
      </c>
    </row>
    <row r="128" spans="1:4" x14ac:dyDescent="0.3">
      <c r="A128" t="s">
        <v>33</v>
      </c>
      <c r="B128" t="s">
        <v>28</v>
      </c>
      <c r="C128">
        <v>30</v>
      </c>
      <c r="D128">
        <v>0.74379084967320253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563</v>
      </c>
      <c r="D132">
        <v>1.0106571936056836</v>
      </c>
    </row>
    <row r="133" spans="1:4" x14ac:dyDescent="0.3">
      <c r="A133" t="s">
        <v>33</v>
      </c>
      <c r="B133" t="s">
        <v>29</v>
      </c>
      <c r="C133">
        <v>211</v>
      </c>
      <c r="D133">
        <v>0.68738964780224876</v>
      </c>
    </row>
    <row r="134" spans="1:4" x14ac:dyDescent="0.3">
      <c r="A134" t="s">
        <v>33</v>
      </c>
      <c r="B134" t="s">
        <v>29</v>
      </c>
      <c r="C134">
        <v>17</v>
      </c>
      <c r="D134">
        <v>0</v>
      </c>
    </row>
    <row r="135" spans="1:4" x14ac:dyDescent="0.3">
      <c r="A135" t="s">
        <v>33</v>
      </c>
      <c r="B135" t="s">
        <v>29</v>
      </c>
      <c r="C135">
        <v>1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546</v>
      </c>
      <c r="D137">
        <v>1.0012569130216189</v>
      </c>
    </row>
    <row r="138" spans="1:4" x14ac:dyDescent="0.3">
      <c r="A138" t="s">
        <v>33</v>
      </c>
      <c r="B138" t="s">
        <v>30</v>
      </c>
      <c r="C138">
        <v>293</v>
      </c>
      <c r="D138">
        <v>1.1042628655557787</v>
      </c>
    </row>
    <row r="139" spans="1:4" x14ac:dyDescent="0.3">
      <c r="A139" t="s">
        <v>33</v>
      </c>
      <c r="B139" t="s">
        <v>30</v>
      </c>
      <c r="C139">
        <v>4</v>
      </c>
      <c r="D139">
        <v>2.7892156862745097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499</v>
      </c>
      <c r="D142">
        <v>1.0080741192529987</v>
      </c>
    </row>
    <row r="143" spans="1:4" x14ac:dyDescent="0.3">
      <c r="A143" t="s">
        <v>34</v>
      </c>
      <c r="B143" t="s">
        <v>27</v>
      </c>
      <c r="C143">
        <v>79</v>
      </c>
      <c r="D143">
        <v>1.565767749036874</v>
      </c>
    </row>
    <row r="144" spans="1:4" x14ac:dyDescent="0.3">
      <c r="A144" t="s">
        <v>34</v>
      </c>
      <c r="B144" t="s">
        <v>27</v>
      </c>
      <c r="C144">
        <v>5</v>
      </c>
      <c r="D144">
        <v>4.9478260869565212</v>
      </c>
    </row>
    <row r="145" spans="1:4" x14ac:dyDescent="0.3">
      <c r="A145" t="s">
        <v>34</v>
      </c>
      <c r="B145" t="s">
        <v>27</v>
      </c>
      <c r="C145">
        <v>0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531</v>
      </c>
      <c r="D147">
        <v>0.82308469117606919</v>
      </c>
    </row>
    <row r="148" spans="1:4" x14ac:dyDescent="0.3">
      <c r="A148" t="s">
        <v>34</v>
      </c>
      <c r="B148" t="s">
        <v>28</v>
      </c>
      <c r="C148">
        <v>176</v>
      </c>
      <c r="D148">
        <v>0.23427206851119894</v>
      </c>
    </row>
    <row r="149" spans="1:4" x14ac:dyDescent="0.3">
      <c r="A149" t="s">
        <v>34</v>
      </c>
      <c r="B149" t="s">
        <v>28</v>
      </c>
      <c r="C149">
        <v>1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556</v>
      </c>
      <c r="D152">
        <v>0.99371806902304249</v>
      </c>
    </row>
    <row r="153" spans="1:4" x14ac:dyDescent="0.3">
      <c r="A153" t="s">
        <v>34</v>
      </c>
      <c r="B153" t="s">
        <v>29</v>
      </c>
      <c r="C153">
        <v>209</v>
      </c>
      <c r="D153">
        <v>1.0258650579016713</v>
      </c>
    </row>
    <row r="154" spans="1:4" x14ac:dyDescent="0.3">
      <c r="A154" t="s">
        <v>34</v>
      </c>
      <c r="B154" t="s">
        <v>29</v>
      </c>
      <c r="C154">
        <v>16</v>
      </c>
      <c r="D154">
        <v>2.0615942028985508</v>
      </c>
    </row>
    <row r="155" spans="1:4" x14ac:dyDescent="0.3">
      <c r="A155" t="s">
        <v>34</v>
      </c>
      <c r="B155" t="s">
        <v>29</v>
      </c>
      <c r="C155">
        <v>1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16</v>
      </c>
      <c r="D157">
        <v>0</v>
      </c>
    </row>
    <row r="158" spans="1:4" x14ac:dyDescent="0.3">
      <c r="A158" t="s">
        <v>34</v>
      </c>
      <c r="B158" t="s">
        <v>30</v>
      </c>
      <c r="C158">
        <v>1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488</v>
      </c>
      <c r="D162">
        <v>0.81398855552118776</v>
      </c>
    </row>
    <row r="163" spans="1:4" x14ac:dyDescent="0.3">
      <c r="A163" t="s">
        <v>56</v>
      </c>
      <c r="B163" t="s">
        <v>27</v>
      </c>
      <c r="C163">
        <v>118</v>
      </c>
      <c r="D163">
        <v>1.0007994883274705</v>
      </c>
    </row>
    <row r="164" spans="1:4" x14ac:dyDescent="0.3">
      <c r="A164" t="s">
        <v>56</v>
      </c>
      <c r="B164" t="s">
        <v>27</v>
      </c>
      <c r="C164">
        <v>3</v>
      </c>
      <c r="D164">
        <v>10.735849056603774</v>
      </c>
    </row>
    <row r="165" spans="1:4" x14ac:dyDescent="0.3">
      <c r="A165" t="s">
        <v>56</v>
      </c>
      <c r="B165" t="s">
        <v>27</v>
      </c>
      <c r="C165">
        <v>0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524</v>
      </c>
      <c r="D167">
        <v>0.75806567766095356</v>
      </c>
    </row>
    <row r="168" spans="1:4" x14ac:dyDescent="0.3">
      <c r="A168" t="s">
        <v>56</v>
      </c>
      <c r="B168" t="s">
        <v>28</v>
      </c>
      <c r="C168">
        <v>122</v>
      </c>
      <c r="D168">
        <v>1.055985153108568</v>
      </c>
    </row>
    <row r="169" spans="1:4" x14ac:dyDescent="0.3">
      <c r="A169" t="s">
        <v>56</v>
      </c>
      <c r="B169" t="s">
        <v>28</v>
      </c>
      <c r="C169">
        <v>1</v>
      </c>
      <c r="D169">
        <v>10.735849056603774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561</v>
      </c>
      <c r="D172">
        <v>1.0142602495543671</v>
      </c>
    </row>
    <row r="173" spans="1:4" x14ac:dyDescent="0.3">
      <c r="A173" t="s">
        <v>56</v>
      </c>
      <c r="B173" t="s">
        <v>29</v>
      </c>
      <c r="C173">
        <v>472</v>
      </c>
      <c r="D173">
        <v>1.0462903741605374</v>
      </c>
    </row>
    <row r="174" spans="1:4" x14ac:dyDescent="0.3">
      <c r="A174" t="s">
        <v>56</v>
      </c>
      <c r="B174" t="s">
        <v>29</v>
      </c>
      <c r="C174">
        <v>139</v>
      </c>
      <c r="D174">
        <v>1.2357811863716575</v>
      </c>
    </row>
    <row r="175" spans="1:4" x14ac:dyDescent="0.3">
      <c r="A175" t="s">
        <v>56</v>
      </c>
      <c r="B175" t="s">
        <v>29</v>
      </c>
      <c r="C175">
        <v>10</v>
      </c>
      <c r="D175">
        <v>4.2943396226415098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">
      <c r="A178" t="s">
        <v>56</v>
      </c>
      <c r="B178" t="s">
        <v>30</v>
      </c>
      <c r="C178">
        <v>8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564</v>
      </c>
      <c r="D182">
        <v>0.97346646758740829</v>
      </c>
    </row>
    <row r="183" spans="1:4" x14ac:dyDescent="0.3">
      <c r="A183" t="s">
        <v>57</v>
      </c>
      <c r="B183" t="s">
        <v>27</v>
      </c>
      <c r="C183">
        <v>473</v>
      </c>
      <c r="D183">
        <v>0.82307777901413159</v>
      </c>
    </row>
    <row r="184" spans="1:4" x14ac:dyDescent="0.3">
      <c r="A184" t="s">
        <v>57</v>
      </c>
      <c r="B184" t="s">
        <v>27</v>
      </c>
      <c r="C184">
        <v>99</v>
      </c>
      <c r="D184">
        <v>0.90749601275917069</v>
      </c>
    </row>
    <row r="185" spans="1:4" x14ac:dyDescent="0.3">
      <c r="A185" t="s">
        <v>57</v>
      </c>
      <c r="B185" t="s">
        <v>27</v>
      </c>
      <c r="C185">
        <v>10</v>
      </c>
      <c r="D185">
        <v>1.9964912280701756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567</v>
      </c>
      <c r="D187">
        <v>1.0035273368606701</v>
      </c>
    </row>
    <row r="188" spans="1:4" x14ac:dyDescent="0.3">
      <c r="A188" t="s">
        <v>57</v>
      </c>
      <c r="B188" t="s">
        <v>28</v>
      </c>
      <c r="C188">
        <v>505</v>
      </c>
      <c r="D188">
        <v>0.94882751433038048</v>
      </c>
    </row>
    <row r="189" spans="1:4" x14ac:dyDescent="0.3">
      <c r="A189" t="s">
        <v>57</v>
      </c>
      <c r="B189" t="s">
        <v>28</v>
      </c>
      <c r="C189">
        <v>133</v>
      </c>
      <c r="D189">
        <v>1.2759530404959767</v>
      </c>
    </row>
    <row r="190" spans="1:4" x14ac:dyDescent="0.3">
      <c r="A190" t="s">
        <v>57</v>
      </c>
      <c r="B190" t="s">
        <v>28</v>
      </c>
      <c r="C190">
        <v>11</v>
      </c>
      <c r="D190">
        <v>1.8149920255183414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554</v>
      </c>
      <c r="D192">
        <v>0.97301919057571729</v>
      </c>
    </row>
    <row r="193" spans="1:4" x14ac:dyDescent="0.3">
      <c r="A193" t="s">
        <v>57</v>
      </c>
      <c r="B193" t="s">
        <v>29</v>
      </c>
      <c r="C193">
        <v>386</v>
      </c>
      <c r="D193">
        <v>0.95686755749477315</v>
      </c>
    </row>
    <row r="194" spans="1:4" x14ac:dyDescent="0.3">
      <c r="A194" t="s">
        <v>57</v>
      </c>
      <c r="B194" t="s">
        <v>29</v>
      </c>
      <c r="C194">
        <v>57</v>
      </c>
      <c r="D194">
        <v>0.87565404739919972</v>
      </c>
    </row>
    <row r="195" spans="1:4" x14ac:dyDescent="0.3">
      <c r="A195" t="s">
        <v>57</v>
      </c>
      <c r="B195" t="s">
        <v>29</v>
      </c>
      <c r="C195">
        <v>2</v>
      </c>
      <c r="D195">
        <v>4.9912280701754383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">
      <c r="A199" t="s">
        <v>57</v>
      </c>
      <c r="B199" t="s">
        <v>30</v>
      </c>
      <c r="C199">
        <v>4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568</v>
      </c>
      <c r="D202">
        <v>1.0017605633802817</v>
      </c>
    </row>
    <row r="203" spans="1:4" x14ac:dyDescent="0.3">
      <c r="A203" t="s">
        <v>35</v>
      </c>
      <c r="B203" t="s">
        <v>27</v>
      </c>
      <c r="C203">
        <v>526</v>
      </c>
      <c r="D203">
        <v>1.0262747392024958</v>
      </c>
    </row>
    <row r="204" spans="1:4" x14ac:dyDescent="0.3">
      <c r="A204" t="s">
        <v>35</v>
      </c>
      <c r="B204" t="s">
        <v>27</v>
      </c>
      <c r="C204">
        <v>136</v>
      </c>
      <c r="D204">
        <v>1.2873303167420815</v>
      </c>
    </row>
    <row r="205" spans="1:4" x14ac:dyDescent="0.3">
      <c r="A205" t="s">
        <v>35</v>
      </c>
      <c r="B205" t="s">
        <v>27</v>
      </c>
      <c r="C205">
        <v>0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565</v>
      </c>
      <c r="D207">
        <v>1.0070796460176989</v>
      </c>
    </row>
    <row r="208" spans="1:4" x14ac:dyDescent="0.3">
      <c r="A208" t="s">
        <v>35</v>
      </c>
      <c r="B208" t="s">
        <v>28</v>
      </c>
      <c r="C208">
        <v>363</v>
      </c>
      <c r="D208">
        <v>1.2459560641378822</v>
      </c>
    </row>
    <row r="209" spans="1:4" x14ac:dyDescent="0.3">
      <c r="A209" t="s">
        <v>35</v>
      </c>
      <c r="B209" t="s">
        <v>28</v>
      </c>
      <c r="C209">
        <v>10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568</v>
      </c>
      <c r="D212">
        <v>1.0017605633802817</v>
      </c>
    </row>
    <row r="213" spans="1:4" x14ac:dyDescent="0.3">
      <c r="A213" t="s">
        <v>35</v>
      </c>
      <c r="B213" t="s">
        <v>29</v>
      </c>
      <c r="C213">
        <v>537</v>
      </c>
      <c r="D213">
        <v>1.0324213340973116</v>
      </c>
    </row>
    <row r="214" spans="1:4" x14ac:dyDescent="0.3">
      <c r="A214" t="s">
        <v>35</v>
      </c>
      <c r="B214" t="s">
        <v>29</v>
      </c>
      <c r="C214">
        <v>169</v>
      </c>
      <c r="D214">
        <v>1.1222879684418146</v>
      </c>
    </row>
    <row r="215" spans="1:4" x14ac:dyDescent="0.3">
      <c r="A215" t="s">
        <v>35</v>
      </c>
      <c r="B215" t="s">
        <v>29</v>
      </c>
      <c r="C215">
        <v>5</v>
      </c>
      <c r="D215">
        <v>5.8358974358974356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14</v>
      </c>
      <c r="D217">
        <v>0</v>
      </c>
    </row>
    <row r="218" spans="1:4" x14ac:dyDescent="0.3">
      <c r="A218" t="s">
        <v>35</v>
      </c>
      <c r="B218" t="s">
        <v>30</v>
      </c>
      <c r="C218">
        <v>0</v>
      </c>
      <c r="D218">
        <v>0</v>
      </c>
    </row>
    <row r="219" spans="1:4" x14ac:dyDescent="0.3">
      <c r="A219" t="s">
        <v>35</v>
      </c>
      <c r="B219" t="s">
        <v>30</v>
      </c>
      <c r="C219">
        <v>0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567</v>
      </c>
      <c r="D222">
        <v>1.0035273368606701</v>
      </c>
    </row>
    <row r="223" spans="1:4" x14ac:dyDescent="0.3">
      <c r="A223" t="s">
        <v>37</v>
      </c>
      <c r="B223" t="s">
        <v>27</v>
      </c>
      <c r="C223">
        <v>373</v>
      </c>
      <c r="D223">
        <v>1.1168613558023746</v>
      </c>
    </row>
    <row r="224" spans="1:4" x14ac:dyDescent="0.3">
      <c r="A224" t="s">
        <v>37</v>
      </c>
      <c r="B224" t="s">
        <v>27</v>
      </c>
      <c r="C224">
        <v>34</v>
      </c>
      <c r="D224">
        <v>2.9884453781512605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407</v>
      </c>
      <c r="D227">
        <v>1.1733502983502984</v>
      </c>
    </row>
    <row r="228" spans="1:4" x14ac:dyDescent="0.3">
      <c r="A228" t="s">
        <v>37</v>
      </c>
      <c r="B228" t="s">
        <v>28</v>
      </c>
      <c r="C228">
        <v>7</v>
      </c>
      <c r="D228">
        <v>2.9030612244897958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548</v>
      </c>
      <c r="D232">
        <v>1.0197797184567259</v>
      </c>
    </row>
    <row r="233" spans="1:4" x14ac:dyDescent="0.3">
      <c r="A233" t="s">
        <v>37</v>
      </c>
      <c r="B233" t="s">
        <v>29</v>
      </c>
      <c r="C233">
        <v>108</v>
      </c>
      <c r="D233">
        <v>1.128968253968254</v>
      </c>
    </row>
    <row r="234" spans="1:4" x14ac:dyDescent="0.3">
      <c r="A234" t="s">
        <v>37</v>
      </c>
      <c r="B234" t="s">
        <v>29</v>
      </c>
      <c r="C234">
        <v>8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19</v>
      </c>
      <c r="D237">
        <v>0.53477443609022557</v>
      </c>
    </row>
    <row r="238" spans="1:4" x14ac:dyDescent="0.3">
      <c r="A238" t="s">
        <v>37</v>
      </c>
      <c r="B238" t="s">
        <v>30</v>
      </c>
      <c r="C238">
        <v>1</v>
      </c>
      <c r="D238">
        <v>10.160714285714286</v>
      </c>
    </row>
    <row r="239" spans="1:4" x14ac:dyDescent="0.3">
      <c r="A239" t="s">
        <v>37</v>
      </c>
      <c r="B239" t="s">
        <v>30</v>
      </c>
      <c r="C239">
        <v>0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568</v>
      </c>
      <c r="D242">
        <v>1.0017605633802817</v>
      </c>
    </row>
    <row r="243" spans="1:4" x14ac:dyDescent="0.3">
      <c r="A243" t="s">
        <v>38</v>
      </c>
      <c r="B243" t="s">
        <v>27</v>
      </c>
      <c r="C243">
        <v>557</v>
      </c>
      <c r="D243">
        <v>1.0022695708139968</v>
      </c>
    </row>
    <row r="244" spans="1:4" x14ac:dyDescent="0.3">
      <c r="A244" t="s">
        <v>38</v>
      </c>
      <c r="B244" t="s">
        <v>27</v>
      </c>
      <c r="C244">
        <v>368</v>
      </c>
      <c r="D244">
        <v>1.2544606234618541</v>
      </c>
    </row>
    <row r="245" spans="1:4" x14ac:dyDescent="0.3">
      <c r="A245" t="s">
        <v>38</v>
      </c>
      <c r="B245" t="s">
        <v>27</v>
      </c>
      <c r="C245">
        <v>24</v>
      </c>
      <c r="D245">
        <v>1.7893081761006289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16</v>
      </c>
      <c r="D247">
        <v>0</v>
      </c>
    </row>
    <row r="248" spans="1:4" x14ac:dyDescent="0.3">
      <c r="A248" t="s">
        <v>38</v>
      </c>
      <c r="B248" t="s">
        <v>28</v>
      </c>
      <c r="C248">
        <v>2</v>
      </c>
      <c r="D248">
        <v>0</v>
      </c>
    </row>
    <row r="249" spans="1:4" x14ac:dyDescent="0.3">
      <c r="A249" t="s">
        <v>38</v>
      </c>
      <c r="B249" t="s">
        <v>28</v>
      </c>
      <c r="C249">
        <v>0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568</v>
      </c>
      <c r="D252">
        <v>1.0017605633802817</v>
      </c>
    </row>
    <row r="253" spans="1:4" x14ac:dyDescent="0.3">
      <c r="A253" t="s">
        <v>38</v>
      </c>
      <c r="B253" t="s">
        <v>29</v>
      </c>
      <c r="C253">
        <v>544</v>
      </c>
      <c r="D253">
        <v>1.0262208657047724</v>
      </c>
    </row>
    <row r="254" spans="1:4" x14ac:dyDescent="0.3">
      <c r="A254" t="s">
        <v>38</v>
      </c>
      <c r="B254" t="s">
        <v>29</v>
      </c>
      <c r="C254">
        <v>299</v>
      </c>
      <c r="D254">
        <v>0.89764624219095102</v>
      </c>
    </row>
    <row r="255" spans="1:4" x14ac:dyDescent="0.3">
      <c r="A255" t="s">
        <v>38</v>
      </c>
      <c r="B255" t="s">
        <v>29</v>
      </c>
      <c r="C255">
        <v>39</v>
      </c>
      <c r="D255">
        <v>0.27527818093855833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37</v>
      </c>
      <c r="D257">
        <v>0</v>
      </c>
    </row>
    <row r="258" spans="1:4" x14ac:dyDescent="0.3">
      <c r="A258" t="s">
        <v>38</v>
      </c>
      <c r="B258" t="s">
        <v>30</v>
      </c>
      <c r="C258">
        <v>13</v>
      </c>
      <c r="D258">
        <v>0</v>
      </c>
    </row>
    <row r="259" spans="1:4" x14ac:dyDescent="0.3">
      <c r="A259" t="s">
        <v>38</v>
      </c>
      <c r="B259" t="s">
        <v>30</v>
      </c>
      <c r="C259">
        <v>0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2E1D-9CF6-4AD3-84FC-82BB6D819585}">
  <sheetPr codeName="Sheet27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453</v>
      </c>
      <c r="D2">
        <v>0.98553234844625581</v>
      </c>
    </row>
    <row r="3" spans="1:29" x14ac:dyDescent="0.3">
      <c r="A3" t="s">
        <v>53</v>
      </c>
      <c r="B3" t="s">
        <v>27</v>
      </c>
      <c r="C3">
        <v>124</v>
      </c>
      <c r="D3">
        <v>0.77655086848635246</v>
      </c>
    </row>
    <row r="4" spans="1:29" x14ac:dyDescent="0.3">
      <c r="A4" t="s">
        <v>53</v>
      </c>
      <c r="B4" t="s">
        <v>27</v>
      </c>
      <c r="C4">
        <v>1</v>
      </c>
      <c r="D4">
        <v>0</v>
      </c>
    </row>
    <row r="5" spans="1:29" x14ac:dyDescent="0.3">
      <c r="A5" t="s">
        <v>53</v>
      </c>
      <c r="B5" t="s">
        <v>27</v>
      </c>
      <c r="C5">
        <v>0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317</v>
      </c>
      <c r="D7">
        <v>0.99412763892259171</v>
      </c>
    </row>
    <row r="8" spans="1:29" x14ac:dyDescent="0.3">
      <c r="A8" t="s">
        <v>53</v>
      </c>
      <c r="B8" t="s">
        <v>28</v>
      </c>
      <c r="C8">
        <v>13</v>
      </c>
      <c r="D8">
        <v>0.6733727810650888</v>
      </c>
    </row>
    <row r="9" spans="1:29" x14ac:dyDescent="0.3">
      <c r="A9" t="s">
        <v>53</v>
      </c>
      <c r="B9" t="s">
        <v>28</v>
      </c>
      <c r="C9">
        <v>0</v>
      </c>
      <c r="D9">
        <v>0</v>
      </c>
    </row>
    <row r="10" spans="1:29" x14ac:dyDescent="0.3">
      <c r="A10" t="s">
        <v>53</v>
      </c>
      <c r="B10" t="s">
        <v>28</v>
      </c>
      <c r="C10">
        <v>0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555</v>
      </c>
      <c r="D12">
        <v>0.99367983367983381</v>
      </c>
    </row>
    <row r="13" spans="1:29" x14ac:dyDescent="0.3">
      <c r="A13" t="s">
        <v>53</v>
      </c>
      <c r="B13" t="s">
        <v>29</v>
      </c>
      <c r="C13">
        <v>363</v>
      </c>
      <c r="D13">
        <v>0.94049586776859506</v>
      </c>
    </row>
    <row r="14" spans="1:29" x14ac:dyDescent="0.3">
      <c r="A14" t="s">
        <v>53</v>
      </c>
      <c r="B14" t="s">
        <v>29</v>
      </c>
      <c r="C14">
        <v>15</v>
      </c>
      <c r="D14">
        <v>0</v>
      </c>
    </row>
    <row r="15" spans="1:29" x14ac:dyDescent="0.3">
      <c r="A15" t="s">
        <v>53</v>
      </c>
      <c r="B15" t="s">
        <v>29</v>
      </c>
      <c r="C15">
        <v>1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46</v>
      </c>
      <c r="D17">
        <v>0.95150501672240806</v>
      </c>
    </row>
    <row r="18" spans="1:4" x14ac:dyDescent="0.3">
      <c r="A18" t="s">
        <v>53</v>
      </c>
      <c r="B18" t="s">
        <v>30</v>
      </c>
      <c r="C18">
        <v>18</v>
      </c>
      <c r="D18">
        <v>0.48632478632478632</v>
      </c>
    </row>
    <row r="19" spans="1:4" x14ac:dyDescent="0.3">
      <c r="A19" t="s">
        <v>53</v>
      </c>
      <c r="B19" t="s">
        <v>30</v>
      </c>
      <c r="C19">
        <v>2</v>
      </c>
      <c r="D19">
        <v>4.3769230769230774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484</v>
      </c>
      <c r="D22">
        <v>0.97056986354026531</v>
      </c>
    </row>
    <row r="23" spans="1:4" x14ac:dyDescent="0.3">
      <c r="A23" t="s">
        <v>53</v>
      </c>
      <c r="B23" t="s">
        <v>27</v>
      </c>
      <c r="C23">
        <v>87</v>
      </c>
      <c r="D23">
        <v>1.0646885859395885</v>
      </c>
    </row>
    <row r="24" spans="1:4" x14ac:dyDescent="0.3">
      <c r="A24" t="s">
        <v>53</v>
      </c>
      <c r="B24" t="s">
        <v>27</v>
      </c>
      <c r="C24">
        <v>14</v>
      </c>
      <c r="D24">
        <v>1.8903654485049834</v>
      </c>
    </row>
    <row r="25" spans="1:4" x14ac:dyDescent="0.3">
      <c r="A25" t="s">
        <v>53</v>
      </c>
      <c r="B25" t="s">
        <v>27</v>
      </c>
      <c r="C25">
        <v>0</v>
      </c>
      <c r="D25">
        <v>0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21</v>
      </c>
      <c r="D27">
        <v>0.63012181616832774</v>
      </c>
    </row>
    <row r="28" spans="1:4" x14ac:dyDescent="0.3">
      <c r="A28" t="s">
        <v>26</v>
      </c>
      <c r="B28" t="s">
        <v>28</v>
      </c>
      <c r="C28">
        <v>4</v>
      </c>
      <c r="D28">
        <v>0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551</v>
      </c>
      <c r="D32">
        <v>0.99664457856750954</v>
      </c>
    </row>
    <row r="33" spans="1:4" x14ac:dyDescent="0.3">
      <c r="A33" t="s">
        <v>26</v>
      </c>
      <c r="B33" t="s">
        <v>29</v>
      </c>
      <c r="C33">
        <v>327</v>
      </c>
      <c r="D33">
        <v>0.78909750373373166</v>
      </c>
    </row>
    <row r="34" spans="1:4" x14ac:dyDescent="0.3">
      <c r="A34" t="s">
        <v>26</v>
      </c>
      <c r="B34" t="s">
        <v>29</v>
      </c>
      <c r="C34">
        <v>20</v>
      </c>
      <c r="D34">
        <v>0.99244186046511629</v>
      </c>
    </row>
    <row r="35" spans="1:4" x14ac:dyDescent="0.3">
      <c r="A35" t="s">
        <v>26</v>
      </c>
      <c r="B35" t="s">
        <v>29</v>
      </c>
      <c r="C35">
        <v>2</v>
      </c>
      <c r="D35">
        <v>3.308139534883721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48</v>
      </c>
      <c r="D37">
        <v>0.2756782945736434</v>
      </c>
    </row>
    <row r="38" spans="1:4" x14ac:dyDescent="0.3">
      <c r="A38" t="s">
        <v>26</v>
      </c>
      <c r="B38" t="s">
        <v>30</v>
      </c>
      <c r="C38">
        <v>17</v>
      </c>
      <c r="D38">
        <v>0.38919288645690836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555</v>
      </c>
      <c r="D42">
        <v>1.0252252252252252</v>
      </c>
    </row>
    <row r="43" spans="1:4" x14ac:dyDescent="0.3">
      <c r="A43" t="s">
        <v>54</v>
      </c>
      <c r="B43" t="s">
        <v>27</v>
      </c>
      <c r="C43">
        <v>338</v>
      </c>
      <c r="D43">
        <v>0.93958992706756583</v>
      </c>
    </row>
    <row r="44" spans="1:4" x14ac:dyDescent="0.3">
      <c r="A44" t="s">
        <v>54</v>
      </c>
      <c r="B44" t="s">
        <v>27</v>
      </c>
      <c r="C44">
        <v>53</v>
      </c>
      <c r="D44">
        <v>0.87384817902588863</v>
      </c>
    </row>
    <row r="45" spans="1:4" x14ac:dyDescent="0.3">
      <c r="A45" t="s">
        <v>54</v>
      </c>
      <c r="B45" t="s">
        <v>27</v>
      </c>
      <c r="C45">
        <v>3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11</v>
      </c>
      <c r="D47">
        <v>0.60147991543340384</v>
      </c>
    </row>
    <row r="48" spans="1:4" x14ac:dyDescent="0.3">
      <c r="A48" t="s">
        <v>54</v>
      </c>
      <c r="B48" t="s">
        <v>28</v>
      </c>
      <c r="C48">
        <v>0</v>
      </c>
      <c r="D48">
        <v>0</v>
      </c>
    </row>
    <row r="49" spans="1:4" x14ac:dyDescent="0.3">
      <c r="A49" t="s">
        <v>54</v>
      </c>
      <c r="B49" t="s">
        <v>28</v>
      </c>
      <c r="C49">
        <v>0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561</v>
      </c>
      <c r="D52">
        <v>1.0142602495543671</v>
      </c>
    </row>
    <row r="53" spans="1:4" x14ac:dyDescent="0.3">
      <c r="A53" t="s">
        <v>54</v>
      </c>
      <c r="B53" t="s">
        <v>29</v>
      </c>
      <c r="C53">
        <v>463</v>
      </c>
      <c r="D53">
        <v>0.9574313124717464</v>
      </c>
    </row>
    <row r="54" spans="1:4" x14ac:dyDescent="0.3">
      <c r="A54" t="s">
        <v>54</v>
      </c>
      <c r="B54" t="s">
        <v>29</v>
      </c>
      <c r="C54">
        <v>110</v>
      </c>
      <c r="D54">
        <v>1.1428118393234674</v>
      </c>
    </row>
    <row r="55" spans="1:4" x14ac:dyDescent="0.3">
      <c r="A55" t="s">
        <v>54</v>
      </c>
      <c r="B55" t="s">
        <v>29</v>
      </c>
      <c r="C55">
        <v>4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17</v>
      </c>
      <c r="D57">
        <v>0.77838577291381672</v>
      </c>
    </row>
    <row r="58" spans="1:4" x14ac:dyDescent="0.3">
      <c r="A58" t="s">
        <v>54</v>
      </c>
      <c r="B58" t="s">
        <v>30</v>
      </c>
      <c r="C58">
        <v>3</v>
      </c>
      <c r="D58">
        <v>0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544</v>
      </c>
      <c r="D62">
        <v>0.86561866125760656</v>
      </c>
    </row>
    <row r="63" spans="1:4" x14ac:dyDescent="0.3">
      <c r="A63" t="s">
        <v>31</v>
      </c>
      <c r="B63" t="s">
        <v>27</v>
      </c>
      <c r="C63">
        <v>285</v>
      </c>
      <c r="D63">
        <v>0.55075620084694499</v>
      </c>
    </row>
    <row r="64" spans="1:4" x14ac:dyDescent="0.3">
      <c r="A64" t="s">
        <v>31</v>
      </c>
      <c r="B64" t="s">
        <v>27</v>
      </c>
      <c r="C64">
        <v>15</v>
      </c>
      <c r="D64">
        <v>1.3080459770114943</v>
      </c>
    </row>
    <row r="65" spans="1:4" x14ac:dyDescent="0.3">
      <c r="A65" t="s">
        <v>31</v>
      </c>
      <c r="B65" t="s">
        <v>27</v>
      </c>
      <c r="C65">
        <v>0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275</v>
      </c>
      <c r="D67">
        <v>1.1415673981191223</v>
      </c>
    </row>
    <row r="68" spans="1:4" x14ac:dyDescent="0.3">
      <c r="A68" t="s">
        <v>31</v>
      </c>
      <c r="B68" t="s">
        <v>28</v>
      </c>
      <c r="C68">
        <v>28</v>
      </c>
      <c r="D68">
        <v>0.70073891625615758</v>
      </c>
    </row>
    <row r="69" spans="1:4" x14ac:dyDescent="0.3">
      <c r="A69" t="s">
        <v>31</v>
      </c>
      <c r="B69" t="s">
        <v>28</v>
      </c>
      <c r="C69">
        <v>1</v>
      </c>
      <c r="D69">
        <v>0</v>
      </c>
    </row>
    <row r="70" spans="1:4" x14ac:dyDescent="0.3">
      <c r="A70" t="s">
        <v>31</v>
      </c>
      <c r="B70" t="s">
        <v>28</v>
      </c>
      <c r="C70">
        <v>0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552</v>
      </c>
      <c r="D72">
        <v>0.85307346326836575</v>
      </c>
    </row>
    <row r="73" spans="1:4" x14ac:dyDescent="0.3">
      <c r="A73" t="s">
        <v>31</v>
      </c>
      <c r="B73" t="s">
        <v>29</v>
      </c>
      <c r="C73">
        <v>289</v>
      </c>
      <c r="D73">
        <v>0.74680825677126839</v>
      </c>
    </row>
    <row r="74" spans="1:4" x14ac:dyDescent="0.3">
      <c r="A74" t="s">
        <v>31</v>
      </c>
      <c r="B74" t="s">
        <v>29</v>
      </c>
      <c r="C74">
        <v>16</v>
      </c>
      <c r="D74">
        <v>0</v>
      </c>
    </row>
    <row r="75" spans="1:4" x14ac:dyDescent="0.3">
      <c r="A75" t="s">
        <v>31</v>
      </c>
      <c r="B75" t="s">
        <v>29</v>
      </c>
      <c r="C75">
        <v>4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343</v>
      </c>
      <c r="D77">
        <v>1.258469890419222</v>
      </c>
    </row>
    <row r="78" spans="1:4" x14ac:dyDescent="0.3">
      <c r="A78" t="s">
        <v>31</v>
      </c>
      <c r="B78" t="s">
        <v>30</v>
      </c>
      <c r="C78">
        <v>37</v>
      </c>
      <c r="D78">
        <v>0.53028890959925445</v>
      </c>
    </row>
    <row r="79" spans="1:4" x14ac:dyDescent="0.3">
      <c r="A79" t="s">
        <v>31</v>
      </c>
      <c r="B79" t="s">
        <v>30</v>
      </c>
      <c r="C79">
        <v>0</v>
      </c>
      <c r="D79">
        <v>0</v>
      </c>
    </row>
    <row r="80" spans="1:4" x14ac:dyDescent="0.3">
      <c r="A80" t="s">
        <v>31</v>
      </c>
      <c r="B80" t="s">
        <v>30</v>
      </c>
      <c r="C80">
        <v>0</v>
      </c>
      <c r="D80">
        <v>0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564</v>
      </c>
      <c r="D82">
        <v>1.0088652482269505</v>
      </c>
    </row>
    <row r="83" spans="1:4" x14ac:dyDescent="0.3">
      <c r="A83" t="s">
        <v>55</v>
      </c>
      <c r="B83" t="s">
        <v>27</v>
      </c>
      <c r="C83">
        <v>495</v>
      </c>
      <c r="D83">
        <v>0.79027777777777786</v>
      </c>
    </row>
    <row r="84" spans="1:4" x14ac:dyDescent="0.3">
      <c r="A84" t="s">
        <v>55</v>
      </c>
      <c r="B84" t="s">
        <v>27</v>
      </c>
      <c r="C84">
        <v>155</v>
      </c>
      <c r="D84">
        <v>0.91774193548387106</v>
      </c>
    </row>
    <row r="85" spans="1:4" x14ac:dyDescent="0.3">
      <c r="A85" t="s">
        <v>55</v>
      </c>
      <c r="B85" t="s">
        <v>27</v>
      </c>
      <c r="C85">
        <v>5</v>
      </c>
      <c r="D85">
        <v>3.5562500000000004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33</v>
      </c>
      <c r="D87">
        <v>3.2329545454545459</v>
      </c>
    </row>
    <row r="88" spans="1:4" x14ac:dyDescent="0.3">
      <c r="A88" t="s">
        <v>55</v>
      </c>
      <c r="B88" t="s">
        <v>28</v>
      </c>
      <c r="C88">
        <v>8</v>
      </c>
      <c r="D88">
        <v>0</v>
      </c>
    </row>
    <row r="89" spans="1:4" x14ac:dyDescent="0.3">
      <c r="A89" t="s">
        <v>55</v>
      </c>
      <c r="B89" t="s">
        <v>28</v>
      </c>
      <c r="C89">
        <v>1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476</v>
      </c>
      <c r="D93">
        <v>0.70975577731092432</v>
      </c>
    </row>
    <row r="94" spans="1:4" x14ac:dyDescent="0.3">
      <c r="A94" t="s">
        <v>55</v>
      </c>
      <c r="B94" t="s">
        <v>29</v>
      </c>
      <c r="C94">
        <v>139</v>
      </c>
      <c r="D94">
        <v>0.63961330935251803</v>
      </c>
    </row>
    <row r="95" spans="1:4" x14ac:dyDescent="0.3">
      <c r="A95" t="s">
        <v>55</v>
      </c>
      <c r="B95" t="s">
        <v>29</v>
      </c>
      <c r="C95">
        <v>7</v>
      </c>
      <c r="D95">
        <v>2.5401785714285716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14</v>
      </c>
      <c r="D97">
        <v>5.0803571428571432</v>
      </c>
    </row>
    <row r="98" spans="1:4" x14ac:dyDescent="0.3">
      <c r="A98" t="s">
        <v>55</v>
      </c>
      <c r="B98" t="s">
        <v>30</v>
      </c>
      <c r="C98">
        <v>0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465</v>
      </c>
      <c r="D102">
        <v>1.2236559139784946</v>
      </c>
    </row>
    <row r="103" spans="1:4" x14ac:dyDescent="0.3">
      <c r="A103" t="s">
        <v>32</v>
      </c>
      <c r="B103" t="s">
        <v>27</v>
      </c>
      <c r="C103">
        <v>136</v>
      </c>
      <c r="D103">
        <v>2.9189466484268127</v>
      </c>
    </row>
    <row r="104" spans="1:4" x14ac:dyDescent="0.3">
      <c r="A104" t="s">
        <v>32</v>
      </c>
      <c r="B104" t="s">
        <v>27</v>
      </c>
      <c r="C104">
        <v>0</v>
      </c>
      <c r="D104">
        <v>0</v>
      </c>
    </row>
    <row r="105" spans="1:4" x14ac:dyDescent="0.3">
      <c r="A105" t="s">
        <v>32</v>
      </c>
      <c r="B105" t="s">
        <v>27</v>
      </c>
      <c r="C105">
        <v>0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10</v>
      </c>
      <c r="D107">
        <v>1.3232558139534885</v>
      </c>
    </row>
    <row r="108" spans="1:4" x14ac:dyDescent="0.3">
      <c r="A108" t="s">
        <v>32</v>
      </c>
      <c r="B108" t="s">
        <v>28</v>
      </c>
      <c r="C108">
        <v>0</v>
      </c>
      <c r="D108">
        <v>0</v>
      </c>
    </row>
    <row r="109" spans="1:4" x14ac:dyDescent="0.3">
      <c r="A109" t="s">
        <v>32</v>
      </c>
      <c r="B109" t="s">
        <v>28</v>
      </c>
      <c r="C109">
        <v>0</v>
      </c>
      <c r="D109">
        <v>0</v>
      </c>
    </row>
    <row r="110" spans="1:4" x14ac:dyDescent="0.3">
      <c r="A110" t="s">
        <v>32</v>
      </c>
      <c r="B110" t="s">
        <v>28</v>
      </c>
      <c r="C110">
        <v>0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509</v>
      </c>
      <c r="D112">
        <v>1.117878192534381</v>
      </c>
    </row>
    <row r="113" spans="1:4" x14ac:dyDescent="0.3">
      <c r="A113" t="s">
        <v>32</v>
      </c>
      <c r="B113" t="s">
        <v>29</v>
      </c>
      <c r="C113">
        <v>180</v>
      </c>
      <c r="D113">
        <v>2.3524547803617573</v>
      </c>
    </row>
    <row r="114" spans="1:4" x14ac:dyDescent="0.3">
      <c r="A114" t="s">
        <v>32</v>
      </c>
      <c r="B114" t="s">
        <v>29</v>
      </c>
      <c r="C114">
        <v>5</v>
      </c>
      <c r="D114">
        <v>0</v>
      </c>
    </row>
    <row r="115" spans="1:4" x14ac:dyDescent="0.3">
      <c r="A115" t="s">
        <v>32</v>
      </c>
      <c r="B115" t="s">
        <v>29</v>
      </c>
      <c r="C115">
        <v>0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33</v>
      </c>
      <c r="D117">
        <v>0.4009866102889359</v>
      </c>
    </row>
    <row r="118" spans="1:4" x14ac:dyDescent="0.3">
      <c r="A118" t="s">
        <v>32</v>
      </c>
      <c r="B118" t="s">
        <v>30</v>
      </c>
      <c r="C118">
        <v>8</v>
      </c>
      <c r="D118">
        <v>0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565</v>
      </c>
      <c r="D122">
        <v>1.0070796460176989</v>
      </c>
    </row>
    <row r="123" spans="1:4" x14ac:dyDescent="0.3">
      <c r="A123" t="s">
        <v>33</v>
      </c>
      <c r="B123" t="s">
        <v>27</v>
      </c>
      <c r="C123">
        <v>458</v>
      </c>
      <c r="D123">
        <v>0.99875845534720431</v>
      </c>
    </row>
    <row r="124" spans="1:4" x14ac:dyDescent="0.3">
      <c r="A124" t="s">
        <v>33</v>
      </c>
      <c r="B124" t="s">
        <v>27</v>
      </c>
      <c r="C124">
        <v>103</v>
      </c>
      <c r="D124">
        <v>1.6247858366647627</v>
      </c>
    </row>
    <row r="125" spans="1:4" x14ac:dyDescent="0.3">
      <c r="A125" t="s">
        <v>33</v>
      </c>
      <c r="B125" t="s">
        <v>27</v>
      </c>
      <c r="C125">
        <v>3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18</v>
      </c>
      <c r="D127">
        <v>0.61982570806100212</v>
      </c>
    </row>
    <row r="128" spans="1:4" x14ac:dyDescent="0.3">
      <c r="A128" t="s">
        <v>33</v>
      </c>
      <c r="B128" t="s">
        <v>28</v>
      </c>
      <c r="C128">
        <v>1</v>
      </c>
      <c r="D128">
        <v>0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482</v>
      </c>
      <c r="D132">
        <v>0.83329265316084933</v>
      </c>
    </row>
    <row r="133" spans="1:4" x14ac:dyDescent="0.3">
      <c r="A133" t="s">
        <v>33</v>
      </c>
      <c r="B133" t="s">
        <v>29</v>
      </c>
      <c r="C133">
        <v>181</v>
      </c>
      <c r="D133">
        <v>0.36984075398115046</v>
      </c>
    </row>
    <row r="134" spans="1:4" x14ac:dyDescent="0.3">
      <c r="A134" t="s">
        <v>33</v>
      </c>
      <c r="B134" t="s">
        <v>29</v>
      </c>
      <c r="C134">
        <v>18</v>
      </c>
      <c r="D134">
        <v>0</v>
      </c>
    </row>
    <row r="135" spans="1:4" x14ac:dyDescent="0.3">
      <c r="A135" t="s">
        <v>33</v>
      </c>
      <c r="B135" t="s">
        <v>29</v>
      </c>
      <c r="C135">
        <v>0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21</v>
      </c>
      <c r="D137">
        <v>0.53127917833800176</v>
      </c>
    </row>
    <row r="138" spans="1:4" x14ac:dyDescent="0.3">
      <c r="A138" t="s">
        <v>33</v>
      </c>
      <c r="B138" t="s">
        <v>30</v>
      </c>
      <c r="C138">
        <v>3</v>
      </c>
      <c r="D138">
        <v>0</v>
      </c>
    </row>
    <row r="139" spans="1:4" x14ac:dyDescent="0.3">
      <c r="A139" t="s">
        <v>33</v>
      </c>
      <c r="B139" t="s">
        <v>30</v>
      </c>
      <c r="C139">
        <v>0</v>
      </c>
      <c r="D139">
        <v>0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551</v>
      </c>
      <c r="D142">
        <v>0.98776927325810782</v>
      </c>
    </row>
    <row r="143" spans="1:4" x14ac:dyDescent="0.3">
      <c r="A143" t="s">
        <v>34</v>
      </c>
      <c r="B143" t="s">
        <v>27</v>
      </c>
      <c r="C143">
        <v>225</v>
      </c>
      <c r="D143">
        <v>0.98956521739130432</v>
      </c>
    </row>
    <row r="144" spans="1:4" x14ac:dyDescent="0.3">
      <c r="A144" t="s">
        <v>34</v>
      </c>
      <c r="B144" t="s">
        <v>27</v>
      </c>
      <c r="C144">
        <v>15</v>
      </c>
      <c r="D144">
        <v>2.7487922705314007</v>
      </c>
    </row>
    <row r="145" spans="1:4" x14ac:dyDescent="0.3">
      <c r="A145" t="s">
        <v>34</v>
      </c>
      <c r="B145" t="s">
        <v>27</v>
      </c>
      <c r="C145">
        <v>1</v>
      </c>
      <c r="D145">
        <v>0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19</v>
      </c>
      <c r="D147">
        <v>0</v>
      </c>
    </row>
    <row r="148" spans="1:4" x14ac:dyDescent="0.3">
      <c r="A148" t="s">
        <v>34</v>
      </c>
      <c r="B148" t="s">
        <v>28</v>
      </c>
      <c r="C148">
        <v>3</v>
      </c>
      <c r="D148">
        <v>0</v>
      </c>
    </row>
    <row r="149" spans="1:4" x14ac:dyDescent="0.3">
      <c r="A149" t="s">
        <v>34</v>
      </c>
      <c r="B149" t="s">
        <v>28</v>
      </c>
      <c r="C149">
        <v>0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483</v>
      </c>
      <c r="D152">
        <v>1.0926876106460228</v>
      </c>
    </row>
    <row r="153" spans="1:4" x14ac:dyDescent="0.3">
      <c r="A153" t="s">
        <v>34</v>
      </c>
      <c r="B153" t="s">
        <v>29</v>
      </c>
      <c r="C153">
        <v>68</v>
      </c>
      <c r="D153">
        <v>1.6977834612105711</v>
      </c>
    </row>
    <row r="154" spans="1:4" x14ac:dyDescent="0.3">
      <c r="A154" t="s">
        <v>34</v>
      </c>
      <c r="B154" t="s">
        <v>29</v>
      </c>
      <c r="C154">
        <v>5</v>
      </c>
      <c r="D154">
        <v>3.2985507246376815</v>
      </c>
    </row>
    <row r="155" spans="1:4" x14ac:dyDescent="0.3">
      <c r="A155" t="s">
        <v>34</v>
      </c>
      <c r="B155" t="s">
        <v>29</v>
      </c>
      <c r="C155">
        <v>0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45</v>
      </c>
      <c r="D157">
        <v>0.54975845410628021</v>
      </c>
    </row>
    <row r="158" spans="1:4" x14ac:dyDescent="0.3">
      <c r="A158" t="s">
        <v>34</v>
      </c>
      <c r="B158" t="s">
        <v>30</v>
      </c>
      <c r="C158">
        <v>15</v>
      </c>
      <c r="D158">
        <v>0.54975845410628021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566</v>
      </c>
      <c r="D162">
        <v>0.98633242216147754</v>
      </c>
    </row>
    <row r="163" spans="1:4" x14ac:dyDescent="0.3">
      <c r="A163" t="s">
        <v>56</v>
      </c>
      <c r="B163" t="s">
        <v>27</v>
      </c>
      <c r="C163">
        <v>440</v>
      </c>
      <c r="D163">
        <v>0.85398799313893659</v>
      </c>
    </row>
    <row r="164" spans="1:4" x14ac:dyDescent="0.3">
      <c r="A164" t="s">
        <v>56</v>
      </c>
      <c r="B164" t="s">
        <v>27</v>
      </c>
      <c r="C164">
        <v>82</v>
      </c>
      <c r="D164">
        <v>0.78554993097100778</v>
      </c>
    </row>
    <row r="165" spans="1:4" x14ac:dyDescent="0.3">
      <c r="A165" t="s">
        <v>56</v>
      </c>
      <c r="B165" t="s">
        <v>27</v>
      </c>
      <c r="C165">
        <v>3</v>
      </c>
      <c r="D165">
        <v>0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298</v>
      </c>
      <c r="D167">
        <v>0.68450044320628101</v>
      </c>
    </row>
    <row r="168" spans="1:4" x14ac:dyDescent="0.3">
      <c r="A168" t="s">
        <v>56</v>
      </c>
      <c r="B168" t="s">
        <v>28</v>
      </c>
      <c r="C168">
        <v>41</v>
      </c>
      <c r="D168">
        <v>0.78554993097100778</v>
      </c>
    </row>
    <row r="169" spans="1:4" x14ac:dyDescent="0.3">
      <c r="A169" t="s">
        <v>56</v>
      </c>
      <c r="B169" t="s">
        <v>28</v>
      </c>
      <c r="C169">
        <v>0</v>
      </c>
      <c r="D169">
        <v>0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535</v>
      </c>
      <c r="D172">
        <v>0.96321636395697408</v>
      </c>
    </row>
    <row r="173" spans="1:4" x14ac:dyDescent="0.3">
      <c r="A173" t="s">
        <v>56</v>
      </c>
      <c r="B173" t="s">
        <v>29</v>
      </c>
      <c r="C173">
        <v>285</v>
      </c>
      <c r="D173">
        <v>1.0170804369414101</v>
      </c>
    </row>
    <row r="174" spans="1:4" x14ac:dyDescent="0.3">
      <c r="A174" t="s">
        <v>56</v>
      </c>
      <c r="B174" t="s">
        <v>29</v>
      </c>
      <c r="C174">
        <v>48</v>
      </c>
      <c r="D174">
        <v>1.5656446540880504</v>
      </c>
    </row>
    <row r="175" spans="1:4" x14ac:dyDescent="0.3">
      <c r="A175" t="s">
        <v>56</v>
      </c>
      <c r="B175" t="s">
        <v>29</v>
      </c>
      <c r="C175">
        <v>5</v>
      </c>
      <c r="D175">
        <v>2.1471698113207549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17</v>
      </c>
      <c r="D177">
        <v>0.63152053274139852</v>
      </c>
    </row>
    <row r="178" spans="1:4" x14ac:dyDescent="0.3">
      <c r="A178" t="s">
        <v>56</v>
      </c>
      <c r="B178" t="s">
        <v>30</v>
      </c>
      <c r="C178">
        <v>1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513</v>
      </c>
      <c r="D182">
        <v>0.953489962723573</v>
      </c>
    </row>
    <row r="183" spans="1:4" x14ac:dyDescent="0.3">
      <c r="A183" t="s">
        <v>57</v>
      </c>
      <c r="B183" t="s">
        <v>27</v>
      </c>
      <c r="C183">
        <v>287</v>
      </c>
      <c r="D183">
        <v>0.90433400574607259</v>
      </c>
    </row>
    <row r="184" spans="1:4" x14ac:dyDescent="0.3">
      <c r="A184" t="s">
        <v>57</v>
      </c>
      <c r="B184" t="s">
        <v>27</v>
      </c>
      <c r="C184">
        <v>24</v>
      </c>
      <c r="D184">
        <v>1.2478070175438596</v>
      </c>
    </row>
    <row r="185" spans="1:4" x14ac:dyDescent="0.3">
      <c r="A185" t="s">
        <v>57</v>
      </c>
      <c r="B185" t="s">
        <v>27</v>
      </c>
      <c r="C185">
        <v>0</v>
      </c>
      <c r="D185">
        <v>0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495</v>
      </c>
      <c r="D187">
        <v>0.84699627857522597</v>
      </c>
    </row>
    <row r="188" spans="1:4" x14ac:dyDescent="0.3">
      <c r="A188" t="s">
        <v>57</v>
      </c>
      <c r="B188" t="s">
        <v>28</v>
      </c>
      <c r="C188">
        <v>160</v>
      </c>
      <c r="D188">
        <v>0.3119517543859649</v>
      </c>
    </row>
    <row r="189" spans="1:4" x14ac:dyDescent="0.3">
      <c r="A189" t="s">
        <v>57</v>
      </c>
      <c r="B189" t="s">
        <v>28</v>
      </c>
      <c r="C189">
        <v>1</v>
      </c>
      <c r="D189">
        <v>0</v>
      </c>
    </row>
    <row r="190" spans="1:4" x14ac:dyDescent="0.3">
      <c r="A190" t="s">
        <v>57</v>
      </c>
      <c r="B190" t="s">
        <v>28</v>
      </c>
      <c r="C190">
        <v>0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499</v>
      </c>
      <c r="D192">
        <v>0.92022641774777625</v>
      </c>
    </row>
    <row r="193" spans="1:4" x14ac:dyDescent="0.3">
      <c r="A193" t="s">
        <v>57</v>
      </c>
      <c r="B193" t="s">
        <v>29</v>
      </c>
      <c r="C193">
        <v>223</v>
      </c>
      <c r="D193">
        <v>0.9848163008417905</v>
      </c>
    </row>
    <row r="194" spans="1:4" x14ac:dyDescent="0.3">
      <c r="A194" t="s">
        <v>57</v>
      </c>
      <c r="B194" t="s">
        <v>29</v>
      </c>
      <c r="C194">
        <v>14</v>
      </c>
      <c r="D194">
        <v>2.1390977443609023</v>
      </c>
    </row>
    <row r="195" spans="1:4" x14ac:dyDescent="0.3">
      <c r="A195" t="s">
        <v>57</v>
      </c>
      <c r="B195" t="s">
        <v>29</v>
      </c>
      <c r="C195">
        <v>4</v>
      </c>
      <c r="D195">
        <v>2.4956140350877192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19</v>
      </c>
      <c r="D197">
        <v>0</v>
      </c>
    </row>
    <row r="198" spans="1:4" x14ac:dyDescent="0.3">
      <c r="A198" t="s">
        <v>57</v>
      </c>
      <c r="B198" t="s">
        <v>30</v>
      </c>
      <c r="C198">
        <v>2</v>
      </c>
      <c r="D198">
        <v>0</v>
      </c>
    </row>
    <row r="199" spans="1:4" x14ac:dyDescent="0.3">
      <c r="A199" t="s">
        <v>57</v>
      </c>
      <c r="B199" t="s">
        <v>30</v>
      </c>
      <c r="C199">
        <v>1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559</v>
      </c>
      <c r="D202">
        <v>1.0178890876565294</v>
      </c>
    </row>
    <row r="203" spans="1:4" x14ac:dyDescent="0.3">
      <c r="A203" t="s">
        <v>35</v>
      </c>
      <c r="B203" t="s">
        <v>27</v>
      </c>
      <c r="C203">
        <v>331</v>
      </c>
      <c r="D203">
        <v>1.101944379889999</v>
      </c>
    </row>
    <row r="204" spans="1:4" x14ac:dyDescent="0.3">
      <c r="A204" t="s">
        <v>35</v>
      </c>
      <c r="B204" t="s">
        <v>27</v>
      </c>
      <c r="C204">
        <v>51</v>
      </c>
      <c r="D204">
        <v>1.1442936148818501</v>
      </c>
    </row>
    <row r="205" spans="1:4" x14ac:dyDescent="0.3">
      <c r="A205" t="s">
        <v>35</v>
      </c>
      <c r="B205" t="s">
        <v>27</v>
      </c>
      <c r="C205">
        <v>2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556</v>
      </c>
      <c r="D207">
        <v>0.99714074893931004</v>
      </c>
    </row>
    <row r="208" spans="1:4" x14ac:dyDescent="0.3">
      <c r="A208" t="s">
        <v>35</v>
      </c>
      <c r="B208" t="s">
        <v>28</v>
      </c>
      <c r="C208">
        <v>362</v>
      </c>
      <c r="D208">
        <v>1.2493979317183737</v>
      </c>
    </row>
    <row r="209" spans="1:4" x14ac:dyDescent="0.3">
      <c r="A209" t="s">
        <v>35</v>
      </c>
      <c r="B209" t="s">
        <v>28</v>
      </c>
      <c r="C209">
        <v>2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">
      <c r="A213" t="s">
        <v>35</v>
      </c>
      <c r="B213" t="s">
        <v>29</v>
      </c>
      <c r="C213">
        <v>403</v>
      </c>
      <c r="D213">
        <v>1.0860851307501429</v>
      </c>
    </row>
    <row r="214" spans="1:4" x14ac:dyDescent="0.3">
      <c r="A214" t="s">
        <v>35</v>
      </c>
      <c r="B214" t="s">
        <v>29</v>
      </c>
      <c r="C214">
        <v>76</v>
      </c>
      <c r="D214">
        <v>0.76788124156545201</v>
      </c>
    </row>
    <row r="215" spans="1:4" x14ac:dyDescent="0.3">
      <c r="A215" t="s">
        <v>35</v>
      </c>
      <c r="B215" t="s">
        <v>29</v>
      </c>
      <c r="C215">
        <v>2</v>
      </c>
      <c r="D215">
        <v>0</v>
      </c>
    </row>
    <row r="216" spans="1:4" x14ac:dyDescent="0.3">
      <c r="A216" t="s">
        <v>35</v>
      </c>
      <c r="B216" t="s">
        <v>29</v>
      </c>
      <c r="C216">
        <v>0</v>
      </c>
      <c r="D216">
        <v>0</v>
      </c>
    </row>
    <row r="217" spans="1:4" x14ac:dyDescent="0.3">
      <c r="A217" t="s">
        <v>35</v>
      </c>
      <c r="B217" t="s">
        <v>30</v>
      </c>
      <c r="C217">
        <v>556</v>
      </c>
      <c r="D217">
        <v>0.99714074893931004</v>
      </c>
    </row>
    <row r="218" spans="1:4" x14ac:dyDescent="0.3">
      <c r="A218" t="s">
        <v>35</v>
      </c>
      <c r="B218" t="s">
        <v>30</v>
      </c>
      <c r="C218">
        <v>364</v>
      </c>
      <c r="D218">
        <v>1.2425331079177233</v>
      </c>
    </row>
    <row r="219" spans="1:4" x14ac:dyDescent="0.3">
      <c r="A219" t="s">
        <v>35</v>
      </c>
      <c r="B219" t="s">
        <v>30</v>
      </c>
      <c r="C219">
        <v>1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414</v>
      </c>
      <c r="D222">
        <v>1.1044254658385093</v>
      </c>
    </row>
    <row r="223" spans="1:4" x14ac:dyDescent="0.3">
      <c r="A223" t="s">
        <v>37</v>
      </c>
      <c r="B223" t="s">
        <v>27</v>
      </c>
      <c r="C223">
        <v>65</v>
      </c>
      <c r="D223">
        <v>0.46895604395604401</v>
      </c>
    </row>
    <row r="224" spans="1:4" x14ac:dyDescent="0.3">
      <c r="A224" t="s">
        <v>37</v>
      </c>
      <c r="B224" t="s">
        <v>27</v>
      </c>
      <c r="C224">
        <v>0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45</v>
      </c>
      <c r="D227">
        <v>0.90317460317460319</v>
      </c>
    </row>
    <row r="228" spans="1:4" x14ac:dyDescent="0.3">
      <c r="A228" t="s">
        <v>37</v>
      </c>
      <c r="B228" t="s">
        <v>28</v>
      </c>
      <c r="C228">
        <v>4</v>
      </c>
      <c r="D228">
        <v>2.5401785714285716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414</v>
      </c>
      <c r="D232">
        <v>1.2025966183574879</v>
      </c>
    </row>
    <row r="233" spans="1:4" x14ac:dyDescent="0.3">
      <c r="A233" t="s">
        <v>37</v>
      </c>
      <c r="B233" t="s">
        <v>29</v>
      </c>
      <c r="C233">
        <v>90</v>
      </c>
      <c r="D233">
        <v>0.90317460317460319</v>
      </c>
    </row>
    <row r="234" spans="1:4" x14ac:dyDescent="0.3">
      <c r="A234" t="s">
        <v>37</v>
      </c>
      <c r="B234" t="s">
        <v>29</v>
      </c>
      <c r="C234">
        <v>5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461</v>
      </c>
      <c r="D237">
        <v>0.99182677409358544</v>
      </c>
    </row>
    <row r="238" spans="1:4" x14ac:dyDescent="0.3">
      <c r="A238" t="s">
        <v>37</v>
      </c>
      <c r="B238" t="s">
        <v>30</v>
      </c>
      <c r="C238">
        <v>37</v>
      </c>
      <c r="D238">
        <v>0.82384169884169889</v>
      </c>
    </row>
    <row r="239" spans="1:4" x14ac:dyDescent="0.3">
      <c r="A239" t="s">
        <v>37</v>
      </c>
      <c r="B239" t="s">
        <v>30</v>
      </c>
      <c r="C239">
        <v>3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559</v>
      </c>
      <c r="D242">
        <v>1.0178890876565296</v>
      </c>
    </row>
    <row r="243" spans="1:4" x14ac:dyDescent="0.3">
      <c r="A243" t="s">
        <v>38</v>
      </c>
      <c r="B243" t="s">
        <v>27</v>
      </c>
      <c r="C243">
        <v>322</v>
      </c>
      <c r="D243">
        <v>1.2336224071252784</v>
      </c>
    </row>
    <row r="244" spans="1:4" x14ac:dyDescent="0.3">
      <c r="A244" t="s">
        <v>38</v>
      </c>
      <c r="B244" t="s">
        <v>27</v>
      </c>
      <c r="C244">
        <v>44</v>
      </c>
      <c r="D244">
        <v>0.73198970840480271</v>
      </c>
    </row>
    <row r="245" spans="1:4" x14ac:dyDescent="0.3">
      <c r="A245" t="s">
        <v>38</v>
      </c>
      <c r="B245" t="s">
        <v>27</v>
      </c>
      <c r="C245">
        <v>2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505</v>
      </c>
      <c r="D247">
        <v>1.0842144591817673</v>
      </c>
    </row>
    <row r="248" spans="1:4" x14ac:dyDescent="0.3">
      <c r="A248" t="s">
        <v>38</v>
      </c>
      <c r="B248" t="s">
        <v>28</v>
      </c>
      <c r="C248">
        <v>29</v>
      </c>
      <c r="D248">
        <v>0.37020169160702671</v>
      </c>
    </row>
    <row r="249" spans="1:4" x14ac:dyDescent="0.3">
      <c r="A249" t="s">
        <v>38</v>
      </c>
      <c r="B249" t="s">
        <v>28</v>
      </c>
      <c r="C249">
        <v>1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505</v>
      </c>
      <c r="D252">
        <v>1.0416962450962077</v>
      </c>
    </row>
    <row r="253" spans="1:4" x14ac:dyDescent="0.3">
      <c r="A253" t="s">
        <v>38</v>
      </c>
      <c r="B253" t="s">
        <v>29</v>
      </c>
      <c r="C253">
        <v>112</v>
      </c>
      <c r="D253">
        <v>0.95855795148247991</v>
      </c>
    </row>
    <row r="254" spans="1:4" x14ac:dyDescent="0.3">
      <c r="A254" t="s">
        <v>38</v>
      </c>
      <c r="B254" t="s">
        <v>29</v>
      </c>
      <c r="C254">
        <v>3</v>
      </c>
      <c r="D254">
        <v>0</v>
      </c>
    </row>
    <row r="255" spans="1:4" x14ac:dyDescent="0.3">
      <c r="A255" t="s">
        <v>38</v>
      </c>
      <c r="B255" t="s">
        <v>29</v>
      </c>
      <c r="C255">
        <v>0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491</v>
      </c>
      <c r="D257">
        <v>1.0932636513853131</v>
      </c>
    </row>
    <row r="258" spans="1:4" x14ac:dyDescent="0.3">
      <c r="A258" t="s">
        <v>38</v>
      </c>
      <c r="B258" t="s">
        <v>30</v>
      </c>
      <c r="C258">
        <v>32</v>
      </c>
      <c r="D258">
        <v>0.33549528301886794</v>
      </c>
    </row>
    <row r="259" spans="1:4" x14ac:dyDescent="0.3">
      <c r="A259" t="s">
        <v>38</v>
      </c>
      <c r="B259" t="s">
        <v>30</v>
      </c>
      <c r="C259">
        <v>3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23470-E4D1-4FA0-80A0-FB5FCF455495}">
  <sheetPr codeName="Sheet28"/>
  <dimension ref="A1:AC261"/>
  <sheetViews>
    <sheetView workbookViewId="0">
      <selection activeCell="F1" sqref="F1"/>
    </sheetView>
  </sheetViews>
  <sheetFormatPr defaultRowHeight="14.4" x14ac:dyDescent="0.3"/>
  <sheetData>
    <row r="1" spans="1:29" x14ac:dyDescent="0.3">
      <c r="A1" t="s">
        <v>62</v>
      </c>
      <c r="B1" t="s">
        <v>61</v>
      </c>
      <c r="C1" t="s">
        <v>1</v>
      </c>
      <c r="D1" t="s">
        <v>5</v>
      </c>
      <c r="E1" t="s">
        <v>63</v>
      </c>
      <c r="F1" t="s">
        <v>88</v>
      </c>
      <c r="G1" t="s">
        <v>64</v>
      </c>
      <c r="H1" t="s">
        <v>65</v>
      </c>
      <c r="I1" t="s">
        <v>66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  <c r="T1" t="s">
        <v>77</v>
      </c>
      <c r="U1" t="s">
        <v>78</v>
      </c>
      <c r="V1" t="s">
        <v>79</v>
      </c>
      <c r="W1" t="s">
        <v>80</v>
      </c>
      <c r="X1" t="s">
        <v>81</v>
      </c>
      <c r="Y1" t="s">
        <v>82</v>
      </c>
      <c r="Z1" t="s">
        <v>83</v>
      </c>
      <c r="AA1" t="s">
        <v>84</v>
      </c>
      <c r="AB1" t="s">
        <v>85</v>
      </c>
      <c r="AC1" t="s">
        <v>86</v>
      </c>
    </row>
    <row r="2" spans="1:29" x14ac:dyDescent="0.3">
      <c r="A2" t="s">
        <v>53</v>
      </c>
      <c r="B2" t="s">
        <v>27</v>
      </c>
      <c r="C2">
        <v>565</v>
      </c>
      <c r="D2">
        <v>1.0070796460176992</v>
      </c>
    </row>
    <row r="3" spans="1:29" x14ac:dyDescent="0.3">
      <c r="A3" t="s">
        <v>53</v>
      </c>
      <c r="B3" t="s">
        <v>27</v>
      </c>
      <c r="C3">
        <v>248</v>
      </c>
      <c r="D3">
        <v>0.74125310173697267</v>
      </c>
    </row>
    <row r="4" spans="1:29" x14ac:dyDescent="0.3">
      <c r="A4" t="s">
        <v>53</v>
      </c>
      <c r="B4" t="s">
        <v>27</v>
      </c>
      <c r="C4">
        <v>15</v>
      </c>
      <c r="D4">
        <v>1.7507692307692309</v>
      </c>
    </row>
    <row r="5" spans="1:29" x14ac:dyDescent="0.3">
      <c r="A5" t="s">
        <v>53</v>
      </c>
      <c r="B5" t="s">
        <v>27</v>
      </c>
      <c r="C5">
        <v>2</v>
      </c>
      <c r="D5">
        <v>0</v>
      </c>
    </row>
    <row r="6" spans="1:29" x14ac:dyDescent="0.3">
      <c r="A6" t="s">
        <v>53</v>
      </c>
      <c r="B6" t="s">
        <v>27</v>
      </c>
      <c r="C6">
        <v>0</v>
      </c>
      <c r="D6">
        <v>0</v>
      </c>
    </row>
    <row r="7" spans="1:29" x14ac:dyDescent="0.3">
      <c r="A7" t="s">
        <v>53</v>
      </c>
      <c r="B7" t="s">
        <v>28</v>
      </c>
      <c r="C7">
        <v>568</v>
      </c>
      <c r="D7">
        <v>1.0017605633802817</v>
      </c>
    </row>
    <row r="8" spans="1:29" x14ac:dyDescent="0.3">
      <c r="A8" t="s">
        <v>53</v>
      </c>
      <c r="B8" t="s">
        <v>28</v>
      </c>
      <c r="C8">
        <v>443</v>
      </c>
      <c r="D8">
        <v>1.0275395033860046</v>
      </c>
    </row>
    <row r="9" spans="1:29" x14ac:dyDescent="0.3">
      <c r="A9" t="s">
        <v>53</v>
      </c>
      <c r="B9" t="s">
        <v>28</v>
      </c>
      <c r="C9">
        <v>61</v>
      </c>
      <c r="D9">
        <v>0.43051702395964692</v>
      </c>
    </row>
    <row r="10" spans="1:29" x14ac:dyDescent="0.3">
      <c r="A10" t="s">
        <v>53</v>
      </c>
      <c r="B10" t="s">
        <v>28</v>
      </c>
      <c r="C10">
        <v>1</v>
      </c>
      <c r="D10">
        <v>0</v>
      </c>
    </row>
    <row r="11" spans="1:29" x14ac:dyDescent="0.3">
      <c r="A11" t="s">
        <v>53</v>
      </c>
      <c r="B11" t="s">
        <v>28</v>
      </c>
      <c r="C11">
        <v>0</v>
      </c>
      <c r="D11">
        <v>0</v>
      </c>
    </row>
    <row r="12" spans="1:29" x14ac:dyDescent="0.3">
      <c r="A12" t="s">
        <v>53</v>
      </c>
      <c r="B12" t="s">
        <v>29</v>
      </c>
      <c r="C12">
        <v>557</v>
      </c>
      <c r="D12">
        <v>1.0215439856373429</v>
      </c>
    </row>
    <row r="13" spans="1:29" x14ac:dyDescent="0.3">
      <c r="A13" t="s">
        <v>53</v>
      </c>
      <c r="B13" t="s">
        <v>29</v>
      </c>
      <c r="C13">
        <v>354</v>
      </c>
      <c r="D13">
        <v>0.86549326379834868</v>
      </c>
    </row>
    <row r="14" spans="1:29" x14ac:dyDescent="0.3">
      <c r="A14" t="s">
        <v>53</v>
      </c>
      <c r="B14" t="s">
        <v>29</v>
      </c>
      <c r="C14">
        <v>10</v>
      </c>
      <c r="D14">
        <v>0.87538461538461543</v>
      </c>
    </row>
    <row r="15" spans="1:29" x14ac:dyDescent="0.3">
      <c r="A15" t="s">
        <v>53</v>
      </c>
      <c r="B15" t="s">
        <v>29</v>
      </c>
      <c r="C15">
        <v>0</v>
      </c>
      <c r="D15">
        <v>0</v>
      </c>
    </row>
    <row r="16" spans="1:29" x14ac:dyDescent="0.3">
      <c r="A16" t="s">
        <v>53</v>
      </c>
      <c r="B16" t="s">
        <v>29</v>
      </c>
      <c r="C16">
        <v>0</v>
      </c>
      <c r="D16">
        <v>0</v>
      </c>
    </row>
    <row r="17" spans="1:4" x14ac:dyDescent="0.3">
      <c r="A17" t="s">
        <v>53</v>
      </c>
      <c r="B17" t="s">
        <v>30</v>
      </c>
      <c r="C17">
        <v>16</v>
      </c>
      <c r="D17">
        <v>0.54711538461538467</v>
      </c>
    </row>
    <row r="18" spans="1:4" x14ac:dyDescent="0.3">
      <c r="A18" t="s">
        <v>53</v>
      </c>
      <c r="B18" t="s">
        <v>30</v>
      </c>
      <c r="C18">
        <v>1</v>
      </c>
      <c r="D18">
        <v>8.7538461538461547</v>
      </c>
    </row>
    <row r="19" spans="1:4" x14ac:dyDescent="0.3">
      <c r="A19" t="s">
        <v>53</v>
      </c>
      <c r="B19" t="s">
        <v>30</v>
      </c>
      <c r="C19">
        <v>0</v>
      </c>
      <c r="D19">
        <v>0</v>
      </c>
    </row>
    <row r="20" spans="1:4" x14ac:dyDescent="0.3">
      <c r="A20" t="s">
        <v>53</v>
      </c>
      <c r="B20" t="s">
        <v>30</v>
      </c>
      <c r="C20">
        <v>0</v>
      </c>
      <c r="D20">
        <v>0</v>
      </c>
    </row>
    <row r="21" spans="1:4" x14ac:dyDescent="0.3">
      <c r="A21" t="s">
        <v>53</v>
      </c>
      <c r="B21" t="s">
        <v>30</v>
      </c>
      <c r="C21">
        <v>0</v>
      </c>
      <c r="D21">
        <v>0</v>
      </c>
    </row>
    <row r="22" spans="1:4" x14ac:dyDescent="0.3">
      <c r="A22" t="s">
        <v>53</v>
      </c>
      <c r="B22" t="s">
        <v>27</v>
      </c>
      <c r="C22">
        <v>536</v>
      </c>
      <c r="D22">
        <v>0.99984814300590075</v>
      </c>
    </row>
    <row r="23" spans="1:4" x14ac:dyDescent="0.3">
      <c r="A23" t="s">
        <v>53</v>
      </c>
      <c r="B23" t="s">
        <v>27</v>
      </c>
      <c r="C23">
        <v>146</v>
      </c>
      <c r="D23">
        <v>0.95165657852819374</v>
      </c>
    </row>
    <row r="24" spans="1:4" x14ac:dyDescent="0.3">
      <c r="A24" t="s">
        <v>53</v>
      </c>
      <c r="B24" t="s">
        <v>27</v>
      </c>
      <c r="C24">
        <v>28</v>
      </c>
      <c r="D24">
        <v>1.6540697674418605</v>
      </c>
    </row>
    <row r="25" spans="1:4" x14ac:dyDescent="0.3">
      <c r="A25" t="s">
        <v>53</v>
      </c>
      <c r="B25" t="s">
        <v>27</v>
      </c>
      <c r="C25">
        <v>3</v>
      </c>
      <c r="D25">
        <v>2.2054263565891472</v>
      </c>
    </row>
    <row r="26" spans="1:4" x14ac:dyDescent="0.3">
      <c r="A26" t="s">
        <v>53</v>
      </c>
      <c r="B26" t="s">
        <v>27</v>
      </c>
      <c r="C26">
        <v>0</v>
      </c>
      <c r="D26">
        <v>0</v>
      </c>
    </row>
    <row r="27" spans="1:4" x14ac:dyDescent="0.3">
      <c r="A27" t="s">
        <v>26</v>
      </c>
      <c r="B27" t="s">
        <v>28</v>
      </c>
      <c r="C27">
        <v>19</v>
      </c>
      <c r="D27">
        <v>0.34822521419828639</v>
      </c>
    </row>
    <row r="28" spans="1:4" x14ac:dyDescent="0.3">
      <c r="A28" t="s">
        <v>26</v>
      </c>
      <c r="B28" t="s">
        <v>28</v>
      </c>
      <c r="C28">
        <v>2</v>
      </c>
      <c r="D28">
        <v>0</v>
      </c>
    </row>
    <row r="29" spans="1:4" x14ac:dyDescent="0.3">
      <c r="A29" t="s">
        <v>26</v>
      </c>
      <c r="B29" t="s">
        <v>28</v>
      </c>
      <c r="C29">
        <v>0</v>
      </c>
      <c r="D29">
        <v>0</v>
      </c>
    </row>
    <row r="30" spans="1:4" x14ac:dyDescent="0.3">
      <c r="A30" t="s">
        <v>26</v>
      </c>
      <c r="B30" t="s">
        <v>28</v>
      </c>
      <c r="C30">
        <v>0</v>
      </c>
      <c r="D30">
        <v>0</v>
      </c>
    </row>
    <row r="31" spans="1:4" x14ac:dyDescent="0.3">
      <c r="A31" t="s">
        <v>26</v>
      </c>
      <c r="B31" t="s">
        <v>28</v>
      </c>
      <c r="C31">
        <v>0</v>
      </c>
      <c r="D31">
        <v>0</v>
      </c>
    </row>
    <row r="32" spans="1:4" x14ac:dyDescent="0.3">
      <c r="A32" t="s">
        <v>26</v>
      </c>
      <c r="B32" t="s">
        <v>29</v>
      </c>
      <c r="C32">
        <v>543</v>
      </c>
      <c r="D32">
        <v>0.99914343226690661</v>
      </c>
    </row>
    <row r="33" spans="1:4" x14ac:dyDescent="0.3">
      <c r="A33" t="s">
        <v>26</v>
      </c>
      <c r="B33" t="s">
        <v>29</v>
      </c>
      <c r="C33">
        <v>176</v>
      </c>
      <c r="D33">
        <v>0.97740486257928128</v>
      </c>
    </row>
    <row r="34" spans="1:4" x14ac:dyDescent="0.3">
      <c r="A34" t="s">
        <v>26</v>
      </c>
      <c r="B34" t="s">
        <v>29</v>
      </c>
      <c r="C34">
        <v>21</v>
      </c>
      <c r="D34">
        <v>0.63012181616832774</v>
      </c>
    </row>
    <row r="35" spans="1:4" x14ac:dyDescent="0.3">
      <c r="A35" t="s">
        <v>26</v>
      </c>
      <c r="B35" t="s">
        <v>29</v>
      </c>
      <c r="C35">
        <v>3</v>
      </c>
      <c r="D35">
        <v>2.2054263565891472</v>
      </c>
    </row>
    <row r="36" spans="1:4" x14ac:dyDescent="0.3">
      <c r="A36" t="s">
        <v>26</v>
      </c>
      <c r="B36" t="s">
        <v>29</v>
      </c>
      <c r="C36">
        <v>0</v>
      </c>
      <c r="D36">
        <v>0</v>
      </c>
    </row>
    <row r="37" spans="1:4" x14ac:dyDescent="0.3">
      <c r="A37" t="s">
        <v>26</v>
      </c>
      <c r="B37" t="s">
        <v>30</v>
      </c>
      <c r="C37">
        <v>14</v>
      </c>
      <c r="D37">
        <v>0.47259136212624586</v>
      </c>
    </row>
    <row r="38" spans="1:4" x14ac:dyDescent="0.3">
      <c r="A38" t="s">
        <v>26</v>
      </c>
      <c r="B38" t="s">
        <v>30</v>
      </c>
      <c r="C38">
        <v>0</v>
      </c>
      <c r="D38">
        <v>0</v>
      </c>
    </row>
    <row r="39" spans="1:4" x14ac:dyDescent="0.3">
      <c r="A39" t="s">
        <v>26</v>
      </c>
      <c r="B39" t="s">
        <v>30</v>
      </c>
      <c r="C39">
        <v>0</v>
      </c>
      <c r="D39">
        <v>0</v>
      </c>
    </row>
    <row r="40" spans="1:4" x14ac:dyDescent="0.3">
      <c r="A40" t="s">
        <v>26</v>
      </c>
      <c r="B40" t="s">
        <v>30</v>
      </c>
      <c r="C40">
        <v>0</v>
      </c>
      <c r="D40">
        <v>0</v>
      </c>
    </row>
    <row r="41" spans="1:4" x14ac:dyDescent="0.3">
      <c r="A41" t="s">
        <v>26</v>
      </c>
      <c r="B41" t="s">
        <v>30</v>
      </c>
      <c r="C41">
        <v>0</v>
      </c>
      <c r="D41">
        <v>0</v>
      </c>
    </row>
    <row r="42" spans="1:4" x14ac:dyDescent="0.3">
      <c r="A42" t="s">
        <v>54</v>
      </c>
      <c r="B42" t="s">
        <v>27</v>
      </c>
      <c r="C42">
        <v>561</v>
      </c>
      <c r="D42">
        <v>1.0142602495543671</v>
      </c>
    </row>
    <row r="43" spans="1:4" x14ac:dyDescent="0.3">
      <c r="A43" t="s">
        <v>54</v>
      </c>
      <c r="B43" t="s">
        <v>27</v>
      </c>
      <c r="C43">
        <v>394</v>
      </c>
      <c r="D43">
        <v>1.0411403612324401</v>
      </c>
    </row>
    <row r="44" spans="1:4" x14ac:dyDescent="0.3">
      <c r="A44" t="s">
        <v>54</v>
      </c>
      <c r="B44" t="s">
        <v>27</v>
      </c>
      <c r="C44">
        <v>24</v>
      </c>
      <c r="D44">
        <v>1.1027131782945736</v>
      </c>
    </row>
    <row r="45" spans="1:4" x14ac:dyDescent="0.3">
      <c r="A45" t="s">
        <v>54</v>
      </c>
      <c r="B45" t="s">
        <v>27</v>
      </c>
      <c r="C45">
        <v>1</v>
      </c>
      <c r="D45">
        <v>0</v>
      </c>
    </row>
    <row r="46" spans="1:4" x14ac:dyDescent="0.3">
      <c r="A46" t="s">
        <v>54</v>
      </c>
      <c r="B46" t="s">
        <v>27</v>
      </c>
      <c r="C46">
        <v>0</v>
      </c>
      <c r="D46">
        <v>0</v>
      </c>
    </row>
    <row r="47" spans="1:4" x14ac:dyDescent="0.3">
      <c r="A47" t="s">
        <v>54</v>
      </c>
      <c r="B47" t="s">
        <v>28</v>
      </c>
      <c r="C47">
        <v>507</v>
      </c>
      <c r="D47">
        <v>0.93958992706756583</v>
      </c>
    </row>
    <row r="48" spans="1:4" x14ac:dyDescent="0.3">
      <c r="A48" t="s">
        <v>54</v>
      </c>
      <c r="B48" t="s">
        <v>28</v>
      </c>
      <c r="C48">
        <v>119</v>
      </c>
      <c r="D48">
        <v>0.27799491889779171</v>
      </c>
    </row>
    <row r="49" spans="1:4" x14ac:dyDescent="0.3">
      <c r="A49" t="s">
        <v>54</v>
      </c>
      <c r="B49" t="s">
        <v>28</v>
      </c>
      <c r="C49">
        <v>3</v>
      </c>
      <c r="D49">
        <v>0</v>
      </c>
    </row>
    <row r="50" spans="1:4" x14ac:dyDescent="0.3">
      <c r="A50" t="s">
        <v>54</v>
      </c>
      <c r="B50" t="s">
        <v>28</v>
      </c>
      <c r="C50">
        <v>0</v>
      </c>
      <c r="D50">
        <v>0</v>
      </c>
    </row>
    <row r="51" spans="1:4" x14ac:dyDescent="0.3">
      <c r="A51" t="s">
        <v>54</v>
      </c>
      <c r="B51" t="s">
        <v>28</v>
      </c>
      <c r="C51">
        <v>0</v>
      </c>
      <c r="D51">
        <v>0</v>
      </c>
    </row>
    <row r="52" spans="1:4" x14ac:dyDescent="0.3">
      <c r="A52" t="s">
        <v>54</v>
      </c>
      <c r="B52" t="s">
        <v>29</v>
      </c>
      <c r="C52">
        <v>560</v>
      </c>
      <c r="D52">
        <v>1.0160714285714287</v>
      </c>
    </row>
    <row r="53" spans="1:4" x14ac:dyDescent="0.3">
      <c r="A53" t="s">
        <v>54</v>
      </c>
      <c r="B53" t="s">
        <v>29</v>
      </c>
      <c r="C53">
        <v>308</v>
      </c>
      <c r="D53">
        <v>0.88073844759891273</v>
      </c>
    </row>
    <row r="54" spans="1:4" x14ac:dyDescent="0.3">
      <c r="A54" t="s">
        <v>54</v>
      </c>
      <c r="B54" t="s">
        <v>29</v>
      </c>
      <c r="C54">
        <v>36</v>
      </c>
      <c r="D54">
        <v>0.5513565891472868</v>
      </c>
    </row>
    <row r="55" spans="1:4" x14ac:dyDescent="0.3">
      <c r="A55" t="s">
        <v>54</v>
      </c>
      <c r="B55" t="s">
        <v>29</v>
      </c>
      <c r="C55">
        <v>0</v>
      </c>
      <c r="D55">
        <v>0</v>
      </c>
    </row>
    <row r="56" spans="1:4" x14ac:dyDescent="0.3">
      <c r="A56" t="s">
        <v>54</v>
      </c>
      <c r="B56" t="s">
        <v>29</v>
      </c>
      <c r="C56">
        <v>0</v>
      </c>
      <c r="D56">
        <v>0</v>
      </c>
    </row>
    <row r="57" spans="1:4" x14ac:dyDescent="0.3">
      <c r="A57" t="s">
        <v>54</v>
      </c>
      <c r="B57" t="s">
        <v>30</v>
      </c>
      <c r="C57">
        <v>74</v>
      </c>
      <c r="D57">
        <v>0.71527341294783164</v>
      </c>
    </row>
    <row r="58" spans="1:4" x14ac:dyDescent="0.3">
      <c r="A58" t="s">
        <v>54</v>
      </c>
      <c r="B58" t="s">
        <v>30</v>
      </c>
      <c r="C58">
        <v>16</v>
      </c>
      <c r="D58">
        <v>0.41351744186046513</v>
      </c>
    </row>
    <row r="59" spans="1:4" x14ac:dyDescent="0.3">
      <c r="A59" t="s">
        <v>54</v>
      </c>
      <c r="B59" t="s">
        <v>30</v>
      </c>
      <c r="C59">
        <v>0</v>
      </c>
      <c r="D59">
        <v>0</v>
      </c>
    </row>
    <row r="60" spans="1:4" x14ac:dyDescent="0.3">
      <c r="A60" t="s">
        <v>54</v>
      </c>
      <c r="B60" t="s">
        <v>30</v>
      </c>
      <c r="C60">
        <v>0</v>
      </c>
      <c r="D60">
        <v>0</v>
      </c>
    </row>
    <row r="61" spans="1:4" x14ac:dyDescent="0.3">
      <c r="A61" t="s">
        <v>54</v>
      </c>
      <c r="B61" t="s">
        <v>30</v>
      </c>
      <c r="C61">
        <v>0</v>
      </c>
      <c r="D61">
        <v>0</v>
      </c>
    </row>
    <row r="62" spans="1:4" x14ac:dyDescent="0.3">
      <c r="A62" t="s">
        <v>31</v>
      </c>
      <c r="B62" t="s">
        <v>27</v>
      </c>
      <c r="C62">
        <v>559</v>
      </c>
      <c r="D62">
        <v>0.87749059280735309</v>
      </c>
    </row>
    <row r="63" spans="1:4" x14ac:dyDescent="0.3">
      <c r="A63" t="s">
        <v>31</v>
      </c>
      <c r="B63" t="s">
        <v>27</v>
      </c>
      <c r="C63">
        <v>309</v>
      </c>
      <c r="D63">
        <v>0.63497377524829812</v>
      </c>
    </row>
    <row r="64" spans="1:4" x14ac:dyDescent="0.3">
      <c r="A64" t="s">
        <v>31</v>
      </c>
      <c r="B64" t="s">
        <v>27</v>
      </c>
      <c r="C64">
        <v>13</v>
      </c>
      <c r="D64">
        <v>0</v>
      </c>
    </row>
    <row r="65" spans="1:4" x14ac:dyDescent="0.3">
      <c r="A65" t="s">
        <v>31</v>
      </c>
      <c r="B65" t="s">
        <v>27</v>
      </c>
      <c r="C65">
        <v>1</v>
      </c>
      <c r="D65">
        <v>0</v>
      </c>
    </row>
    <row r="66" spans="1:4" x14ac:dyDescent="0.3">
      <c r="A66" t="s">
        <v>31</v>
      </c>
      <c r="B66" t="s">
        <v>27</v>
      </c>
      <c r="C66">
        <v>0</v>
      </c>
      <c r="D66">
        <v>0</v>
      </c>
    </row>
    <row r="67" spans="1:4" x14ac:dyDescent="0.3">
      <c r="A67" t="s">
        <v>31</v>
      </c>
      <c r="B67" t="s">
        <v>28</v>
      </c>
      <c r="C67">
        <v>328</v>
      </c>
      <c r="D67">
        <v>0.83746846089150551</v>
      </c>
    </row>
    <row r="68" spans="1:4" x14ac:dyDescent="0.3">
      <c r="A68" t="s">
        <v>31</v>
      </c>
      <c r="B68" t="s">
        <v>28</v>
      </c>
      <c r="C68">
        <v>76</v>
      </c>
      <c r="D68">
        <v>0.7745009074410163</v>
      </c>
    </row>
    <row r="69" spans="1:4" x14ac:dyDescent="0.3">
      <c r="A69" t="s">
        <v>31</v>
      </c>
      <c r="B69" t="s">
        <v>28</v>
      </c>
      <c r="C69">
        <v>1</v>
      </c>
      <c r="D69">
        <v>0</v>
      </c>
    </row>
    <row r="70" spans="1:4" x14ac:dyDescent="0.3">
      <c r="A70" t="s">
        <v>31</v>
      </c>
      <c r="B70" t="s">
        <v>28</v>
      </c>
      <c r="C70">
        <v>0</v>
      </c>
      <c r="D70">
        <v>0</v>
      </c>
    </row>
    <row r="71" spans="1:4" x14ac:dyDescent="0.3">
      <c r="A71" t="s">
        <v>31</v>
      </c>
      <c r="B71" t="s">
        <v>28</v>
      </c>
      <c r="C71">
        <v>0</v>
      </c>
      <c r="D71">
        <v>0</v>
      </c>
    </row>
    <row r="72" spans="1:4" x14ac:dyDescent="0.3">
      <c r="A72" t="s">
        <v>31</v>
      </c>
      <c r="B72" t="s">
        <v>29</v>
      </c>
      <c r="C72">
        <v>561</v>
      </c>
      <c r="D72">
        <v>0.97928575819042352</v>
      </c>
    </row>
    <row r="73" spans="1:4" x14ac:dyDescent="0.3">
      <c r="A73" t="s">
        <v>31</v>
      </c>
      <c r="B73" t="s">
        <v>29</v>
      </c>
      <c r="C73">
        <v>458</v>
      </c>
      <c r="D73">
        <v>0.64259900617376897</v>
      </c>
    </row>
    <row r="74" spans="1:4" x14ac:dyDescent="0.3">
      <c r="A74" t="s">
        <v>31</v>
      </c>
      <c r="B74" t="s">
        <v>29</v>
      </c>
      <c r="C74">
        <v>38</v>
      </c>
      <c r="D74">
        <v>0</v>
      </c>
    </row>
    <row r="75" spans="1:4" x14ac:dyDescent="0.3">
      <c r="A75" t="s">
        <v>31</v>
      </c>
      <c r="B75" t="s">
        <v>29</v>
      </c>
      <c r="C75">
        <v>5</v>
      </c>
      <c r="D75">
        <v>0</v>
      </c>
    </row>
    <row r="76" spans="1:4" x14ac:dyDescent="0.3">
      <c r="A76" t="s">
        <v>31</v>
      </c>
      <c r="B76" t="s">
        <v>29</v>
      </c>
      <c r="C76">
        <v>0</v>
      </c>
      <c r="D76">
        <v>0</v>
      </c>
    </row>
    <row r="77" spans="1:4" x14ac:dyDescent="0.3">
      <c r="A77" t="s">
        <v>31</v>
      </c>
      <c r="B77" t="s">
        <v>30</v>
      </c>
      <c r="C77">
        <v>559</v>
      </c>
      <c r="D77">
        <v>0.98278946394423539</v>
      </c>
    </row>
    <row r="78" spans="1:4" x14ac:dyDescent="0.3">
      <c r="A78" t="s">
        <v>31</v>
      </c>
      <c r="B78" t="s">
        <v>30</v>
      </c>
      <c r="C78">
        <v>464</v>
      </c>
      <c r="D78">
        <v>0.76114744351961949</v>
      </c>
    </row>
    <row r="79" spans="1:4" x14ac:dyDescent="0.3">
      <c r="A79" t="s">
        <v>31</v>
      </c>
      <c r="B79" t="s">
        <v>30</v>
      </c>
      <c r="C79">
        <v>152</v>
      </c>
      <c r="D79">
        <v>0.90358439201451901</v>
      </c>
    </row>
    <row r="80" spans="1:4" x14ac:dyDescent="0.3">
      <c r="A80" t="s">
        <v>31</v>
      </c>
      <c r="B80" t="s">
        <v>30</v>
      </c>
      <c r="C80">
        <v>2</v>
      </c>
      <c r="D80">
        <v>9.8103448275862064</v>
      </c>
    </row>
    <row r="81" spans="1:4" x14ac:dyDescent="0.3">
      <c r="A81" t="s">
        <v>31</v>
      </c>
      <c r="B81" t="s">
        <v>30</v>
      </c>
      <c r="C81">
        <v>0</v>
      </c>
      <c r="D81">
        <v>0</v>
      </c>
    </row>
    <row r="82" spans="1:4" x14ac:dyDescent="0.3">
      <c r="A82" t="s">
        <v>55</v>
      </c>
      <c r="B82" t="s">
        <v>27</v>
      </c>
      <c r="C82">
        <v>566</v>
      </c>
      <c r="D82">
        <v>1.0053003533568905</v>
      </c>
    </row>
    <row r="83" spans="1:4" x14ac:dyDescent="0.3">
      <c r="A83" t="s">
        <v>55</v>
      </c>
      <c r="B83" t="s">
        <v>27</v>
      </c>
      <c r="C83">
        <v>522</v>
      </c>
      <c r="D83">
        <v>0.88565613026819923</v>
      </c>
    </row>
    <row r="84" spans="1:4" x14ac:dyDescent="0.3">
      <c r="A84" t="s">
        <v>55</v>
      </c>
      <c r="B84" t="s">
        <v>27</v>
      </c>
      <c r="C84">
        <v>192</v>
      </c>
      <c r="D84">
        <v>0.92610677083333348</v>
      </c>
    </row>
    <row r="85" spans="1:4" x14ac:dyDescent="0.3">
      <c r="A85" t="s">
        <v>55</v>
      </c>
      <c r="B85" t="s">
        <v>27</v>
      </c>
      <c r="C85">
        <v>22</v>
      </c>
      <c r="D85">
        <v>1.6164772727272729</v>
      </c>
    </row>
    <row r="86" spans="1:4" x14ac:dyDescent="0.3">
      <c r="A86" t="s">
        <v>55</v>
      </c>
      <c r="B86" t="s">
        <v>27</v>
      </c>
      <c r="C86">
        <v>0</v>
      </c>
      <c r="D86">
        <v>0</v>
      </c>
    </row>
    <row r="87" spans="1:4" x14ac:dyDescent="0.3">
      <c r="A87" t="s">
        <v>55</v>
      </c>
      <c r="B87" t="s">
        <v>28</v>
      </c>
      <c r="C87">
        <v>20</v>
      </c>
      <c r="D87">
        <v>3.5562500000000004</v>
      </c>
    </row>
    <row r="88" spans="1:4" x14ac:dyDescent="0.3">
      <c r="A88" t="s">
        <v>55</v>
      </c>
      <c r="B88" t="s">
        <v>28</v>
      </c>
      <c r="C88">
        <v>3</v>
      </c>
      <c r="D88">
        <v>0</v>
      </c>
    </row>
    <row r="89" spans="1:4" x14ac:dyDescent="0.3">
      <c r="A89" t="s">
        <v>55</v>
      </c>
      <c r="B89" t="s">
        <v>28</v>
      </c>
      <c r="C89">
        <v>0</v>
      </c>
      <c r="D89">
        <v>0</v>
      </c>
    </row>
    <row r="90" spans="1:4" x14ac:dyDescent="0.3">
      <c r="A90" t="s">
        <v>55</v>
      </c>
      <c r="B90" t="s">
        <v>28</v>
      </c>
      <c r="C90">
        <v>0</v>
      </c>
      <c r="D90">
        <v>0</v>
      </c>
    </row>
    <row r="91" spans="1:4" x14ac:dyDescent="0.3">
      <c r="A91" t="s">
        <v>55</v>
      </c>
      <c r="B91" t="s">
        <v>28</v>
      </c>
      <c r="C91">
        <v>0</v>
      </c>
      <c r="D91">
        <v>0</v>
      </c>
    </row>
    <row r="92" spans="1:4" x14ac:dyDescent="0.3">
      <c r="A92" t="s">
        <v>55</v>
      </c>
      <c r="B92" t="s">
        <v>29</v>
      </c>
      <c r="C92">
        <v>561</v>
      </c>
      <c r="D92">
        <v>0.98256461675579332</v>
      </c>
    </row>
    <row r="93" spans="1:4" x14ac:dyDescent="0.3">
      <c r="A93" t="s">
        <v>55</v>
      </c>
      <c r="B93" t="s">
        <v>29</v>
      </c>
      <c r="C93">
        <v>474</v>
      </c>
      <c r="D93">
        <v>0.71275052742616041</v>
      </c>
    </row>
    <row r="94" spans="1:4" x14ac:dyDescent="0.3">
      <c r="A94" t="s">
        <v>55</v>
      </c>
      <c r="B94" t="s">
        <v>29</v>
      </c>
      <c r="C94">
        <v>125</v>
      </c>
      <c r="D94">
        <v>0.85350000000000004</v>
      </c>
    </row>
    <row r="95" spans="1:4" x14ac:dyDescent="0.3">
      <c r="A95" t="s">
        <v>55</v>
      </c>
      <c r="B95" t="s">
        <v>29</v>
      </c>
      <c r="C95">
        <v>5</v>
      </c>
      <c r="D95">
        <v>3.5562500000000004</v>
      </c>
    </row>
    <row r="96" spans="1:4" x14ac:dyDescent="0.3">
      <c r="A96" t="s">
        <v>55</v>
      </c>
      <c r="B96" t="s">
        <v>29</v>
      </c>
      <c r="C96">
        <v>0</v>
      </c>
      <c r="D96">
        <v>0</v>
      </c>
    </row>
    <row r="97" spans="1:4" x14ac:dyDescent="0.3">
      <c r="A97" t="s">
        <v>55</v>
      </c>
      <c r="B97" t="s">
        <v>30</v>
      </c>
      <c r="C97">
        <v>20</v>
      </c>
      <c r="D97">
        <v>3.5562500000000004</v>
      </c>
    </row>
    <row r="98" spans="1:4" x14ac:dyDescent="0.3">
      <c r="A98" t="s">
        <v>55</v>
      </c>
      <c r="B98" t="s">
        <v>30</v>
      </c>
      <c r="C98">
        <v>1</v>
      </c>
      <c r="D98">
        <v>0</v>
      </c>
    </row>
    <row r="99" spans="1:4" x14ac:dyDescent="0.3">
      <c r="A99" t="s">
        <v>55</v>
      </c>
      <c r="B99" t="s">
        <v>30</v>
      </c>
      <c r="C99">
        <v>0</v>
      </c>
      <c r="D99">
        <v>0</v>
      </c>
    </row>
    <row r="100" spans="1:4" x14ac:dyDescent="0.3">
      <c r="A100" t="s">
        <v>55</v>
      </c>
      <c r="B100" t="s">
        <v>30</v>
      </c>
      <c r="C100">
        <v>0</v>
      </c>
      <c r="D100">
        <v>0</v>
      </c>
    </row>
    <row r="101" spans="1:4" x14ac:dyDescent="0.3">
      <c r="A101" t="s">
        <v>55</v>
      </c>
      <c r="B101" t="s">
        <v>30</v>
      </c>
      <c r="C101">
        <v>0</v>
      </c>
      <c r="D101">
        <v>0</v>
      </c>
    </row>
    <row r="102" spans="1:4" x14ac:dyDescent="0.3">
      <c r="A102" t="s">
        <v>32</v>
      </c>
      <c r="B102" t="s">
        <v>27</v>
      </c>
      <c r="C102">
        <v>567</v>
      </c>
      <c r="D102">
        <v>1.0035273368606701</v>
      </c>
    </row>
    <row r="103" spans="1:4" x14ac:dyDescent="0.3">
      <c r="A103" t="s">
        <v>32</v>
      </c>
      <c r="B103" t="s">
        <v>27</v>
      </c>
      <c r="C103">
        <v>503</v>
      </c>
      <c r="D103">
        <v>1.0522909057284202</v>
      </c>
    </row>
    <row r="104" spans="1:4" x14ac:dyDescent="0.3">
      <c r="A104" t="s">
        <v>32</v>
      </c>
      <c r="B104" t="s">
        <v>27</v>
      </c>
      <c r="C104">
        <v>96</v>
      </c>
      <c r="D104">
        <v>1.5162306201550388</v>
      </c>
    </row>
    <row r="105" spans="1:4" x14ac:dyDescent="0.3">
      <c r="A105" t="s">
        <v>32</v>
      </c>
      <c r="B105" t="s">
        <v>27</v>
      </c>
      <c r="C105">
        <v>1</v>
      </c>
      <c r="D105">
        <v>0</v>
      </c>
    </row>
    <row r="106" spans="1:4" x14ac:dyDescent="0.3">
      <c r="A106" t="s">
        <v>32</v>
      </c>
      <c r="B106" t="s">
        <v>27</v>
      </c>
      <c r="C106">
        <v>0</v>
      </c>
      <c r="D106">
        <v>0</v>
      </c>
    </row>
    <row r="107" spans="1:4" x14ac:dyDescent="0.3">
      <c r="A107" t="s">
        <v>32</v>
      </c>
      <c r="B107" t="s">
        <v>28</v>
      </c>
      <c r="C107">
        <v>557</v>
      </c>
      <c r="D107">
        <v>0.97403031188676892</v>
      </c>
    </row>
    <row r="108" spans="1:4" x14ac:dyDescent="0.3">
      <c r="A108" t="s">
        <v>32</v>
      </c>
      <c r="B108" t="s">
        <v>28</v>
      </c>
      <c r="C108">
        <v>347</v>
      </c>
      <c r="D108">
        <v>0.99148850613229678</v>
      </c>
    </row>
    <row r="109" spans="1:4" x14ac:dyDescent="0.3">
      <c r="A109" t="s">
        <v>32</v>
      </c>
      <c r="B109" t="s">
        <v>28</v>
      </c>
      <c r="C109">
        <v>45</v>
      </c>
      <c r="D109">
        <v>0.88217054263565897</v>
      </c>
    </row>
    <row r="110" spans="1:4" x14ac:dyDescent="0.3">
      <c r="A110" t="s">
        <v>32</v>
      </c>
      <c r="B110" t="s">
        <v>28</v>
      </c>
      <c r="C110">
        <v>1</v>
      </c>
      <c r="D110">
        <v>0</v>
      </c>
    </row>
    <row r="111" spans="1:4" x14ac:dyDescent="0.3">
      <c r="A111" t="s">
        <v>32</v>
      </c>
      <c r="B111" t="s">
        <v>28</v>
      </c>
      <c r="C111">
        <v>0</v>
      </c>
      <c r="D111">
        <v>0</v>
      </c>
    </row>
    <row r="112" spans="1:4" x14ac:dyDescent="0.3">
      <c r="A112" t="s">
        <v>32</v>
      </c>
      <c r="B112" t="s">
        <v>29</v>
      </c>
      <c r="C112">
        <v>557</v>
      </c>
      <c r="D112">
        <v>0.97403031188676892</v>
      </c>
    </row>
    <row r="113" spans="1:4" x14ac:dyDescent="0.3">
      <c r="A113" t="s">
        <v>32</v>
      </c>
      <c r="B113" t="s">
        <v>29</v>
      </c>
      <c r="C113">
        <v>437</v>
      </c>
      <c r="D113">
        <v>0.9386940556649459</v>
      </c>
    </row>
    <row r="114" spans="1:4" x14ac:dyDescent="0.3">
      <c r="A114" t="s">
        <v>32</v>
      </c>
      <c r="B114" t="s">
        <v>29</v>
      </c>
      <c r="C114">
        <v>74</v>
      </c>
      <c r="D114">
        <v>0.53645505971087371</v>
      </c>
    </row>
    <row r="115" spans="1:4" x14ac:dyDescent="0.3">
      <c r="A115" t="s">
        <v>32</v>
      </c>
      <c r="B115" t="s">
        <v>29</v>
      </c>
      <c r="C115">
        <v>1</v>
      </c>
      <c r="D115">
        <v>0</v>
      </c>
    </row>
    <row r="116" spans="1:4" x14ac:dyDescent="0.3">
      <c r="A116" t="s">
        <v>32</v>
      </c>
      <c r="B116" t="s">
        <v>29</v>
      </c>
      <c r="C116">
        <v>0</v>
      </c>
      <c r="D116">
        <v>0</v>
      </c>
    </row>
    <row r="117" spans="1:4" x14ac:dyDescent="0.3">
      <c r="A117" t="s">
        <v>32</v>
      </c>
      <c r="B117" t="s">
        <v>30</v>
      </c>
      <c r="C117">
        <v>498</v>
      </c>
      <c r="D117">
        <v>1.1425702811244982</v>
      </c>
    </row>
    <row r="118" spans="1:4" x14ac:dyDescent="0.3">
      <c r="A118" t="s">
        <v>32</v>
      </c>
      <c r="B118" t="s">
        <v>30</v>
      </c>
      <c r="C118">
        <v>11</v>
      </c>
      <c r="D118">
        <v>1.2029598308668077</v>
      </c>
    </row>
    <row r="119" spans="1:4" x14ac:dyDescent="0.3">
      <c r="A119" t="s">
        <v>32</v>
      </c>
      <c r="B119" t="s">
        <v>30</v>
      </c>
      <c r="C119">
        <v>0</v>
      </c>
      <c r="D119">
        <v>0</v>
      </c>
    </row>
    <row r="120" spans="1:4" x14ac:dyDescent="0.3">
      <c r="A120" t="s">
        <v>32</v>
      </c>
      <c r="B120" t="s">
        <v>30</v>
      </c>
      <c r="C120">
        <v>0</v>
      </c>
      <c r="D120">
        <v>0</v>
      </c>
    </row>
    <row r="121" spans="1:4" x14ac:dyDescent="0.3">
      <c r="A121" t="s">
        <v>32</v>
      </c>
      <c r="B121" t="s">
        <v>30</v>
      </c>
      <c r="C121">
        <v>0</v>
      </c>
      <c r="D121">
        <v>0</v>
      </c>
    </row>
    <row r="122" spans="1:4" x14ac:dyDescent="0.3">
      <c r="A122" t="s">
        <v>33</v>
      </c>
      <c r="B122" t="s">
        <v>27</v>
      </c>
      <c r="C122">
        <v>567</v>
      </c>
      <c r="D122">
        <v>1.0035273368606701</v>
      </c>
    </row>
    <row r="123" spans="1:4" x14ac:dyDescent="0.3">
      <c r="A123" t="s">
        <v>33</v>
      </c>
      <c r="B123" t="s">
        <v>27</v>
      </c>
      <c r="C123">
        <v>521</v>
      </c>
      <c r="D123">
        <v>0.96364457491249844</v>
      </c>
    </row>
    <row r="124" spans="1:4" x14ac:dyDescent="0.3">
      <c r="A124" t="s">
        <v>33</v>
      </c>
      <c r="B124" t="s">
        <v>27</v>
      </c>
      <c r="C124">
        <v>200</v>
      </c>
      <c r="D124">
        <v>1.115686274509804</v>
      </c>
    </row>
    <row r="125" spans="1:4" x14ac:dyDescent="0.3">
      <c r="A125" t="s">
        <v>33</v>
      </c>
      <c r="B125" t="s">
        <v>27</v>
      </c>
      <c r="C125">
        <v>1</v>
      </c>
      <c r="D125">
        <v>0</v>
      </c>
    </row>
    <row r="126" spans="1:4" x14ac:dyDescent="0.3">
      <c r="A126" t="s">
        <v>33</v>
      </c>
      <c r="B126" t="s">
        <v>27</v>
      </c>
      <c r="C126">
        <v>0</v>
      </c>
      <c r="D126">
        <v>0</v>
      </c>
    </row>
    <row r="127" spans="1:4" x14ac:dyDescent="0.3">
      <c r="A127" t="s">
        <v>33</v>
      </c>
      <c r="B127" t="s">
        <v>28</v>
      </c>
      <c r="C127">
        <v>544</v>
      </c>
      <c r="D127">
        <v>1.00493800461361</v>
      </c>
    </row>
    <row r="128" spans="1:4" x14ac:dyDescent="0.3">
      <c r="A128" t="s">
        <v>33</v>
      </c>
      <c r="B128" t="s">
        <v>28</v>
      </c>
      <c r="C128">
        <v>291</v>
      </c>
      <c r="D128">
        <v>1.0735125665386429</v>
      </c>
    </row>
    <row r="129" spans="1:4" x14ac:dyDescent="0.3">
      <c r="A129" t="s">
        <v>33</v>
      </c>
      <c r="B129" t="s">
        <v>28</v>
      </c>
      <c r="C129">
        <v>0</v>
      </c>
      <c r="D129">
        <v>0</v>
      </c>
    </row>
    <row r="130" spans="1:4" x14ac:dyDescent="0.3">
      <c r="A130" t="s">
        <v>33</v>
      </c>
      <c r="B130" t="s">
        <v>28</v>
      </c>
      <c r="C130">
        <v>0</v>
      </c>
      <c r="D130">
        <v>0</v>
      </c>
    </row>
    <row r="131" spans="1:4" x14ac:dyDescent="0.3">
      <c r="A131" t="s">
        <v>33</v>
      </c>
      <c r="B131" t="s">
        <v>28</v>
      </c>
      <c r="C131">
        <v>0</v>
      </c>
      <c r="D131">
        <v>0</v>
      </c>
    </row>
    <row r="132" spans="1:4" x14ac:dyDescent="0.3">
      <c r="A132" t="s">
        <v>33</v>
      </c>
      <c r="B132" t="s">
        <v>29</v>
      </c>
      <c r="C132">
        <v>566</v>
      </c>
      <c r="D132">
        <v>1.0053003533568905</v>
      </c>
    </row>
    <row r="133" spans="1:4" x14ac:dyDescent="0.3">
      <c r="A133" t="s">
        <v>33</v>
      </c>
      <c r="B133" t="s">
        <v>29</v>
      </c>
      <c r="C133">
        <v>448</v>
      </c>
      <c r="D133">
        <v>1.0210521708683473</v>
      </c>
    </row>
    <row r="134" spans="1:4" x14ac:dyDescent="0.3">
      <c r="A134" t="s">
        <v>33</v>
      </c>
      <c r="B134" t="s">
        <v>29</v>
      </c>
      <c r="C134">
        <v>62</v>
      </c>
      <c r="D134">
        <v>1.2596457938013914</v>
      </c>
    </row>
    <row r="135" spans="1:4" x14ac:dyDescent="0.3">
      <c r="A135" t="s">
        <v>33</v>
      </c>
      <c r="B135" t="s">
        <v>29</v>
      </c>
      <c r="C135">
        <v>5</v>
      </c>
      <c r="D135">
        <v>0</v>
      </c>
    </row>
    <row r="136" spans="1:4" x14ac:dyDescent="0.3">
      <c r="A136" t="s">
        <v>33</v>
      </c>
      <c r="B136" t="s">
        <v>29</v>
      </c>
      <c r="C136">
        <v>0</v>
      </c>
      <c r="D136">
        <v>0</v>
      </c>
    </row>
    <row r="137" spans="1:4" x14ac:dyDescent="0.3">
      <c r="A137" t="s">
        <v>33</v>
      </c>
      <c r="B137" t="s">
        <v>30</v>
      </c>
      <c r="C137">
        <v>555</v>
      </c>
      <c r="D137">
        <v>0.98502031443207905</v>
      </c>
    </row>
    <row r="138" spans="1:4" x14ac:dyDescent="0.3">
      <c r="A138" t="s">
        <v>33</v>
      </c>
      <c r="B138" t="s">
        <v>30</v>
      </c>
      <c r="C138">
        <v>408</v>
      </c>
      <c r="D138">
        <v>0.92973856209150318</v>
      </c>
    </row>
    <row r="139" spans="1:4" x14ac:dyDescent="0.3">
      <c r="A139" t="s">
        <v>33</v>
      </c>
      <c r="B139" t="s">
        <v>30</v>
      </c>
      <c r="C139">
        <v>51</v>
      </c>
      <c r="D139">
        <v>3.2814302191464821</v>
      </c>
    </row>
    <row r="140" spans="1:4" x14ac:dyDescent="0.3">
      <c r="A140" t="s">
        <v>33</v>
      </c>
      <c r="B140" t="s">
        <v>30</v>
      </c>
      <c r="C140">
        <v>0</v>
      </c>
      <c r="D140">
        <v>0</v>
      </c>
    </row>
    <row r="141" spans="1:4" x14ac:dyDescent="0.3">
      <c r="A141" t="s">
        <v>33</v>
      </c>
      <c r="B141" t="s">
        <v>30</v>
      </c>
      <c r="C141">
        <v>0</v>
      </c>
      <c r="D141">
        <v>0</v>
      </c>
    </row>
    <row r="142" spans="1:4" x14ac:dyDescent="0.3">
      <c r="A142" t="s">
        <v>34</v>
      </c>
      <c r="B142" t="s">
        <v>27</v>
      </c>
      <c r="C142">
        <v>526</v>
      </c>
      <c r="D142">
        <v>1.0503940045186533</v>
      </c>
    </row>
    <row r="143" spans="1:4" x14ac:dyDescent="0.3">
      <c r="A143" t="s">
        <v>34</v>
      </c>
      <c r="B143" t="s">
        <v>27</v>
      </c>
      <c r="C143">
        <v>132</v>
      </c>
      <c r="D143">
        <v>1.0620333772507686</v>
      </c>
    </row>
    <row r="144" spans="1:4" x14ac:dyDescent="0.3">
      <c r="A144" t="s">
        <v>34</v>
      </c>
      <c r="B144" t="s">
        <v>27</v>
      </c>
      <c r="C144">
        <v>11</v>
      </c>
      <c r="D144">
        <v>3.7483530961791831</v>
      </c>
    </row>
    <row r="145" spans="1:4" x14ac:dyDescent="0.3">
      <c r="A145" t="s">
        <v>34</v>
      </c>
      <c r="B145" t="s">
        <v>27</v>
      </c>
      <c r="C145">
        <v>1</v>
      </c>
      <c r="D145">
        <v>8.2463768115942031</v>
      </c>
    </row>
    <row r="146" spans="1:4" x14ac:dyDescent="0.3">
      <c r="A146" t="s">
        <v>34</v>
      </c>
      <c r="B146" t="s">
        <v>27</v>
      </c>
      <c r="C146">
        <v>0</v>
      </c>
      <c r="D146">
        <v>0</v>
      </c>
    </row>
    <row r="147" spans="1:4" x14ac:dyDescent="0.3">
      <c r="A147" t="s">
        <v>34</v>
      </c>
      <c r="B147" t="s">
        <v>28</v>
      </c>
      <c r="C147">
        <v>217</v>
      </c>
      <c r="D147">
        <v>0.60802778334335139</v>
      </c>
    </row>
    <row r="148" spans="1:4" x14ac:dyDescent="0.3">
      <c r="A148" t="s">
        <v>34</v>
      </c>
      <c r="B148" t="s">
        <v>28</v>
      </c>
      <c r="C148">
        <v>8</v>
      </c>
      <c r="D148">
        <v>2.0615942028985508</v>
      </c>
    </row>
    <row r="149" spans="1:4" x14ac:dyDescent="0.3">
      <c r="A149" t="s">
        <v>34</v>
      </c>
      <c r="B149" t="s">
        <v>28</v>
      </c>
      <c r="C149">
        <v>0</v>
      </c>
      <c r="D149">
        <v>0</v>
      </c>
    </row>
    <row r="150" spans="1:4" x14ac:dyDescent="0.3">
      <c r="A150" t="s">
        <v>34</v>
      </c>
      <c r="B150" t="s">
        <v>28</v>
      </c>
      <c r="C150">
        <v>0</v>
      </c>
      <c r="D150">
        <v>0</v>
      </c>
    </row>
    <row r="151" spans="1:4" x14ac:dyDescent="0.3">
      <c r="A151" t="s">
        <v>34</v>
      </c>
      <c r="B151" t="s">
        <v>28</v>
      </c>
      <c r="C151">
        <v>0</v>
      </c>
      <c r="D151">
        <v>0</v>
      </c>
    </row>
    <row r="152" spans="1:4" x14ac:dyDescent="0.3">
      <c r="A152" t="s">
        <v>34</v>
      </c>
      <c r="B152" t="s">
        <v>29</v>
      </c>
      <c r="C152">
        <v>547</v>
      </c>
      <c r="D152">
        <v>1.0100680920965477</v>
      </c>
    </row>
    <row r="153" spans="1:4" x14ac:dyDescent="0.3">
      <c r="A153" t="s">
        <v>34</v>
      </c>
      <c r="B153" t="s">
        <v>29</v>
      </c>
      <c r="C153">
        <v>157</v>
      </c>
      <c r="D153">
        <v>0.89291978214714307</v>
      </c>
    </row>
    <row r="154" spans="1:4" x14ac:dyDescent="0.3">
      <c r="A154" t="s">
        <v>34</v>
      </c>
      <c r="B154" t="s">
        <v>29</v>
      </c>
      <c r="C154">
        <v>10</v>
      </c>
      <c r="D154">
        <v>3.2985507246376815</v>
      </c>
    </row>
    <row r="155" spans="1:4" x14ac:dyDescent="0.3">
      <c r="A155" t="s">
        <v>34</v>
      </c>
      <c r="B155" t="s">
        <v>29</v>
      </c>
      <c r="C155">
        <v>1</v>
      </c>
      <c r="D155">
        <v>0</v>
      </c>
    </row>
    <row r="156" spans="1:4" x14ac:dyDescent="0.3">
      <c r="A156" t="s">
        <v>34</v>
      </c>
      <c r="B156" t="s">
        <v>29</v>
      </c>
      <c r="C156">
        <v>0</v>
      </c>
      <c r="D156">
        <v>0</v>
      </c>
    </row>
    <row r="157" spans="1:4" x14ac:dyDescent="0.3">
      <c r="A157" t="s">
        <v>34</v>
      </c>
      <c r="B157" t="s">
        <v>30</v>
      </c>
      <c r="C157">
        <v>40</v>
      </c>
      <c r="D157">
        <v>0.41231884057971019</v>
      </c>
    </row>
    <row r="158" spans="1:4" x14ac:dyDescent="0.3">
      <c r="A158" t="s">
        <v>34</v>
      </c>
      <c r="B158" t="s">
        <v>30</v>
      </c>
      <c r="C158">
        <v>14</v>
      </c>
      <c r="D158">
        <v>0</v>
      </c>
    </row>
    <row r="159" spans="1:4" x14ac:dyDescent="0.3">
      <c r="A159" t="s">
        <v>34</v>
      </c>
      <c r="B159" t="s">
        <v>30</v>
      </c>
      <c r="C159">
        <v>0</v>
      </c>
      <c r="D159">
        <v>0</v>
      </c>
    </row>
    <row r="160" spans="1:4" x14ac:dyDescent="0.3">
      <c r="A160" t="s">
        <v>34</v>
      </c>
      <c r="B160" t="s">
        <v>30</v>
      </c>
      <c r="C160">
        <v>0</v>
      </c>
      <c r="D160">
        <v>0</v>
      </c>
    </row>
    <row r="161" spans="1:4" x14ac:dyDescent="0.3">
      <c r="A161" t="s">
        <v>34</v>
      </c>
      <c r="B161" t="s">
        <v>30</v>
      </c>
      <c r="C161">
        <v>0</v>
      </c>
      <c r="D161">
        <v>0</v>
      </c>
    </row>
    <row r="162" spans="1:4" x14ac:dyDescent="0.3">
      <c r="A162" t="s">
        <v>56</v>
      </c>
      <c r="B162" t="s">
        <v>27</v>
      </c>
      <c r="C162">
        <v>556</v>
      </c>
      <c r="D162">
        <v>1.0040722139269718</v>
      </c>
    </row>
    <row r="163" spans="1:4" x14ac:dyDescent="0.3">
      <c r="A163" t="s">
        <v>56</v>
      </c>
      <c r="B163" t="s">
        <v>27</v>
      </c>
      <c r="C163">
        <v>345</v>
      </c>
      <c r="D163">
        <v>0.71572327044025164</v>
      </c>
    </row>
    <row r="164" spans="1:4" x14ac:dyDescent="0.3">
      <c r="A164" t="s">
        <v>56</v>
      </c>
      <c r="B164" t="s">
        <v>27</v>
      </c>
      <c r="C164">
        <v>35</v>
      </c>
      <c r="D164">
        <v>1.5336927223719676</v>
      </c>
    </row>
    <row r="165" spans="1:4" x14ac:dyDescent="0.3">
      <c r="A165" t="s">
        <v>56</v>
      </c>
      <c r="B165" t="s">
        <v>27</v>
      </c>
      <c r="C165">
        <v>2</v>
      </c>
      <c r="D165">
        <v>5.367924528301887</v>
      </c>
    </row>
    <row r="166" spans="1:4" x14ac:dyDescent="0.3">
      <c r="A166" t="s">
        <v>56</v>
      </c>
      <c r="B166" t="s">
        <v>27</v>
      </c>
      <c r="C166">
        <v>0</v>
      </c>
      <c r="D166">
        <v>0</v>
      </c>
    </row>
    <row r="167" spans="1:4" x14ac:dyDescent="0.3">
      <c r="A167" t="s">
        <v>56</v>
      </c>
      <c r="B167" t="s">
        <v>28</v>
      </c>
      <c r="C167">
        <v>559</v>
      </c>
      <c r="D167">
        <v>0.97947817868835862</v>
      </c>
    </row>
    <row r="168" spans="1:4" x14ac:dyDescent="0.3">
      <c r="A168" t="s">
        <v>56</v>
      </c>
      <c r="B168" t="s">
        <v>28</v>
      </c>
      <c r="C168">
        <v>386</v>
      </c>
      <c r="D168">
        <v>0.91783165509825015</v>
      </c>
    </row>
    <row r="169" spans="1:4" x14ac:dyDescent="0.3">
      <c r="A169" t="s">
        <v>56</v>
      </c>
      <c r="B169" t="s">
        <v>28</v>
      </c>
      <c r="C169">
        <v>45</v>
      </c>
      <c r="D169">
        <v>1.4314465408805033</v>
      </c>
    </row>
    <row r="170" spans="1:4" x14ac:dyDescent="0.3">
      <c r="A170" t="s">
        <v>56</v>
      </c>
      <c r="B170" t="s">
        <v>28</v>
      </c>
      <c r="C170">
        <v>0</v>
      </c>
      <c r="D170">
        <v>0</v>
      </c>
    </row>
    <row r="171" spans="1:4" x14ac:dyDescent="0.3">
      <c r="A171" t="s">
        <v>56</v>
      </c>
      <c r="B171" t="s">
        <v>28</v>
      </c>
      <c r="C171">
        <v>0</v>
      </c>
      <c r="D171">
        <v>0</v>
      </c>
    </row>
    <row r="172" spans="1:4" x14ac:dyDescent="0.3">
      <c r="A172" t="s">
        <v>56</v>
      </c>
      <c r="B172" t="s">
        <v>29</v>
      </c>
      <c r="C172">
        <v>546</v>
      </c>
      <c r="D172">
        <v>0.94381090607505713</v>
      </c>
    </row>
    <row r="173" spans="1:4" x14ac:dyDescent="0.3">
      <c r="A173" t="s">
        <v>56</v>
      </c>
      <c r="B173" t="s">
        <v>29</v>
      </c>
      <c r="C173">
        <v>318</v>
      </c>
      <c r="D173">
        <v>1.2491396701079864</v>
      </c>
    </row>
    <row r="174" spans="1:4" x14ac:dyDescent="0.3">
      <c r="A174" t="s">
        <v>56</v>
      </c>
      <c r="B174" t="s">
        <v>29</v>
      </c>
      <c r="C174">
        <v>54</v>
      </c>
      <c r="D174">
        <v>1.5904961565338924</v>
      </c>
    </row>
    <row r="175" spans="1:4" x14ac:dyDescent="0.3">
      <c r="A175" t="s">
        <v>56</v>
      </c>
      <c r="B175" t="s">
        <v>29</v>
      </c>
      <c r="C175">
        <v>6</v>
      </c>
      <c r="D175">
        <v>5.367924528301887</v>
      </c>
    </row>
    <row r="176" spans="1:4" x14ac:dyDescent="0.3">
      <c r="A176" t="s">
        <v>56</v>
      </c>
      <c r="B176" t="s">
        <v>29</v>
      </c>
      <c r="C176">
        <v>0</v>
      </c>
      <c r="D176">
        <v>0</v>
      </c>
    </row>
    <row r="177" spans="1:4" x14ac:dyDescent="0.3">
      <c r="A177" t="s">
        <v>56</v>
      </c>
      <c r="B177" t="s">
        <v>30</v>
      </c>
      <c r="C177">
        <v>316</v>
      </c>
      <c r="D177">
        <v>0.67948411750656801</v>
      </c>
    </row>
    <row r="178" spans="1:4" x14ac:dyDescent="0.3">
      <c r="A178" t="s">
        <v>56</v>
      </c>
      <c r="B178" t="s">
        <v>30</v>
      </c>
      <c r="C178">
        <v>8</v>
      </c>
      <c r="D178">
        <v>0</v>
      </c>
    </row>
    <row r="179" spans="1:4" x14ac:dyDescent="0.3">
      <c r="A179" t="s">
        <v>56</v>
      </c>
      <c r="B179" t="s">
        <v>30</v>
      </c>
      <c r="C179">
        <v>0</v>
      </c>
      <c r="D179">
        <v>0</v>
      </c>
    </row>
    <row r="180" spans="1:4" x14ac:dyDescent="0.3">
      <c r="A180" t="s">
        <v>56</v>
      </c>
      <c r="B180" t="s">
        <v>30</v>
      </c>
      <c r="C180">
        <v>0</v>
      </c>
      <c r="D180">
        <v>0</v>
      </c>
    </row>
    <row r="181" spans="1:4" x14ac:dyDescent="0.3">
      <c r="A181" t="s">
        <v>56</v>
      </c>
      <c r="B181" t="s">
        <v>30</v>
      </c>
      <c r="C181">
        <v>0</v>
      </c>
      <c r="D181">
        <v>0</v>
      </c>
    </row>
    <row r="182" spans="1:4" x14ac:dyDescent="0.3">
      <c r="A182" t="s">
        <v>57</v>
      </c>
      <c r="B182" t="s">
        <v>27</v>
      </c>
      <c r="C182">
        <v>558</v>
      </c>
      <c r="D182">
        <v>1.0018235553040307</v>
      </c>
    </row>
    <row r="183" spans="1:4" x14ac:dyDescent="0.3">
      <c r="A183" t="s">
        <v>57</v>
      </c>
      <c r="B183" t="s">
        <v>27</v>
      </c>
      <c r="C183">
        <v>278</v>
      </c>
      <c r="D183">
        <v>0.93361100593209645</v>
      </c>
    </row>
    <row r="184" spans="1:4" x14ac:dyDescent="0.3">
      <c r="A184" t="s">
        <v>57</v>
      </c>
      <c r="B184" t="s">
        <v>27</v>
      </c>
      <c r="C184">
        <v>30</v>
      </c>
      <c r="D184">
        <v>0.99824561403508782</v>
      </c>
    </row>
    <row r="185" spans="1:4" x14ac:dyDescent="0.3">
      <c r="A185" t="s">
        <v>57</v>
      </c>
      <c r="B185" t="s">
        <v>27</v>
      </c>
      <c r="C185">
        <v>1</v>
      </c>
      <c r="D185">
        <v>9.9824561403508767</v>
      </c>
    </row>
    <row r="186" spans="1:4" x14ac:dyDescent="0.3">
      <c r="A186" t="s">
        <v>57</v>
      </c>
      <c r="B186" t="s">
        <v>27</v>
      </c>
      <c r="C186">
        <v>0</v>
      </c>
      <c r="D186">
        <v>0</v>
      </c>
    </row>
    <row r="187" spans="1:4" x14ac:dyDescent="0.3">
      <c r="A187" t="s">
        <v>57</v>
      </c>
      <c r="B187" t="s">
        <v>28</v>
      </c>
      <c r="C187">
        <v>536</v>
      </c>
      <c r="D187">
        <v>1.0243191935061535</v>
      </c>
    </row>
    <row r="188" spans="1:4" x14ac:dyDescent="0.3">
      <c r="A188" t="s">
        <v>57</v>
      </c>
      <c r="B188" t="s">
        <v>28</v>
      </c>
      <c r="C188">
        <v>387</v>
      </c>
      <c r="D188">
        <v>0.77383380932952539</v>
      </c>
    </row>
    <row r="189" spans="1:4" x14ac:dyDescent="0.3">
      <c r="A189" t="s">
        <v>57</v>
      </c>
      <c r="B189" t="s">
        <v>28</v>
      </c>
      <c r="C189">
        <v>78</v>
      </c>
      <c r="D189">
        <v>1.0238416554206027</v>
      </c>
    </row>
    <row r="190" spans="1:4" x14ac:dyDescent="0.3">
      <c r="A190" t="s">
        <v>57</v>
      </c>
      <c r="B190" t="s">
        <v>28</v>
      </c>
      <c r="C190">
        <v>4</v>
      </c>
      <c r="D190">
        <v>0</v>
      </c>
    </row>
    <row r="191" spans="1:4" x14ac:dyDescent="0.3">
      <c r="A191" t="s">
        <v>57</v>
      </c>
      <c r="B191" t="s">
        <v>28</v>
      </c>
      <c r="C191">
        <v>0</v>
      </c>
      <c r="D191">
        <v>0</v>
      </c>
    </row>
    <row r="192" spans="1:4" x14ac:dyDescent="0.3">
      <c r="A192" t="s">
        <v>57</v>
      </c>
      <c r="B192" t="s">
        <v>29</v>
      </c>
      <c r="C192">
        <v>517</v>
      </c>
      <c r="D192">
        <v>0.88818758695578404</v>
      </c>
    </row>
    <row r="193" spans="1:4" x14ac:dyDescent="0.3">
      <c r="A193" t="s">
        <v>57</v>
      </c>
      <c r="B193" t="s">
        <v>29</v>
      </c>
      <c r="C193">
        <v>253</v>
      </c>
      <c r="D193">
        <v>1.0653214062825047</v>
      </c>
    </row>
    <row r="194" spans="1:4" x14ac:dyDescent="0.3">
      <c r="A194" t="s">
        <v>57</v>
      </c>
      <c r="B194" t="s">
        <v>29</v>
      </c>
      <c r="C194">
        <v>16</v>
      </c>
      <c r="D194">
        <v>2.4956140350877192</v>
      </c>
    </row>
    <row r="195" spans="1:4" x14ac:dyDescent="0.3">
      <c r="A195" t="s">
        <v>57</v>
      </c>
      <c r="B195" t="s">
        <v>29</v>
      </c>
      <c r="C195">
        <v>2</v>
      </c>
      <c r="D195">
        <v>0</v>
      </c>
    </row>
    <row r="196" spans="1:4" x14ac:dyDescent="0.3">
      <c r="A196" t="s">
        <v>57</v>
      </c>
      <c r="B196" t="s">
        <v>29</v>
      </c>
      <c r="C196">
        <v>0</v>
      </c>
      <c r="D196">
        <v>0</v>
      </c>
    </row>
    <row r="197" spans="1:4" x14ac:dyDescent="0.3">
      <c r="A197" t="s">
        <v>57</v>
      </c>
      <c r="B197" t="s">
        <v>30</v>
      </c>
      <c r="C197">
        <v>488</v>
      </c>
      <c r="D197">
        <v>0.69549899338510202</v>
      </c>
    </row>
    <row r="198" spans="1:4" x14ac:dyDescent="0.3">
      <c r="A198" t="s">
        <v>57</v>
      </c>
      <c r="B198" t="s">
        <v>30</v>
      </c>
      <c r="C198">
        <v>32</v>
      </c>
      <c r="D198">
        <v>0.9358552631578948</v>
      </c>
    </row>
    <row r="199" spans="1:4" x14ac:dyDescent="0.3">
      <c r="A199" t="s">
        <v>57</v>
      </c>
      <c r="B199" t="s">
        <v>30</v>
      </c>
      <c r="C199">
        <v>4</v>
      </c>
      <c r="D199">
        <v>0</v>
      </c>
    </row>
    <row r="200" spans="1:4" x14ac:dyDescent="0.3">
      <c r="A200" t="s">
        <v>57</v>
      </c>
      <c r="B200" t="s">
        <v>30</v>
      </c>
      <c r="C200">
        <v>0</v>
      </c>
      <c r="D200">
        <v>0</v>
      </c>
    </row>
    <row r="201" spans="1:4" x14ac:dyDescent="0.3">
      <c r="A201" t="s">
        <v>57</v>
      </c>
      <c r="B201" t="s">
        <v>30</v>
      </c>
      <c r="C201">
        <v>0</v>
      </c>
      <c r="D201">
        <v>0</v>
      </c>
    </row>
    <row r="202" spans="1:4" x14ac:dyDescent="0.3">
      <c r="A202" t="s">
        <v>35</v>
      </c>
      <c r="B202" t="s">
        <v>27</v>
      </c>
      <c r="C202">
        <v>569</v>
      </c>
      <c r="D202">
        <v>1</v>
      </c>
    </row>
    <row r="203" spans="1:4" x14ac:dyDescent="0.3">
      <c r="A203" t="s">
        <v>35</v>
      </c>
      <c r="B203" t="s">
        <v>27</v>
      </c>
      <c r="C203">
        <v>463</v>
      </c>
      <c r="D203">
        <v>1.1344077089217477</v>
      </c>
    </row>
    <row r="204" spans="1:4" x14ac:dyDescent="0.3">
      <c r="A204" t="s">
        <v>35</v>
      </c>
      <c r="B204" t="s">
        <v>27</v>
      </c>
      <c r="C204">
        <v>45</v>
      </c>
      <c r="D204">
        <v>1.945299145299145</v>
      </c>
    </row>
    <row r="205" spans="1:4" x14ac:dyDescent="0.3">
      <c r="A205" t="s">
        <v>35</v>
      </c>
      <c r="B205" t="s">
        <v>27</v>
      </c>
      <c r="C205">
        <v>0</v>
      </c>
      <c r="D205">
        <v>0</v>
      </c>
    </row>
    <row r="206" spans="1:4" x14ac:dyDescent="0.3">
      <c r="A206" t="s">
        <v>35</v>
      </c>
      <c r="B206" t="s">
        <v>27</v>
      </c>
      <c r="C206">
        <v>0</v>
      </c>
      <c r="D206">
        <v>0</v>
      </c>
    </row>
    <row r="207" spans="1:4" x14ac:dyDescent="0.3">
      <c r="A207" t="s">
        <v>35</v>
      </c>
      <c r="B207" t="s">
        <v>28</v>
      </c>
      <c r="C207">
        <v>431</v>
      </c>
      <c r="D207">
        <v>1.1170801356416205</v>
      </c>
    </row>
    <row r="208" spans="1:4" x14ac:dyDescent="0.3">
      <c r="A208" t="s">
        <v>35</v>
      </c>
      <c r="B208" t="s">
        <v>28</v>
      </c>
      <c r="C208">
        <v>87</v>
      </c>
      <c r="D208">
        <v>0.83849101090480394</v>
      </c>
    </row>
    <row r="209" spans="1:4" x14ac:dyDescent="0.3">
      <c r="A209" t="s">
        <v>35</v>
      </c>
      <c r="B209" t="s">
        <v>28</v>
      </c>
      <c r="C209">
        <v>0</v>
      </c>
      <c r="D209">
        <v>0</v>
      </c>
    </row>
    <row r="210" spans="1:4" x14ac:dyDescent="0.3">
      <c r="A210" t="s">
        <v>35</v>
      </c>
      <c r="B210" t="s">
        <v>28</v>
      </c>
      <c r="C210">
        <v>0</v>
      </c>
      <c r="D210">
        <v>0</v>
      </c>
    </row>
    <row r="211" spans="1:4" x14ac:dyDescent="0.3">
      <c r="A211" t="s">
        <v>35</v>
      </c>
      <c r="B211" t="s">
        <v>28</v>
      </c>
      <c r="C211">
        <v>0</v>
      </c>
      <c r="D211">
        <v>0</v>
      </c>
    </row>
    <row r="212" spans="1:4" x14ac:dyDescent="0.3">
      <c r="A212" t="s">
        <v>35</v>
      </c>
      <c r="B212" t="s">
        <v>29</v>
      </c>
      <c r="C212">
        <v>564</v>
      </c>
      <c r="D212">
        <v>1.0088652482269502</v>
      </c>
    </row>
    <row r="213" spans="1:4" x14ac:dyDescent="0.3">
      <c r="A213" t="s">
        <v>35</v>
      </c>
      <c r="B213" t="s">
        <v>29</v>
      </c>
      <c r="C213">
        <v>431</v>
      </c>
      <c r="D213">
        <v>0.98167648283657549</v>
      </c>
    </row>
    <row r="214" spans="1:4" x14ac:dyDescent="0.3">
      <c r="A214" t="s">
        <v>35</v>
      </c>
      <c r="B214" t="s">
        <v>29</v>
      </c>
      <c r="C214">
        <v>109</v>
      </c>
      <c r="D214">
        <v>1.2046577275935073</v>
      </c>
    </row>
    <row r="215" spans="1:4" x14ac:dyDescent="0.3">
      <c r="A215" t="s">
        <v>35</v>
      </c>
      <c r="B215" t="s">
        <v>29</v>
      </c>
      <c r="C215">
        <v>8</v>
      </c>
      <c r="D215">
        <v>1.8237179487179487</v>
      </c>
    </row>
    <row r="216" spans="1:4" x14ac:dyDescent="0.3">
      <c r="A216" t="s">
        <v>35</v>
      </c>
      <c r="B216" t="s">
        <v>29</v>
      </c>
      <c r="C216">
        <v>1</v>
      </c>
      <c r="D216">
        <v>0</v>
      </c>
    </row>
    <row r="217" spans="1:4" x14ac:dyDescent="0.3">
      <c r="A217" t="s">
        <v>35</v>
      </c>
      <c r="B217" t="s">
        <v>30</v>
      </c>
      <c r="C217">
        <v>14</v>
      </c>
      <c r="D217">
        <v>0</v>
      </c>
    </row>
    <row r="218" spans="1:4" x14ac:dyDescent="0.3">
      <c r="A218" t="s">
        <v>35</v>
      </c>
      <c r="B218" t="s">
        <v>30</v>
      </c>
      <c r="C218">
        <v>0</v>
      </c>
      <c r="D218">
        <v>0</v>
      </c>
    </row>
    <row r="219" spans="1:4" x14ac:dyDescent="0.3">
      <c r="A219" t="s">
        <v>35</v>
      </c>
      <c r="B219" t="s">
        <v>30</v>
      </c>
      <c r="C219">
        <v>0</v>
      </c>
      <c r="D219">
        <v>0</v>
      </c>
    </row>
    <row r="220" spans="1:4" x14ac:dyDescent="0.3">
      <c r="A220" t="s">
        <v>35</v>
      </c>
      <c r="B220" t="s">
        <v>30</v>
      </c>
      <c r="C220">
        <v>0</v>
      </c>
      <c r="D220">
        <v>0</v>
      </c>
    </row>
    <row r="221" spans="1:4" x14ac:dyDescent="0.3">
      <c r="A221" t="s">
        <v>35</v>
      </c>
      <c r="B221" t="s">
        <v>30</v>
      </c>
      <c r="C221">
        <v>0</v>
      </c>
      <c r="D221">
        <v>0</v>
      </c>
    </row>
    <row r="222" spans="1:4" x14ac:dyDescent="0.3">
      <c r="A222" t="s">
        <v>37</v>
      </c>
      <c r="B222" t="s">
        <v>27</v>
      </c>
      <c r="C222">
        <v>501</v>
      </c>
      <c r="D222">
        <v>1.1357285429141717</v>
      </c>
    </row>
    <row r="223" spans="1:4" x14ac:dyDescent="0.3">
      <c r="A223" t="s">
        <v>37</v>
      </c>
      <c r="B223" t="s">
        <v>27</v>
      </c>
      <c r="C223">
        <v>92</v>
      </c>
      <c r="D223">
        <v>1.4357531055900621</v>
      </c>
    </row>
    <row r="224" spans="1:4" x14ac:dyDescent="0.3">
      <c r="A224" t="s">
        <v>37</v>
      </c>
      <c r="B224" t="s">
        <v>27</v>
      </c>
      <c r="C224">
        <v>3</v>
      </c>
      <c r="D224">
        <v>0</v>
      </c>
    </row>
    <row r="225" spans="1:4" x14ac:dyDescent="0.3">
      <c r="A225" t="s">
        <v>37</v>
      </c>
      <c r="B225" t="s">
        <v>27</v>
      </c>
      <c r="C225">
        <v>0</v>
      </c>
      <c r="D225">
        <v>0</v>
      </c>
    </row>
    <row r="226" spans="1:4" x14ac:dyDescent="0.3">
      <c r="A226" t="s">
        <v>37</v>
      </c>
      <c r="B226" t="s">
        <v>27</v>
      </c>
      <c r="C226">
        <v>0</v>
      </c>
      <c r="D226">
        <v>0</v>
      </c>
    </row>
    <row r="227" spans="1:4" x14ac:dyDescent="0.3">
      <c r="A227" t="s">
        <v>37</v>
      </c>
      <c r="B227" t="s">
        <v>28</v>
      </c>
      <c r="C227">
        <v>15</v>
      </c>
      <c r="D227">
        <v>0.67738095238095242</v>
      </c>
    </row>
    <row r="228" spans="1:4" x14ac:dyDescent="0.3">
      <c r="A228" t="s">
        <v>37</v>
      </c>
      <c r="B228" t="s">
        <v>28</v>
      </c>
      <c r="C228">
        <v>0</v>
      </c>
      <c r="D228">
        <v>0</v>
      </c>
    </row>
    <row r="229" spans="1:4" x14ac:dyDescent="0.3">
      <c r="A229" t="s">
        <v>37</v>
      </c>
      <c r="B229" t="s">
        <v>28</v>
      </c>
      <c r="C229">
        <v>0</v>
      </c>
      <c r="D229">
        <v>0</v>
      </c>
    </row>
    <row r="230" spans="1:4" x14ac:dyDescent="0.3">
      <c r="A230" t="s">
        <v>37</v>
      </c>
      <c r="B230" t="s">
        <v>28</v>
      </c>
      <c r="C230">
        <v>0</v>
      </c>
      <c r="D230">
        <v>0</v>
      </c>
    </row>
    <row r="231" spans="1:4" x14ac:dyDescent="0.3">
      <c r="A231" t="s">
        <v>37</v>
      </c>
      <c r="B231" t="s">
        <v>28</v>
      </c>
      <c r="C231">
        <v>0</v>
      </c>
      <c r="D231">
        <v>0</v>
      </c>
    </row>
    <row r="232" spans="1:4" x14ac:dyDescent="0.3">
      <c r="A232" t="s">
        <v>37</v>
      </c>
      <c r="B232" t="s">
        <v>29</v>
      </c>
      <c r="C232">
        <v>539</v>
      </c>
      <c r="D232">
        <v>1.0556586270871986</v>
      </c>
    </row>
    <row r="233" spans="1:4" x14ac:dyDescent="0.3">
      <c r="A233" t="s">
        <v>37</v>
      </c>
      <c r="B233" t="s">
        <v>29</v>
      </c>
      <c r="C233">
        <v>164</v>
      </c>
      <c r="D233">
        <v>1.3630226480836238</v>
      </c>
    </row>
    <row r="234" spans="1:4" x14ac:dyDescent="0.3">
      <c r="A234" t="s">
        <v>37</v>
      </c>
      <c r="B234" t="s">
        <v>29</v>
      </c>
      <c r="C234">
        <v>10</v>
      </c>
      <c r="D234">
        <v>0</v>
      </c>
    </row>
    <row r="235" spans="1:4" x14ac:dyDescent="0.3">
      <c r="A235" t="s">
        <v>37</v>
      </c>
      <c r="B235" t="s">
        <v>29</v>
      </c>
      <c r="C235">
        <v>0</v>
      </c>
      <c r="D235">
        <v>0</v>
      </c>
    </row>
    <row r="236" spans="1:4" x14ac:dyDescent="0.3">
      <c r="A236" t="s">
        <v>37</v>
      </c>
      <c r="B236" t="s">
        <v>29</v>
      </c>
      <c r="C236">
        <v>0</v>
      </c>
      <c r="D236">
        <v>0</v>
      </c>
    </row>
    <row r="237" spans="1:4" x14ac:dyDescent="0.3">
      <c r="A237" t="s">
        <v>37</v>
      </c>
      <c r="B237" t="s">
        <v>30</v>
      </c>
      <c r="C237">
        <v>14</v>
      </c>
      <c r="D237">
        <v>0.72576530612244894</v>
      </c>
    </row>
    <row r="238" spans="1:4" x14ac:dyDescent="0.3">
      <c r="A238" t="s">
        <v>37</v>
      </c>
      <c r="B238" t="s">
        <v>30</v>
      </c>
      <c r="C238">
        <v>0</v>
      </c>
      <c r="D238">
        <v>0</v>
      </c>
    </row>
    <row r="239" spans="1:4" x14ac:dyDescent="0.3">
      <c r="A239" t="s">
        <v>37</v>
      </c>
      <c r="B239" t="s">
        <v>30</v>
      </c>
      <c r="C239">
        <v>0</v>
      </c>
      <c r="D239">
        <v>0</v>
      </c>
    </row>
    <row r="240" spans="1:4" x14ac:dyDescent="0.3">
      <c r="A240" t="s">
        <v>37</v>
      </c>
      <c r="B240" t="s">
        <v>30</v>
      </c>
      <c r="C240">
        <v>0</v>
      </c>
      <c r="D240">
        <v>0</v>
      </c>
    </row>
    <row r="241" spans="1:4" x14ac:dyDescent="0.3">
      <c r="A241" t="s">
        <v>37</v>
      </c>
      <c r="B241" t="s">
        <v>30</v>
      </c>
      <c r="C241">
        <v>0</v>
      </c>
      <c r="D241">
        <v>0</v>
      </c>
    </row>
    <row r="242" spans="1:4" x14ac:dyDescent="0.3">
      <c r="A242" t="s">
        <v>38</v>
      </c>
      <c r="B242" t="s">
        <v>27</v>
      </c>
      <c r="C242">
        <v>561</v>
      </c>
      <c r="D242">
        <v>1.0142602495543671</v>
      </c>
    </row>
    <row r="243" spans="1:4" x14ac:dyDescent="0.3">
      <c r="A243" t="s">
        <v>38</v>
      </c>
      <c r="B243" t="s">
        <v>27</v>
      </c>
      <c r="C243">
        <v>388</v>
      </c>
      <c r="D243">
        <v>1.1067885625364715</v>
      </c>
    </row>
    <row r="244" spans="1:4" x14ac:dyDescent="0.3">
      <c r="A244" t="s">
        <v>38</v>
      </c>
      <c r="B244" t="s">
        <v>27</v>
      </c>
      <c r="C244">
        <v>74</v>
      </c>
      <c r="D244">
        <v>1.3057113717491078</v>
      </c>
    </row>
    <row r="245" spans="1:4" x14ac:dyDescent="0.3">
      <c r="A245" t="s">
        <v>38</v>
      </c>
      <c r="B245" t="s">
        <v>27</v>
      </c>
      <c r="C245">
        <v>7</v>
      </c>
      <c r="D245">
        <v>0</v>
      </c>
    </row>
    <row r="246" spans="1:4" x14ac:dyDescent="0.3">
      <c r="A246" t="s">
        <v>38</v>
      </c>
      <c r="B246" t="s">
        <v>27</v>
      </c>
      <c r="C246">
        <v>0</v>
      </c>
      <c r="D246">
        <v>0</v>
      </c>
    </row>
    <row r="247" spans="1:4" x14ac:dyDescent="0.3">
      <c r="A247" t="s">
        <v>38</v>
      </c>
      <c r="B247" t="s">
        <v>28</v>
      </c>
      <c r="C247">
        <v>14</v>
      </c>
      <c r="D247">
        <v>0</v>
      </c>
    </row>
    <row r="248" spans="1:4" x14ac:dyDescent="0.3">
      <c r="A248" t="s">
        <v>38</v>
      </c>
      <c r="B248" t="s">
        <v>28</v>
      </c>
      <c r="C248">
        <v>1</v>
      </c>
      <c r="D248">
        <v>0</v>
      </c>
    </row>
    <row r="249" spans="1:4" x14ac:dyDescent="0.3">
      <c r="A249" t="s">
        <v>38</v>
      </c>
      <c r="B249" t="s">
        <v>28</v>
      </c>
      <c r="C249">
        <v>0</v>
      </c>
      <c r="D249">
        <v>0</v>
      </c>
    </row>
    <row r="250" spans="1:4" x14ac:dyDescent="0.3">
      <c r="A250" t="s">
        <v>38</v>
      </c>
      <c r="B250" t="s">
        <v>28</v>
      </c>
      <c r="C250">
        <v>0</v>
      </c>
      <c r="D250">
        <v>0</v>
      </c>
    </row>
    <row r="251" spans="1:4" x14ac:dyDescent="0.3">
      <c r="A251" t="s">
        <v>38</v>
      </c>
      <c r="B251" t="s">
        <v>28</v>
      </c>
      <c r="C251">
        <v>0</v>
      </c>
      <c r="D251">
        <v>0</v>
      </c>
    </row>
    <row r="252" spans="1:4" x14ac:dyDescent="0.3">
      <c r="A252" t="s">
        <v>38</v>
      </c>
      <c r="B252" t="s">
        <v>29</v>
      </c>
      <c r="C252">
        <v>559</v>
      </c>
      <c r="D252">
        <v>1.0178890876565296</v>
      </c>
    </row>
    <row r="253" spans="1:4" x14ac:dyDescent="0.3">
      <c r="A253" t="s">
        <v>38</v>
      </c>
      <c r="B253" t="s">
        <v>29</v>
      </c>
      <c r="C253">
        <v>270</v>
      </c>
      <c r="D253">
        <v>0.91453529000698819</v>
      </c>
    </row>
    <row r="254" spans="1:4" x14ac:dyDescent="0.3">
      <c r="A254" t="s">
        <v>38</v>
      </c>
      <c r="B254" t="s">
        <v>29</v>
      </c>
      <c r="C254">
        <v>31</v>
      </c>
      <c r="D254">
        <v>1.0389531345100427</v>
      </c>
    </row>
    <row r="255" spans="1:4" x14ac:dyDescent="0.3">
      <c r="A255" t="s">
        <v>38</v>
      </c>
      <c r="B255" t="s">
        <v>29</v>
      </c>
      <c r="C255">
        <v>2</v>
      </c>
      <c r="D255">
        <v>0</v>
      </c>
    </row>
    <row r="256" spans="1:4" x14ac:dyDescent="0.3">
      <c r="A256" t="s">
        <v>38</v>
      </c>
      <c r="B256" t="s">
        <v>29</v>
      </c>
      <c r="C256">
        <v>0</v>
      </c>
      <c r="D256">
        <v>0</v>
      </c>
    </row>
    <row r="257" spans="1:4" x14ac:dyDescent="0.3">
      <c r="A257" t="s">
        <v>38</v>
      </c>
      <c r="B257" t="s">
        <v>30</v>
      </c>
      <c r="C257">
        <v>36</v>
      </c>
      <c r="D257">
        <v>0</v>
      </c>
    </row>
    <row r="258" spans="1:4" x14ac:dyDescent="0.3">
      <c r="A258" t="s">
        <v>38</v>
      </c>
      <c r="B258" t="s">
        <v>30</v>
      </c>
      <c r="C258">
        <v>8</v>
      </c>
      <c r="D258">
        <v>0</v>
      </c>
    </row>
    <row r="259" spans="1:4" x14ac:dyDescent="0.3">
      <c r="A259" t="s">
        <v>38</v>
      </c>
      <c r="B259" t="s">
        <v>30</v>
      </c>
      <c r="C259">
        <v>0</v>
      </c>
      <c r="D259">
        <v>0</v>
      </c>
    </row>
    <row r="260" spans="1:4" x14ac:dyDescent="0.3">
      <c r="A260" t="s">
        <v>38</v>
      </c>
      <c r="B260" t="s">
        <v>30</v>
      </c>
      <c r="C260">
        <v>0</v>
      </c>
      <c r="D260">
        <v>0</v>
      </c>
    </row>
    <row r="261" spans="1:4" x14ac:dyDescent="0.3">
      <c r="A261" t="s">
        <v>38</v>
      </c>
      <c r="B261" t="s">
        <v>30</v>
      </c>
      <c r="C261">
        <v>0</v>
      </c>
      <c r="D26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76B77-427F-4B78-8502-084A43730E66}">
  <sheetPr codeName="Sheet1"/>
  <dimension ref="A1:BS54"/>
  <sheetViews>
    <sheetView tabSelected="1" zoomScale="55" zoomScaleNormal="55" workbookViewId="0">
      <selection activeCell="AK40" sqref="AK40"/>
    </sheetView>
  </sheetViews>
  <sheetFormatPr defaultRowHeight="14.4" x14ac:dyDescent="0.3"/>
  <cols>
    <col min="3" max="5" width="9.6640625" bestFit="1" customWidth="1"/>
    <col min="6" max="7" width="9.6640625" customWidth="1"/>
    <col min="37" max="37" width="16.44140625" bestFit="1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</row>
    <row r="3" spans="1:61" x14ac:dyDescent="0.3">
      <c r="A3" s="34" t="s">
        <v>53</v>
      </c>
      <c r="B3" s="35" t="s">
        <v>27</v>
      </c>
      <c r="C3" s="35">
        <v>563</v>
      </c>
      <c r="D3" s="35">
        <v>170</v>
      </c>
      <c r="E3" s="35">
        <v>11</v>
      </c>
      <c r="F3" s="35">
        <v>0</v>
      </c>
      <c r="G3" s="35">
        <v>0</v>
      </c>
      <c r="H3" s="35"/>
      <c r="I3" s="35">
        <v>65</v>
      </c>
      <c r="J3" s="35">
        <v>36</v>
      </c>
      <c r="K3" s="35">
        <v>0</v>
      </c>
      <c r="L3" s="35">
        <v>0</v>
      </c>
      <c r="M3" s="35">
        <v>0</v>
      </c>
      <c r="N3" s="35"/>
      <c r="O3" s="38">
        <f t="shared" ref="O3:O34" si="0">IF(I3&gt;0, I3/C3, 0)</f>
        <v>0.11545293072824156</v>
      </c>
      <c r="P3" s="38">
        <f t="shared" ref="P3:P34" si="1">IF(J3&gt;0, J3/D3, 0)</f>
        <v>0.21176470588235294</v>
      </c>
      <c r="Q3" s="38">
        <f t="shared" ref="Q3:Q34" si="2">IF(K3&gt;0, K3/E3, 0)</f>
        <v>0</v>
      </c>
      <c r="R3" s="38">
        <f t="shared" ref="R3:R34" si="3">IF(L3&gt;0, L3/F3, 0)</f>
        <v>0</v>
      </c>
      <c r="S3" s="38">
        <f t="shared" ref="S3:S34" si="4">IF(M3&gt;0, M3/G3, 0)</f>
        <v>0</v>
      </c>
      <c r="T3" s="38"/>
      <c r="U3" s="38">
        <f>65/569</f>
        <v>0.11423550087873462</v>
      </c>
      <c r="V3" s="38"/>
      <c r="W3" s="39">
        <f t="shared" ref="W3:AA10" si="5">O3/$U3</f>
        <v>1.0106571936056838</v>
      </c>
      <c r="X3" s="39">
        <f t="shared" si="5"/>
        <v>1.8537556561085973</v>
      </c>
      <c r="Y3" s="39">
        <f t="shared" si="5"/>
        <v>0</v>
      </c>
      <c r="Z3" s="39">
        <f t="shared" si="5"/>
        <v>0</v>
      </c>
      <c r="AA3" s="39">
        <f t="shared" si="5"/>
        <v>0</v>
      </c>
      <c r="AB3" s="39">
        <f t="shared" ref="AB3:AB34" si="6">MAX(W3:AA3)</f>
        <v>1.8537556561085973</v>
      </c>
      <c r="AC3" s="40">
        <f>INDEX(C3:AA3, 1, MATCH(AB3, W3:AA3, 0))</f>
        <v>170</v>
      </c>
      <c r="AD3" s="39" t="str">
        <f>LEFT(INDEX(C$2:G$2, 1, MATCH(AB3, W3:AA3, 0)),1)</f>
        <v>4</v>
      </c>
      <c r="AE3" s="39">
        <f t="shared" ref="AE3:AI6" si="7">IF(C3&gt;0,((I3*((3*65)+C3))/(4*C3*65))*(1-(C3-I3)/(569-65)),0)</f>
        <v>4.0070202148354758E-3</v>
      </c>
      <c r="AF3" s="39">
        <f t="shared" si="7"/>
        <v>0.21824499030381386</v>
      </c>
      <c r="AG3" s="39">
        <f t="shared" si="7"/>
        <v>0</v>
      </c>
      <c r="AH3" s="39">
        <f t="shared" si="7"/>
        <v>0</v>
      </c>
      <c r="AI3" s="39">
        <f t="shared" si="7"/>
        <v>0</v>
      </c>
      <c r="AJ3" s="2"/>
      <c r="AL3" s="2"/>
      <c r="AM3" s="2"/>
      <c r="AN3" s="2"/>
      <c r="AO3" s="2"/>
      <c r="AP3" s="2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E3" s="5"/>
      <c r="BF3" s="5"/>
      <c r="BG3" s="5"/>
      <c r="BH3" s="5"/>
      <c r="BI3" s="5"/>
    </row>
    <row r="4" spans="1:61" x14ac:dyDescent="0.3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41">
        <f t="shared" ref="AC4:AC54" si="8">INDEX(C4:AA4, 1, MATCH(AB4, W4:AA4, 0))</f>
        <v>26</v>
      </c>
      <c r="AD4" s="29" t="str">
        <f t="shared" ref="AD4:AD54" si="9">LEFT(INDEX(C$2:G$2, 1, MATCH(AB4, W4:AA4, 0)),1)</f>
        <v>4</v>
      </c>
      <c r="AE4" s="29">
        <f t="shared" si="7"/>
        <v>4.888900056582985E-2</v>
      </c>
      <c r="AF4" s="29">
        <f t="shared" si="7"/>
        <v>0.18836996336996337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L4" s="6"/>
      <c r="AM4" s="6"/>
      <c r="AN4" s="6"/>
      <c r="AO4" s="6"/>
      <c r="AP4" s="6"/>
      <c r="AS4" s="7"/>
      <c r="AT4" s="7"/>
      <c r="AU4" s="7"/>
      <c r="AV4" s="7"/>
      <c r="AW4" s="7"/>
      <c r="AX4" s="4"/>
      <c r="AY4" s="7"/>
      <c r="AZ4" s="7"/>
      <c r="BA4" s="7"/>
      <c r="BB4" s="7"/>
      <c r="BC4" s="7"/>
      <c r="BE4" s="5"/>
      <c r="BF4" s="5"/>
      <c r="BG4" s="8"/>
      <c r="BH4" s="8"/>
      <c r="BI4" s="8"/>
    </row>
    <row r="5" spans="1:61" x14ac:dyDescent="0.3">
      <c r="A5" s="32" t="s">
        <v>53</v>
      </c>
      <c r="B5" t="s">
        <v>29</v>
      </c>
      <c r="C5">
        <v>561</v>
      </c>
      <c r="D5">
        <v>359</v>
      </c>
      <c r="E5">
        <v>11</v>
      </c>
      <c r="F5">
        <v>1</v>
      </c>
      <c r="G5">
        <v>0</v>
      </c>
      <c r="I5">
        <v>65</v>
      </c>
      <c r="J5">
        <v>41</v>
      </c>
      <c r="K5">
        <v>0</v>
      </c>
      <c r="L5">
        <v>0</v>
      </c>
      <c r="M5">
        <v>0</v>
      </c>
      <c r="O5" s="28">
        <f t="shared" si="0"/>
        <v>0.11586452762923351</v>
      </c>
      <c r="P5" s="28">
        <f t="shared" si="1"/>
        <v>0.11420612813370473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0.99974287550889229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1.0142602495543671</v>
      </c>
      <c r="AC5" s="41">
        <f t="shared" si="8"/>
        <v>561</v>
      </c>
      <c r="AD5" s="29" t="str">
        <f t="shared" si="9"/>
        <v>3</v>
      </c>
      <c r="AE5" s="29">
        <f t="shared" si="7"/>
        <v>5.3475935828877193E-3</v>
      </c>
      <c r="AF5" s="29">
        <f t="shared" si="7"/>
        <v>8.9806595447263979E-2</v>
      </c>
      <c r="AG5" s="29">
        <f t="shared" si="7"/>
        <v>0</v>
      </c>
      <c r="AH5" s="29">
        <f t="shared" si="7"/>
        <v>0</v>
      </c>
      <c r="AI5" s="29">
        <f t="shared" si="7"/>
        <v>0</v>
      </c>
      <c r="AJ5" s="2"/>
      <c r="AL5" s="6"/>
      <c r="AM5" s="6"/>
      <c r="AN5" s="6"/>
      <c r="AO5" s="6"/>
      <c r="AP5" s="6"/>
      <c r="AS5" s="7"/>
      <c r="AT5" s="7"/>
      <c r="AU5" s="7"/>
      <c r="AV5" s="7"/>
      <c r="AW5" s="7"/>
      <c r="AX5" s="4"/>
      <c r="AY5" s="7"/>
      <c r="AZ5" s="7"/>
      <c r="BA5" s="7"/>
      <c r="BB5" s="7"/>
      <c r="BC5" s="7"/>
      <c r="BE5" s="5"/>
      <c r="BF5" s="5"/>
      <c r="BG5" s="8"/>
      <c r="BH5" s="8"/>
      <c r="BI5" s="8"/>
    </row>
    <row r="6" spans="1:61" s="1" customFormat="1" x14ac:dyDescent="0.3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42">
        <f t="shared" si="8"/>
        <v>2</v>
      </c>
      <c r="AD6" s="31" t="str">
        <f t="shared" si="9"/>
        <v>5</v>
      </c>
      <c r="AE6" s="31">
        <f t="shared" si="7"/>
        <v>9.2556371768328288E-2</v>
      </c>
      <c r="AF6" s="31">
        <f t="shared" si="7"/>
        <v>4.3977665852665854E-2</v>
      </c>
      <c r="AG6" s="31">
        <f t="shared" si="7"/>
        <v>0.37809447496947496</v>
      </c>
      <c r="AH6" s="31">
        <f t="shared" si="7"/>
        <v>0</v>
      </c>
      <c r="AI6" s="31">
        <f t="shared" si="7"/>
        <v>0</v>
      </c>
      <c r="AJ6" s="9"/>
      <c r="AL6" s="11"/>
      <c r="AM6" s="11"/>
      <c r="AN6" s="11"/>
      <c r="AO6" s="11"/>
      <c r="AP6" s="11"/>
      <c r="AS6" s="12"/>
      <c r="AT6" s="12"/>
      <c r="AU6" s="12"/>
      <c r="AV6" s="12"/>
      <c r="AW6" s="12"/>
      <c r="AX6" s="13"/>
      <c r="AY6" s="12"/>
      <c r="AZ6" s="12"/>
      <c r="BA6" s="12"/>
      <c r="BB6" s="12"/>
      <c r="BC6" s="12"/>
      <c r="BE6" s="14"/>
      <c r="BF6" s="14"/>
      <c r="BG6" s="15"/>
      <c r="BH6" s="15"/>
      <c r="BI6" s="15"/>
    </row>
    <row r="7" spans="1:61" x14ac:dyDescent="0.3">
      <c r="A7" s="32" t="s">
        <v>26</v>
      </c>
      <c r="B7" s="35" t="s">
        <v>27</v>
      </c>
      <c r="C7" s="35">
        <v>566</v>
      </c>
      <c r="D7" s="35">
        <v>467</v>
      </c>
      <c r="E7" s="35">
        <v>68</v>
      </c>
      <c r="F7" s="35">
        <v>1</v>
      </c>
      <c r="G7" s="35">
        <v>0</v>
      </c>
      <c r="H7" s="35"/>
      <c r="I7" s="35">
        <v>86</v>
      </c>
      <c r="J7" s="35">
        <v>67</v>
      </c>
      <c r="K7" s="35">
        <v>12</v>
      </c>
      <c r="L7" s="35">
        <v>1</v>
      </c>
      <c r="M7" s="35">
        <v>0</v>
      </c>
      <c r="N7" s="35"/>
      <c r="O7" s="37">
        <f t="shared" si="0"/>
        <v>0.1519434628975265</v>
      </c>
      <c r="P7" s="37">
        <f t="shared" si="1"/>
        <v>0.14346895074946467</v>
      </c>
      <c r="Q7" s="37">
        <f t="shared" si="2"/>
        <v>0.17647058823529413</v>
      </c>
      <c r="R7" s="37">
        <f t="shared" si="3"/>
        <v>1</v>
      </c>
      <c r="S7" s="37">
        <f t="shared" si="4"/>
        <v>0</v>
      </c>
      <c r="T7" s="37"/>
      <c r="U7" s="37">
        <f t="shared" ref="U7:U14" si="10">86/569</f>
        <v>0.15114235500878734</v>
      </c>
      <c r="V7" s="37"/>
      <c r="W7" s="27">
        <f t="shared" si="5"/>
        <v>1.0053003533568905</v>
      </c>
      <c r="X7" s="27">
        <f t="shared" si="5"/>
        <v>0.94923061600517911</v>
      </c>
      <c r="Y7" s="27">
        <f t="shared" si="5"/>
        <v>1.1675786593707251</v>
      </c>
      <c r="Z7" s="27">
        <f t="shared" si="5"/>
        <v>6.6162790697674421</v>
      </c>
      <c r="AA7" s="27">
        <f t="shared" si="5"/>
        <v>0</v>
      </c>
      <c r="AB7" s="27">
        <f t="shared" si="6"/>
        <v>6.6162790697674421</v>
      </c>
      <c r="AC7" s="43">
        <f t="shared" si="8"/>
        <v>1</v>
      </c>
      <c r="AD7" s="27" t="str">
        <f t="shared" si="9"/>
        <v>6</v>
      </c>
      <c r="AE7" s="27">
        <f t="shared" ref="AE7:AI14" si="11">IF(C7&gt;0,((I7*((3*86)+C7))/(4*C7*86))*(1-(C7-I7)/(569-86)),0)</f>
        <v>2.2606061936220221E-3</v>
      </c>
      <c r="AF7" s="27">
        <f t="shared" si="11"/>
        <v>5.1959916891455016E-2</v>
      </c>
      <c r="AG7" s="27">
        <f t="shared" si="11"/>
        <v>0.14784690418128829</v>
      </c>
      <c r="AH7" s="27">
        <f t="shared" si="11"/>
        <v>0.75290697674418605</v>
      </c>
      <c r="AI7" s="27">
        <f t="shared" si="11"/>
        <v>0</v>
      </c>
      <c r="AJ7" s="2"/>
    </row>
    <row r="8" spans="1:61" x14ac:dyDescent="0.3">
      <c r="A8" s="32" t="s">
        <v>26</v>
      </c>
      <c r="B8" t="s">
        <v>28</v>
      </c>
      <c r="C8">
        <v>20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0.1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0"/>
        <v>0.15114235500878734</v>
      </c>
      <c r="V8" s="2"/>
      <c r="W8" s="3">
        <f t="shared" si="5"/>
        <v>0.66162790697674423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0.66162790697674423</v>
      </c>
      <c r="AC8" s="44">
        <f t="shared" si="8"/>
        <v>20</v>
      </c>
      <c r="AD8" s="3" t="str">
        <f t="shared" si="9"/>
        <v>3</v>
      </c>
      <c r="AE8" s="3">
        <f t="shared" si="11"/>
        <v>7.780225335837064E-2</v>
      </c>
      <c r="AF8" s="3">
        <f t="shared" si="11"/>
        <v>0</v>
      </c>
      <c r="AG8" s="3">
        <f t="shared" si="11"/>
        <v>0</v>
      </c>
      <c r="AH8" s="3">
        <f t="shared" si="11"/>
        <v>0</v>
      </c>
      <c r="AI8" s="3">
        <f t="shared" si="11"/>
        <v>0</v>
      </c>
      <c r="AJ8" s="2"/>
    </row>
    <row r="9" spans="1:61" x14ac:dyDescent="0.3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10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4">
        <f t="shared" si="8"/>
        <v>3</v>
      </c>
      <c r="AD9" s="3" t="str">
        <f t="shared" si="9"/>
        <v>6</v>
      </c>
      <c r="AE9" s="3">
        <f t="shared" si="11"/>
        <v>1.620207612873259E-2</v>
      </c>
      <c r="AF9" s="3">
        <f t="shared" si="11"/>
        <v>9.9499081735828818E-2</v>
      </c>
      <c r="AG9" s="3">
        <f t="shared" si="11"/>
        <v>8.6194167589516438E-2</v>
      </c>
      <c r="AH9" s="3">
        <f t="shared" si="11"/>
        <v>0.25185974288603208</v>
      </c>
      <c r="AI9" s="3">
        <f t="shared" si="11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17</v>
      </c>
      <c r="D10" s="1">
        <v>1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0.11764705882352941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0"/>
        <v>0.15114235500878734</v>
      </c>
      <c r="V10" s="9"/>
      <c r="W10" s="10">
        <f t="shared" si="5"/>
        <v>0.77838577291381672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0.77838577291381672</v>
      </c>
      <c r="AC10" s="45">
        <f t="shared" si="8"/>
        <v>17</v>
      </c>
      <c r="AD10" s="10" t="str">
        <f t="shared" si="9"/>
        <v>3</v>
      </c>
      <c r="AE10" s="10">
        <f t="shared" si="11"/>
        <v>9.1128463518875713E-2</v>
      </c>
      <c r="AF10" s="10">
        <f t="shared" si="11"/>
        <v>0</v>
      </c>
      <c r="AG10" s="10">
        <f t="shared" si="11"/>
        <v>0</v>
      </c>
      <c r="AH10" s="10">
        <f t="shared" si="11"/>
        <v>0</v>
      </c>
      <c r="AI10" s="10">
        <f t="shared" si="11"/>
        <v>0</v>
      </c>
      <c r="AJ10" s="9"/>
    </row>
    <row r="11" spans="1:61" x14ac:dyDescent="0.3">
      <c r="A11" s="32" t="s">
        <v>54</v>
      </c>
      <c r="B11" s="35" t="s">
        <v>27</v>
      </c>
      <c r="C11" s="35">
        <v>565</v>
      </c>
      <c r="D11" s="35">
        <v>498</v>
      </c>
      <c r="E11" s="35">
        <v>69</v>
      </c>
      <c r="F11" s="35">
        <v>2</v>
      </c>
      <c r="G11" s="35">
        <v>0</v>
      </c>
      <c r="H11" s="35"/>
      <c r="I11" s="35">
        <v>86</v>
      </c>
      <c r="J11" s="35">
        <v>78</v>
      </c>
      <c r="K11" s="35">
        <v>5</v>
      </c>
      <c r="L11" s="35">
        <v>0</v>
      </c>
      <c r="M11" s="35">
        <v>0</v>
      </c>
      <c r="N11" s="35"/>
      <c r="O11" s="38">
        <f t="shared" si="0"/>
        <v>0.15221238938053097</v>
      </c>
      <c r="P11" s="38">
        <f t="shared" si="1"/>
        <v>0.15662650602409639</v>
      </c>
      <c r="Q11" s="38">
        <f t="shared" si="2"/>
        <v>7.2463768115942032E-2</v>
      </c>
      <c r="R11" s="38">
        <f t="shared" si="3"/>
        <v>0</v>
      </c>
      <c r="S11" s="38">
        <f t="shared" si="4"/>
        <v>0</v>
      </c>
      <c r="T11" s="38"/>
      <c r="U11" s="38">
        <f t="shared" si="10"/>
        <v>0.15114235500878734</v>
      </c>
      <c r="V11" s="38"/>
      <c r="W11" s="39">
        <f t="shared" ref="W11:Y18" si="12">IF(O11&gt;0, O11/$U11, 0)</f>
        <v>1.0070796460176992</v>
      </c>
      <c r="X11" s="39">
        <f t="shared" si="12"/>
        <v>1.0362846735780331</v>
      </c>
      <c r="Y11" s="39">
        <f t="shared" si="12"/>
        <v>0.47944051230198859</v>
      </c>
      <c r="Z11" s="39">
        <f t="shared" ref="Z11:Z54" si="13">R11/$U11</f>
        <v>0</v>
      </c>
      <c r="AA11" s="39">
        <f t="shared" ref="AA11:AA54" si="14">S11/$U11</f>
        <v>0</v>
      </c>
      <c r="AB11" s="39">
        <f t="shared" si="6"/>
        <v>1.0362846735780331</v>
      </c>
      <c r="AC11" s="40">
        <f t="shared" si="8"/>
        <v>498</v>
      </c>
      <c r="AD11" s="39" t="str">
        <f t="shared" si="9"/>
        <v>4</v>
      </c>
      <c r="AE11" s="39">
        <f t="shared" si="11"/>
        <v>3.0158119423221576E-3</v>
      </c>
      <c r="AF11" s="39">
        <f t="shared" si="11"/>
        <v>4.4897486812771822E-2</v>
      </c>
      <c r="AG11" s="39">
        <f t="shared" si="11"/>
        <v>5.9755394222576717E-2</v>
      </c>
      <c r="AH11" s="39">
        <f t="shared" si="11"/>
        <v>0</v>
      </c>
      <c r="AI11" s="39">
        <f t="shared" si="11"/>
        <v>0</v>
      </c>
      <c r="AJ11" s="2"/>
      <c r="AS11" s="5"/>
      <c r="AT11" s="5"/>
      <c r="AU11" s="5"/>
      <c r="AV11" s="5"/>
      <c r="AW11" s="5"/>
      <c r="AX11" s="5"/>
    </row>
    <row r="12" spans="1:61" x14ac:dyDescent="0.3">
      <c r="A12" s="32" t="s">
        <v>54</v>
      </c>
      <c r="B12" t="s">
        <v>28</v>
      </c>
      <c r="C12">
        <v>502</v>
      </c>
      <c r="D12">
        <v>40</v>
      </c>
      <c r="E12">
        <v>1</v>
      </c>
      <c r="F12">
        <v>0</v>
      </c>
      <c r="G12">
        <v>0</v>
      </c>
      <c r="I12">
        <v>76</v>
      </c>
      <c r="J12">
        <v>4</v>
      </c>
      <c r="K12">
        <v>0</v>
      </c>
      <c r="L12">
        <v>0</v>
      </c>
      <c r="M12">
        <v>0</v>
      </c>
      <c r="O12" s="28">
        <f t="shared" si="0"/>
        <v>0.15139442231075698</v>
      </c>
      <c r="P12" s="28">
        <f t="shared" si="1"/>
        <v>0.1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0"/>
        <v>0.15114235500878734</v>
      </c>
      <c r="V12" s="28"/>
      <c r="W12" s="29">
        <f t="shared" si="12"/>
        <v>1.0016677476141944</v>
      </c>
      <c r="X12" s="29">
        <f t="shared" si="12"/>
        <v>0.66162790697674423</v>
      </c>
      <c r="Y12" s="29">
        <f t="shared" si="12"/>
        <v>0</v>
      </c>
      <c r="Z12" s="29">
        <f t="shared" si="13"/>
        <v>0</v>
      </c>
      <c r="AA12" s="29">
        <f t="shared" si="14"/>
        <v>0</v>
      </c>
      <c r="AB12" s="29">
        <f t="shared" si="6"/>
        <v>1.0016677476141944</v>
      </c>
      <c r="AC12" s="41">
        <f t="shared" si="8"/>
        <v>502</v>
      </c>
      <c r="AD12" s="29" t="str">
        <f t="shared" si="9"/>
        <v>3</v>
      </c>
      <c r="AE12" s="29">
        <f t="shared" si="11"/>
        <v>3.9472328798341234E-2</v>
      </c>
      <c r="AF12" s="29">
        <f t="shared" si="11"/>
        <v>8.0171168568539647E-2</v>
      </c>
      <c r="AG12" s="29">
        <f t="shared" si="11"/>
        <v>0</v>
      </c>
      <c r="AH12" s="29">
        <f t="shared" si="11"/>
        <v>0</v>
      </c>
      <c r="AI12" s="29">
        <f t="shared" si="11"/>
        <v>0</v>
      </c>
      <c r="AJ12" s="2"/>
      <c r="AS12" s="8"/>
      <c r="AT12" s="8"/>
      <c r="AU12" s="8"/>
      <c r="AV12" s="5"/>
      <c r="AW12" s="5"/>
      <c r="AX12" s="5"/>
    </row>
    <row r="13" spans="1:61" x14ac:dyDescent="0.3">
      <c r="A13" s="32" t="s">
        <v>54</v>
      </c>
      <c r="B13" t="s">
        <v>29</v>
      </c>
      <c r="C13">
        <v>497</v>
      </c>
      <c r="D13">
        <v>186</v>
      </c>
      <c r="E13">
        <v>14</v>
      </c>
      <c r="F13">
        <v>0</v>
      </c>
      <c r="G13">
        <v>0</v>
      </c>
      <c r="I13">
        <v>69</v>
      </c>
      <c r="J13">
        <v>26</v>
      </c>
      <c r="K13">
        <v>1</v>
      </c>
      <c r="L13">
        <v>0</v>
      </c>
      <c r="M13">
        <v>0</v>
      </c>
      <c r="O13" s="28">
        <f t="shared" si="0"/>
        <v>0.13883299798792756</v>
      </c>
      <c r="P13" s="28">
        <f t="shared" si="1"/>
        <v>0.13978494623655913</v>
      </c>
      <c r="Q13" s="28">
        <f t="shared" si="2"/>
        <v>7.1428571428571425E-2</v>
      </c>
      <c r="R13" s="28">
        <f t="shared" si="3"/>
        <v>0</v>
      </c>
      <c r="S13" s="28">
        <f t="shared" si="4"/>
        <v>0</v>
      </c>
      <c r="T13" s="28"/>
      <c r="U13" s="28">
        <f t="shared" si="10"/>
        <v>0.15114235500878734</v>
      </c>
      <c r="V13" s="28"/>
      <c r="W13" s="29">
        <f t="shared" si="12"/>
        <v>0.91855785878059049</v>
      </c>
      <c r="X13" s="29">
        <f t="shared" si="12"/>
        <v>0.92485621405351337</v>
      </c>
      <c r="Y13" s="29">
        <f t="shared" si="12"/>
        <v>0.47259136212624586</v>
      </c>
      <c r="Z13" s="29">
        <f t="shared" si="13"/>
        <v>0</v>
      </c>
      <c r="AA13" s="29">
        <f t="shared" si="14"/>
        <v>0</v>
      </c>
      <c r="AB13" s="29">
        <f t="shared" si="6"/>
        <v>0.92485621405351337</v>
      </c>
      <c r="AC13" s="41">
        <f t="shared" si="8"/>
        <v>186</v>
      </c>
      <c r="AD13" s="29" t="str">
        <f t="shared" si="9"/>
        <v>4</v>
      </c>
      <c r="AE13" s="29">
        <f t="shared" si="11"/>
        <v>3.4697386979685434E-2</v>
      </c>
      <c r="AF13" s="29">
        <f t="shared" si="11"/>
        <v>0.12065361060762086</v>
      </c>
      <c r="AG13" s="29">
        <f t="shared" si="11"/>
        <v>5.4958282605256467E-2</v>
      </c>
      <c r="AH13" s="29">
        <f t="shared" si="11"/>
        <v>0</v>
      </c>
      <c r="AI13" s="29">
        <f t="shared" si="11"/>
        <v>0</v>
      </c>
      <c r="AJ13" s="2"/>
      <c r="AS13" s="8"/>
      <c r="AT13" s="8"/>
      <c r="AU13" s="8"/>
      <c r="AV13" s="5"/>
      <c r="AW13" s="5"/>
      <c r="AX13" s="5"/>
    </row>
    <row r="14" spans="1:61" s="1" customFormat="1" x14ac:dyDescent="0.3">
      <c r="A14" s="32" t="s">
        <v>54</v>
      </c>
      <c r="B14" s="1" t="s">
        <v>30</v>
      </c>
      <c r="C14" s="1">
        <v>18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0.1111111111111111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0"/>
        <v>0.15114235500878734</v>
      </c>
      <c r="V14" s="30"/>
      <c r="W14" s="31">
        <f t="shared" si="12"/>
        <v>0.73514211886304914</v>
      </c>
      <c r="X14" s="31">
        <f t="shared" si="12"/>
        <v>0</v>
      </c>
      <c r="Y14" s="31">
        <f t="shared" si="12"/>
        <v>0</v>
      </c>
      <c r="Z14" s="31">
        <f t="shared" si="13"/>
        <v>0</v>
      </c>
      <c r="AA14" s="31">
        <f t="shared" si="14"/>
        <v>0</v>
      </c>
      <c r="AB14" s="31">
        <f t="shared" si="6"/>
        <v>0.73514211886304914</v>
      </c>
      <c r="AC14" s="42">
        <f t="shared" si="8"/>
        <v>18</v>
      </c>
      <c r="AD14" s="31" t="str">
        <f t="shared" si="9"/>
        <v>3</v>
      </c>
      <c r="AE14" s="31">
        <f t="shared" si="11"/>
        <v>8.6194167589516438E-2</v>
      </c>
      <c r="AF14" s="31">
        <f t="shared" si="11"/>
        <v>0</v>
      </c>
      <c r="AG14" s="31">
        <f t="shared" si="11"/>
        <v>0</v>
      </c>
      <c r="AH14" s="31">
        <f t="shared" si="11"/>
        <v>0</v>
      </c>
      <c r="AI14" s="31">
        <f t="shared" si="11"/>
        <v>0</v>
      </c>
      <c r="AJ14" s="9"/>
      <c r="AS14" s="15"/>
      <c r="AT14" s="15"/>
      <c r="AU14" s="15"/>
      <c r="AV14" s="14"/>
      <c r="AW14" s="14"/>
      <c r="AX14" s="14"/>
    </row>
    <row r="15" spans="1:61" x14ac:dyDescent="0.3">
      <c r="A15" s="32" t="s">
        <v>31</v>
      </c>
      <c r="B15" s="35" t="s">
        <v>27</v>
      </c>
      <c r="C15" s="25">
        <v>565</v>
      </c>
      <c r="D15" s="25">
        <v>473</v>
      </c>
      <c r="E15" s="25">
        <v>133</v>
      </c>
      <c r="F15" s="25">
        <v>13</v>
      </c>
      <c r="G15" s="25">
        <v>0</v>
      </c>
      <c r="H15" s="35"/>
      <c r="I15" s="25">
        <v>29</v>
      </c>
      <c r="J15" s="25">
        <v>21</v>
      </c>
      <c r="K15" s="25">
        <v>7</v>
      </c>
      <c r="L15" s="25">
        <v>0</v>
      </c>
      <c r="M15" s="25">
        <v>0</v>
      </c>
      <c r="N15" s="35"/>
      <c r="O15" s="37">
        <f t="shared" si="0"/>
        <v>5.1327433628318583E-2</v>
      </c>
      <c r="P15" s="37">
        <f t="shared" si="1"/>
        <v>4.4397463002114168E-2</v>
      </c>
      <c r="Q15" s="37">
        <f t="shared" si="2"/>
        <v>5.2631578947368418E-2</v>
      </c>
      <c r="R15" s="37">
        <f t="shared" si="3"/>
        <v>0</v>
      </c>
      <c r="S15" s="37">
        <f t="shared" si="4"/>
        <v>0</v>
      </c>
      <c r="T15" s="37"/>
      <c r="U15" s="37">
        <f>29/569</f>
        <v>5.0966608084358524E-2</v>
      </c>
      <c r="V15" s="37"/>
      <c r="W15" s="27">
        <f t="shared" si="12"/>
        <v>1.0070796460176992</v>
      </c>
      <c r="X15" s="27">
        <f t="shared" si="12"/>
        <v>0.8711088430414814</v>
      </c>
      <c r="Y15" s="27">
        <f t="shared" si="12"/>
        <v>1.0326678765880217</v>
      </c>
      <c r="Z15" s="27">
        <f t="shared" si="13"/>
        <v>0</v>
      </c>
      <c r="AA15" s="27">
        <f t="shared" si="14"/>
        <v>0</v>
      </c>
      <c r="AB15" s="27">
        <f t="shared" si="6"/>
        <v>1.0326678765880217</v>
      </c>
      <c r="AC15" s="43">
        <f t="shared" si="8"/>
        <v>133</v>
      </c>
      <c r="AD15" s="27" t="str">
        <f t="shared" si="9"/>
        <v>5</v>
      </c>
      <c r="AE15" s="27">
        <f t="shared" ref="AE15:AI18" si="15">IF(C15&gt;0,((I15*((3*29)+C15))/(4*C15*29))*(1-(C15-I15)/(569-29)),0)</f>
        <v>2.1370042608980693E-3</v>
      </c>
      <c r="AF15" s="27">
        <f t="shared" si="15"/>
        <v>3.4928272297959549E-2</v>
      </c>
      <c r="AG15" s="27">
        <f t="shared" si="15"/>
        <v>7.6527525710828784E-2</v>
      </c>
      <c r="AH15" s="27">
        <f t="shared" si="15"/>
        <v>0</v>
      </c>
      <c r="AI15" s="27">
        <f t="shared" si="15"/>
        <v>0</v>
      </c>
      <c r="AJ15" s="2"/>
    </row>
    <row r="16" spans="1:61" x14ac:dyDescent="0.3">
      <c r="A16" s="32" t="s">
        <v>31</v>
      </c>
      <c r="B16" t="s">
        <v>28</v>
      </c>
      <c r="C16" s="25">
        <v>555</v>
      </c>
      <c r="D16" s="25">
        <v>281</v>
      </c>
      <c r="E16" s="25">
        <v>12</v>
      </c>
      <c r="F16" s="25">
        <v>0</v>
      </c>
      <c r="G16" s="25">
        <v>0</v>
      </c>
      <c r="I16" s="25">
        <v>28</v>
      </c>
      <c r="J16" s="25">
        <v>11</v>
      </c>
      <c r="K16" s="25">
        <v>1</v>
      </c>
      <c r="L16" s="25">
        <v>0</v>
      </c>
      <c r="M16" s="25">
        <v>0</v>
      </c>
      <c r="O16" s="2">
        <f t="shared" si="0"/>
        <v>5.0450450450450449E-2</v>
      </c>
      <c r="P16" s="2">
        <f t="shared" si="1"/>
        <v>3.9145907473309607E-2</v>
      </c>
      <c r="Q16" s="2">
        <f t="shared" si="2"/>
        <v>8.3333333333333329E-2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2"/>
        <v>0.98987263125194158</v>
      </c>
      <c r="X16" s="3">
        <f t="shared" si="12"/>
        <v>0.76806970180390233</v>
      </c>
      <c r="Y16" s="3">
        <f t="shared" si="12"/>
        <v>1.6350574712643677</v>
      </c>
      <c r="Z16" s="3">
        <f t="shared" si="13"/>
        <v>0</v>
      </c>
      <c r="AA16" s="3">
        <f t="shared" si="14"/>
        <v>0</v>
      </c>
      <c r="AB16" s="3">
        <f t="shared" si="6"/>
        <v>1.6350574712643677</v>
      </c>
      <c r="AC16" s="44">
        <f t="shared" si="8"/>
        <v>12</v>
      </c>
      <c r="AD16" s="3" t="str">
        <f t="shared" si="9"/>
        <v>5</v>
      </c>
      <c r="AE16" s="3">
        <f t="shared" si="15"/>
        <v>6.7218943081011904E-3</v>
      </c>
      <c r="AF16" s="3">
        <f t="shared" si="15"/>
        <v>6.2093508405939378E-2</v>
      </c>
      <c r="AG16" s="3">
        <f t="shared" si="15"/>
        <v>6.9671934865900384E-2</v>
      </c>
      <c r="AH16" s="3">
        <f t="shared" si="15"/>
        <v>0</v>
      </c>
      <c r="AI16" s="3">
        <f t="shared" si="15"/>
        <v>0</v>
      </c>
      <c r="AJ16" s="2"/>
    </row>
    <row r="17" spans="1:71" x14ac:dyDescent="0.3">
      <c r="A17" s="32" t="s">
        <v>31</v>
      </c>
      <c r="B17" t="s">
        <v>29</v>
      </c>
      <c r="C17" s="25">
        <v>564</v>
      </c>
      <c r="D17" s="25">
        <v>524</v>
      </c>
      <c r="E17" s="25">
        <v>153</v>
      </c>
      <c r="F17" s="25">
        <v>5</v>
      </c>
      <c r="G17" s="25">
        <v>0</v>
      </c>
      <c r="I17" s="25">
        <v>28</v>
      </c>
      <c r="J17" s="25">
        <v>26</v>
      </c>
      <c r="K17" s="25">
        <v>9</v>
      </c>
      <c r="L17" s="25">
        <v>0</v>
      </c>
      <c r="M17" s="25">
        <v>0</v>
      </c>
      <c r="O17" s="2">
        <f t="shared" si="0"/>
        <v>4.9645390070921988E-2</v>
      </c>
      <c r="P17" s="2">
        <f t="shared" si="1"/>
        <v>4.9618320610687022E-2</v>
      </c>
      <c r="Q17" s="2">
        <f t="shared" si="2"/>
        <v>5.8823529411764705E-2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2"/>
        <v>0.97407679139153835</v>
      </c>
      <c r="X17" s="3">
        <f t="shared" si="12"/>
        <v>0.97354566991313507</v>
      </c>
      <c r="Y17" s="3">
        <f t="shared" si="12"/>
        <v>1.1541582150101419</v>
      </c>
      <c r="Z17" s="3">
        <f t="shared" si="13"/>
        <v>0</v>
      </c>
      <c r="AA17" s="3">
        <f t="shared" si="14"/>
        <v>0</v>
      </c>
      <c r="AB17" s="3">
        <f t="shared" si="6"/>
        <v>1.1541582150101419</v>
      </c>
      <c r="AC17" s="44">
        <f t="shared" si="8"/>
        <v>153</v>
      </c>
      <c r="AD17" s="3" t="str">
        <f t="shared" si="9"/>
        <v>5</v>
      </c>
      <c r="AE17" s="3">
        <f t="shared" si="15"/>
        <v>2.0638026140594036E-3</v>
      </c>
      <c r="AF17" s="3">
        <f t="shared" si="15"/>
        <v>2.0327352227194277E-2</v>
      </c>
      <c r="AG17" s="3">
        <f t="shared" si="15"/>
        <v>8.9249492900608532E-2</v>
      </c>
      <c r="AH17" s="3">
        <f t="shared" si="15"/>
        <v>0</v>
      </c>
      <c r="AI17" s="3">
        <f t="shared" si="15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3</v>
      </c>
      <c r="D18" s="1">
        <v>1</v>
      </c>
      <c r="E18" s="1">
        <v>0</v>
      </c>
      <c r="F18" s="1">
        <v>0</v>
      </c>
      <c r="G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0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2"/>
        <v>0</v>
      </c>
      <c r="X18" s="10">
        <f t="shared" si="12"/>
        <v>0</v>
      </c>
      <c r="Y18" s="10">
        <f t="shared" si="12"/>
        <v>0</v>
      </c>
      <c r="Z18" s="10">
        <f t="shared" si="13"/>
        <v>0</v>
      </c>
      <c r="AA18" s="10">
        <f t="shared" si="14"/>
        <v>0</v>
      </c>
      <c r="AB18" s="10">
        <f t="shared" si="6"/>
        <v>0</v>
      </c>
      <c r="AC18" s="45">
        <f t="shared" si="8"/>
        <v>3</v>
      </c>
      <c r="AD18" s="10" t="str">
        <f t="shared" si="9"/>
        <v>3</v>
      </c>
      <c r="AE18" s="10">
        <f t="shared" si="15"/>
        <v>0</v>
      </c>
      <c r="AF18" s="10">
        <f t="shared" si="15"/>
        <v>0</v>
      </c>
      <c r="AG18" s="10">
        <f t="shared" si="15"/>
        <v>0</v>
      </c>
      <c r="AH18" s="10">
        <f t="shared" si="15"/>
        <v>0</v>
      </c>
      <c r="AI18" s="10">
        <f t="shared" si="15"/>
        <v>0</v>
      </c>
      <c r="AJ18" s="9"/>
    </row>
    <row r="19" spans="1:71" x14ac:dyDescent="0.3">
      <c r="A19" s="32" t="s">
        <v>55</v>
      </c>
      <c r="B19" s="35" t="s">
        <v>27</v>
      </c>
      <c r="C19" s="35">
        <v>567</v>
      </c>
      <c r="D19" s="35">
        <v>506</v>
      </c>
      <c r="E19" s="35">
        <v>131</v>
      </c>
      <c r="F19" s="35">
        <v>3</v>
      </c>
      <c r="G19" s="35">
        <v>0</v>
      </c>
      <c r="H19" s="35"/>
      <c r="I19" s="35">
        <v>32</v>
      </c>
      <c r="J19" s="35">
        <v>26</v>
      </c>
      <c r="K19" s="35">
        <v>6</v>
      </c>
      <c r="L19" s="35">
        <v>0</v>
      </c>
      <c r="M19" s="35">
        <v>0</v>
      </c>
      <c r="N19" s="35"/>
      <c r="O19" s="38">
        <f t="shared" si="0"/>
        <v>5.6437389770723101E-2</v>
      </c>
      <c r="P19" s="38">
        <f t="shared" si="1"/>
        <v>5.1383399209486168E-2</v>
      </c>
      <c r="Q19" s="38">
        <f t="shared" si="2"/>
        <v>4.5801526717557252E-2</v>
      </c>
      <c r="R19" s="38">
        <f t="shared" si="3"/>
        <v>0</v>
      </c>
      <c r="S19" s="38">
        <f t="shared" si="4"/>
        <v>0</v>
      </c>
      <c r="T19" s="38"/>
      <c r="U19" s="38">
        <f>32/569</f>
        <v>5.6239015817223195E-2</v>
      </c>
      <c r="V19" s="38"/>
      <c r="W19" s="39">
        <f t="shared" ref="W19:W54" si="16">O19/$U19</f>
        <v>1.0035273368606703</v>
      </c>
      <c r="X19" s="39">
        <f t="shared" ref="X19:X54" si="17">P19/$U19</f>
        <v>0.91366106719367601</v>
      </c>
      <c r="Y19" s="39">
        <f t="shared" ref="Y19:Y54" si="18">Q19/$U19</f>
        <v>0.81440839694656497</v>
      </c>
      <c r="Z19" s="39">
        <f t="shared" si="13"/>
        <v>0</v>
      </c>
      <c r="AA19" s="39">
        <f t="shared" si="14"/>
        <v>0</v>
      </c>
      <c r="AB19" s="39">
        <f t="shared" si="6"/>
        <v>1.0035273368606703</v>
      </c>
      <c r="AC19" s="40">
        <f t="shared" si="8"/>
        <v>567</v>
      </c>
      <c r="AD19" s="39" t="str">
        <f t="shared" si="9"/>
        <v>3</v>
      </c>
      <c r="AE19" s="39">
        <f t="shared" ref="AE19:AI22" si="19">IF(C19&gt;0,((I19*((3*32)+C19))/(4*C19*32))*(1-(C19-I19)/(569-32)),0)</f>
        <v>1.0887450366035085E-3</v>
      </c>
      <c r="AF19" s="39">
        <f t="shared" si="19"/>
        <v>2.5651332059973074E-2</v>
      </c>
      <c r="AG19" s="39">
        <f t="shared" si="19"/>
        <v>6.2318755597253611E-2</v>
      </c>
      <c r="AH19" s="39">
        <f t="shared" si="19"/>
        <v>0</v>
      </c>
      <c r="AI19" s="39">
        <f t="shared" si="19"/>
        <v>0</v>
      </c>
      <c r="AJ19" s="2"/>
      <c r="AT19" s="5"/>
    </row>
    <row r="20" spans="1:71" x14ac:dyDescent="0.3">
      <c r="A20" s="32" t="s">
        <v>55</v>
      </c>
      <c r="B20" t="s">
        <v>28</v>
      </c>
      <c r="C20">
        <v>19</v>
      </c>
      <c r="D20">
        <v>2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0.21052631578947367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16"/>
        <v>3.7434210526315788</v>
      </c>
      <c r="X20" s="29">
        <f t="shared" si="17"/>
        <v>0</v>
      </c>
      <c r="Y20" s="29">
        <f t="shared" si="18"/>
        <v>0</v>
      </c>
      <c r="Z20" s="29">
        <f t="shared" si="13"/>
        <v>0</v>
      </c>
      <c r="AA20" s="29">
        <f t="shared" si="14"/>
        <v>0</v>
      </c>
      <c r="AB20" s="29">
        <f t="shared" si="6"/>
        <v>3.7434210526315788</v>
      </c>
      <c r="AC20" s="41">
        <f t="shared" si="8"/>
        <v>19</v>
      </c>
      <c r="AD20" s="29" t="str">
        <f t="shared" si="9"/>
        <v>3</v>
      </c>
      <c r="AE20" s="29">
        <f t="shared" si="19"/>
        <v>0.18386136430461628</v>
      </c>
      <c r="AF20" s="29">
        <f t="shared" si="19"/>
        <v>0</v>
      </c>
      <c r="AG20" s="29">
        <f t="shared" si="19"/>
        <v>0</v>
      </c>
      <c r="AH20" s="29">
        <f t="shared" si="19"/>
        <v>0</v>
      </c>
      <c r="AI20" s="29">
        <f t="shared" si="19"/>
        <v>0</v>
      </c>
      <c r="AJ20" s="2"/>
    </row>
    <row r="21" spans="1:71" x14ac:dyDescent="0.3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16"/>
        <v>0.98256461675579332</v>
      </c>
      <c r="X21" s="29">
        <f t="shared" si="17"/>
        <v>0.70826781970649899</v>
      </c>
      <c r="Y21" s="29">
        <f t="shared" si="18"/>
        <v>0.8584051724137931</v>
      </c>
      <c r="Z21" s="29">
        <f t="shared" si="13"/>
        <v>2.5401785714285716</v>
      </c>
      <c r="AA21" s="29">
        <f t="shared" si="14"/>
        <v>0</v>
      </c>
      <c r="AB21" s="29">
        <f t="shared" si="6"/>
        <v>2.5401785714285716</v>
      </c>
      <c r="AC21" s="41">
        <f t="shared" si="8"/>
        <v>7</v>
      </c>
      <c r="AD21" s="29" t="str">
        <f t="shared" si="9"/>
        <v>6</v>
      </c>
      <c r="AE21" s="29">
        <f t="shared" si="19"/>
        <v>3.697242927135315E-3</v>
      </c>
      <c r="AF21" s="29">
        <f t="shared" si="19"/>
        <v>2.6232077082088943E-2</v>
      </c>
      <c r="AG21" s="29">
        <f t="shared" si="19"/>
        <v>6.7536060007705637E-2</v>
      </c>
      <c r="AH21" s="29">
        <f t="shared" si="19"/>
        <v>0.11367093974461293</v>
      </c>
      <c r="AI21" s="29">
        <f t="shared" si="19"/>
        <v>0</v>
      </c>
      <c r="AJ21" s="2"/>
    </row>
    <row r="22" spans="1:71" s="1" customFormat="1" x14ac:dyDescent="0.3">
      <c r="A22" s="32" t="s">
        <v>55</v>
      </c>
      <c r="B22" s="1" t="s">
        <v>30</v>
      </c>
      <c r="C22" s="1">
        <v>16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0.25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16"/>
        <v>4.4453125</v>
      </c>
      <c r="X22" s="31">
        <f t="shared" si="17"/>
        <v>0</v>
      </c>
      <c r="Y22" s="31">
        <f t="shared" si="18"/>
        <v>0</v>
      </c>
      <c r="Z22" s="31">
        <f t="shared" si="13"/>
        <v>0</v>
      </c>
      <c r="AA22" s="31">
        <f t="shared" si="14"/>
        <v>0</v>
      </c>
      <c r="AB22" s="31">
        <f t="shared" si="6"/>
        <v>4.4453125</v>
      </c>
      <c r="AC22" s="42">
        <f t="shared" si="8"/>
        <v>16</v>
      </c>
      <c r="AD22" s="31" t="str">
        <f t="shared" si="9"/>
        <v>3</v>
      </c>
      <c r="AE22" s="31">
        <f t="shared" si="19"/>
        <v>0.21386173184357543</v>
      </c>
      <c r="AF22" s="31">
        <f t="shared" si="19"/>
        <v>0</v>
      </c>
      <c r="AG22" s="31">
        <f t="shared" si="19"/>
        <v>0</v>
      </c>
      <c r="AH22" s="31">
        <f t="shared" si="19"/>
        <v>0</v>
      </c>
      <c r="AI22" s="31">
        <f t="shared" si="19"/>
        <v>0</v>
      </c>
      <c r="AJ22" s="9"/>
    </row>
    <row r="23" spans="1:71" x14ac:dyDescent="0.3">
      <c r="A23" s="32" t="s">
        <v>32</v>
      </c>
      <c r="B23" s="35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H23" s="35"/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N23" s="35"/>
      <c r="O23" s="37">
        <f t="shared" si="0"/>
        <v>7.8039927404718698E-2</v>
      </c>
      <c r="P23" s="37">
        <f t="shared" si="1"/>
        <v>0.12442396313364056</v>
      </c>
      <c r="Q23" s="37">
        <f t="shared" si="2"/>
        <v>0.8</v>
      </c>
      <c r="R23" s="37">
        <f t="shared" si="3"/>
        <v>0</v>
      </c>
      <c r="S23" s="37">
        <f t="shared" si="4"/>
        <v>0</v>
      </c>
      <c r="T23" s="37"/>
      <c r="U23" s="37">
        <f>43/569</f>
        <v>7.5571177504393669E-2</v>
      </c>
      <c r="V23" s="37"/>
      <c r="W23" s="27">
        <f t="shared" si="16"/>
        <v>1.0326678765880219</v>
      </c>
      <c r="X23" s="27">
        <f t="shared" si="17"/>
        <v>1.6464473261172436</v>
      </c>
      <c r="Y23" s="27">
        <f t="shared" si="18"/>
        <v>10.586046511627908</v>
      </c>
      <c r="Z23" s="27">
        <f t="shared" si="13"/>
        <v>0</v>
      </c>
      <c r="AA23" s="27">
        <f t="shared" si="14"/>
        <v>0</v>
      </c>
      <c r="AB23" s="27">
        <f t="shared" si="6"/>
        <v>10.586046511627908</v>
      </c>
      <c r="AC23" s="43">
        <f t="shared" si="8"/>
        <v>5</v>
      </c>
      <c r="AD23" s="27" t="str">
        <f t="shared" si="9"/>
        <v>5</v>
      </c>
      <c r="AE23" s="27">
        <f t="shared" ref="AE23:AI26" si="20">IF(C23&gt;0,((I23*((3*43)+C23))/(4*C23*43))*(1-(C23-I23)/(569-43)),0)</f>
        <v>1.0558058973315011E-2</v>
      </c>
      <c r="AF23" s="27">
        <f t="shared" si="20"/>
        <v>0.15988407748324915</v>
      </c>
      <c r="AG23" s="27">
        <f t="shared" si="20"/>
        <v>0.62207091696878591</v>
      </c>
      <c r="AH23" s="27">
        <f t="shared" si="20"/>
        <v>0</v>
      </c>
      <c r="AI23" s="27">
        <f t="shared" si="20"/>
        <v>0</v>
      </c>
    </row>
    <row r="24" spans="1:71" x14ac:dyDescent="0.3">
      <c r="A24" s="32" t="s">
        <v>58</v>
      </c>
      <c r="B24" t="s">
        <v>28</v>
      </c>
      <c r="C24" s="25">
        <v>11</v>
      </c>
      <c r="D24" s="25">
        <v>1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9.0909090909090912E-2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16"/>
        <v>1.2029598308668077</v>
      </c>
      <c r="X24" s="3">
        <f t="shared" si="17"/>
        <v>0</v>
      </c>
      <c r="Y24" s="3">
        <f t="shared" si="18"/>
        <v>0</v>
      </c>
      <c r="Z24" s="3">
        <f t="shared" si="13"/>
        <v>0</v>
      </c>
      <c r="AA24" s="3">
        <f t="shared" si="14"/>
        <v>0</v>
      </c>
      <c r="AB24" s="3">
        <f t="shared" si="6"/>
        <v>1.2029598308668077</v>
      </c>
      <c r="AC24" s="44">
        <f t="shared" si="8"/>
        <v>11</v>
      </c>
      <c r="AD24" s="3" t="str">
        <f t="shared" si="9"/>
        <v>3</v>
      </c>
      <c r="AE24" s="3">
        <f t="shared" si="20"/>
        <v>7.2589007950224688E-2</v>
      </c>
      <c r="AF24" s="3">
        <f t="shared" si="20"/>
        <v>0</v>
      </c>
      <c r="AG24" s="3">
        <f t="shared" si="20"/>
        <v>0</v>
      </c>
      <c r="AH24" s="3">
        <f t="shared" si="20"/>
        <v>0</v>
      </c>
      <c r="AI24" s="3">
        <f t="shared" si="20"/>
        <v>0</v>
      </c>
    </row>
    <row r="25" spans="1:71" x14ac:dyDescent="0.3">
      <c r="A25" s="32" t="s">
        <v>59</v>
      </c>
      <c r="B25" t="s">
        <v>29</v>
      </c>
      <c r="C25" s="25">
        <v>567</v>
      </c>
      <c r="D25" s="25">
        <v>462</v>
      </c>
      <c r="E25" s="25">
        <v>59</v>
      </c>
      <c r="F25" s="25">
        <v>0</v>
      </c>
      <c r="G25" s="25">
        <v>0</v>
      </c>
      <c r="I25" s="25">
        <v>43</v>
      </c>
      <c r="J25" s="25">
        <v>43</v>
      </c>
      <c r="K25" s="25">
        <v>7</v>
      </c>
      <c r="L25" s="25">
        <v>0</v>
      </c>
      <c r="M25" s="25">
        <v>0</v>
      </c>
      <c r="O25" s="2">
        <f t="shared" si="0"/>
        <v>7.5837742504409167E-2</v>
      </c>
      <c r="P25" s="2">
        <f t="shared" si="1"/>
        <v>9.3073593073593072E-2</v>
      </c>
      <c r="Q25" s="2">
        <f t="shared" si="2"/>
        <v>0.11864406779661017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16"/>
        <v>1.0035273368606701</v>
      </c>
      <c r="X25" s="3">
        <f t="shared" si="17"/>
        <v>1.2316017316017316</v>
      </c>
      <c r="Y25" s="3">
        <f t="shared" si="18"/>
        <v>1.5699645250295626</v>
      </c>
      <c r="Z25" s="3">
        <f t="shared" si="13"/>
        <v>0</v>
      </c>
      <c r="AA25" s="3">
        <f t="shared" si="14"/>
        <v>0</v>
      </c>
      <c r="AB25" s="3">
        <f t="shared" si="6"/>
        <v>1.5699645250295626</v>
      </c>
      <c r="AC25" s="44">
        <f t="shared" si="8"/>
        <v>59</v>
      </c>
      <c r="AD25" s="3" t="str">
        <f t="shared" si="9"/>
        <v>5</v>
      </c>
      <c r="AE25" s="3">
        <f t="shared" si="20"/>
        <v>1.1668376687388193E-3</v>
      </c>
      <c r="AF25" s="3">
        <f t="shared" si="20"/>
        <v>6.5055429361513026E-2</v>
      </c>
      <c r="AG25" s="3">
        <f t="shared" si="20"/>
        <v>0.11686057752112837</v>
      </c>
      <c r="AH25" s="3">
        <f t="shared" si="20"/>
        <v>0</v>
      </c>
      <c r="AI25" s="3">
        <f t="shared" si="20"/>
        <v>0</v>
      </c>
    </row>
    <row r="26" spans="1:71" s="1" customFormat="1" x14ac:dyDescent="0.3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16"/>
        <v>0</v>
      </c>
      <c r="X26" s="10">
        <f t="shared" si="17"/>
        <v>0</v>
      </c>
      <c r="Y26" s="10">
        <f t="shared" si="18"/>
        <v>0</v>
      </c>
      <c r="Z26" s="10">
        <f t="shared" si="13"/>
        <v>0</v>
      </c>
      <c r="AA26" s="10">
        <f t="shared" si="14"/>
        <v>0</v>
      </c>
      <c r="AB26" s="10">
        <f t="shared" si="6"/>
        <v>0</v>
      </c>
      <c r="AC26" s="45">
        <f t="shared" si="8"/>
        <v>14</v>
      </c>
      <c r="AD26" s="10" t="str">
        <f t="shared" si="9"/>
        <v>3</v>
      </c>
      <c r="AE26" s="10">
        <f t="shared" si="20"/>
        <v>0</v>
      </c>
      <c r="AF26" s="10">
        <f t="shared" si="20"/>
        <v>0</v>
      </c>
      <c r="AG26" s="10">
        <f t="shared" si="20"/>
        <v>0</v>
      </c>
      <c r="AH26" s="10">
        <f t="shared" si="20"/>
        <v>0</v>
      </c>
      <c r="AI26" s="10">
        <f t="shared" si="20"/>
        <v>0</v>
      </c>
    </row>
    <row r="27" spans="1:71" x14ac:dyDescent="0.3">
      <c r="A27" s="32" t="s">
        <v>33</v>
      </c>
      <c r="B27" s="35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H27" s="35"/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N27" s="35"/>
      <c r="O27" s="37">
        <f t="shared" si="0"/>
        <v>8.9947089947089942E-2</v>
      </c>
      <c r="P27" s="37">
        <f t="shared" si="1"/>
        <v>8.0338266384778007E-2</v>
      </c>
      <c r="Q27" s="37">
        <f t="shared" si="2"/>
        <v>1.3698630136986301E-2</v>
      </c>
      <c r="R27" s="37">
        <f t="shared" si="3"/>
        <v>0</v>
      </c>
      <c r="S27" s="37">
        <f t="shared" si="4"/>
        <v>0</v>
      </c>
      <c r="T27" s="37"/>
      <c r="U27" s="37">
        <f>51/569</f>
        <v>8.9630931458699478E-2</v>
      </c>
      <c r="V27" s="37"/>
      <c r="W27" s="27">
        <f t="shared" si="16"/>
        <v>1.0035273368606701</v>
      </c>
      <c r="X27" s="27">
        <f t="shared" si="17"/>
        <v>0.89632301123409186</v>
      </c>
      <c r="Y27" s="27">
        <f t="shared" si="18"/>
        <v>0.1528337362342197</v>
      </c>
      <c r="Z27" s="27">
        <f t="shared" si="13"/>
        <v>0</v>
      </c>
      <c r="AA27" s="27">
        <f t="shared" si="14"/>
        <v>0</v>
      </c>
      <c r="AB27" s="27">
        <f t="shared" si="6"/>
        <v>1.0035273368606701</v>
      </c>
      <c r="AC27" s="43">
        <f t="shared" si="8"/>
        <v>567</v>
      </c>
      <c r="AD27" s="27" t="str">
        <f t="shared" si="9"/>
        <v>3</v>
      </c>
      <c r="AE27" s="27">
        <f t="shared" ref="AE27:AI30" si="21">IF(C27&gt;0,((I27*((3*51)+C27))/(4*C27*51))*(1-(C27-I27)/(569-51)),0)</f>
        <v>1.2257155114297946E-3</v>
      </c>
      <c r="AF27" s="27">
        <f t="shared" si="21"/>
        <v>3.9501624316945795E-2</v>
      </c>
      <c r="AG27" s="27">
        <f t="shared" si="21"/>
        <v>1.3066537240590424E-2</v>
      </c>
      <c r="AH27" s="27">
        <f t="shared" si="21"/>
        <v>0</v>
      </c>
      <c r="AI27" s="27">
        <f t="shared" si="21"/>
        <v>0</v>
      </c>
      <c r="AR27" s="17"/>
      <c r="AS27" s="24"/>
      <c r="AT27" s="24"/>
      <c r="AU27" s="7"/>
      <c r="AV27" s="7"/>
      <c r="AW27" s="18"/>
      <c r="AX27" s="4"/>
      <c r="AZ27" s="5"/>
      <c r="BA27" s="5"/>
      <c r="BC27" s="5"/>
      <c r="BF27" s="4"/>
      <c r="BG27" s="5"/>
      <c r="BJ27" s="4"/>
      <c r="BK27" s="5"/>
      <c r="BN27" s="4"/>
      <c r="BO27" s="5"/>
      <c r="BR27" s="4"/>
      <c r="BS27" s="5"/>
    </row>
    <row r="28" spans="1:71" x14ac:dyDescent="0.3">
      <c r="A28" s="32" t="s">
        <v>33</v>
      </c>
      <c r="B28" t="s">
        <v>28</v>
      </c>
      <c r="C28" s="25">
        <v>17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5.8823529411764705E-2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16"/>
        <v>0.65628604382929634</v>
      </c>
      <c r="X28" s="3">
        <f t="shared" si="17"/>
        <v>0</v>
      </c>
      <c r="Y28" s="3">
        <f t="shared" si="18"/>
        <v>0</v>
      </c>
      <c r="Z28" s="3">
        <f t="shared" si="13"/>
        <v>0</v>
      </c>
      <c r="AA28" s="3">
        <f t="shared" si="14"/>
        <v>0</v>
      </c>
      <c r="AB28" s="3">
        <f t="shared" si="6"/>
        <v>0.65628604382929634</v>
      </c>
      <c r="AC28" s="44">
        <f t="shared" si="8"/>
        <v>17</v>
      </c>
      <c r="AD28" s="3" t="str">
        <f t="shared" si="9"/>
        <v>3</v>
      </c>
      <c r="AE28" s="3">
        <f t="shared" si="21"/>
        <v>4.7505488681959265E-2</v>
      </c>
      <c r="AF28" s="3">
        <f t="shared" si="21"/>
        <v>0</v>
      </c>
      <c r="AG28" s="3">
        <f t="shared" si="21"/>
        <v>0</v>
      </c>
      <c r="AH28" s="3">
        <f t="shared" si="21"/>
        <v>0</v>
      </c>
      <c r="AI28" s="3">
        <f t="shared" si="21"/>
        <v>0</v>
      </c>
      <c r="AR28" s="21"/>
      <c r="AS28" s="26"/>
      <c r="AT28" s="26"/>
      <c r="AU28" s="4"/>
      <c r="AV28" s="4"/>
      <c r="AW28" s="22"/>
      <c r="AX28" s="4"/>
      <c r="AZ28" s="5"/>
      <c r="BA28" s="5"/>
      <c r="BC28" s="5"/>
      <c r="BF28" s="4"/>
      <c r="BG28" s="5"/>
      <c r="BJ28" s="4"/>
      <c r="BK28" s="5"/>
      <c r="BN28" s="4"/>
      <c r="BO28" s="5"/>
      <c r="BR28" s="4"/>
      <c r="BS28" s="5"/>
    </row>
    <row r="29" spans="1:71" x14ac:dyDescent="0.3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16"/>
        <v>1.0106571936056836</v>
      </c>
      <c r="X29" s="3">
        <f t="shared" si="17"/>
        <v>0.68738964780224876</v>
      </c>
      <c r="Y29" s="3">
        <f t="shared" si="18"/>
        <v>0</v>
      </c>
      <c r="Z29" s="3">
        <f t="shared" si="13"/>
        <v>0</v>
      </c>
      <c r="AA29" s="3">
        <f t="shared" si="14"/>
        <v>0</v>
      </c>
      <c r="AB29" s="3">
        <f t="shared" si="6"/>
        <v>1.0106571936056836</v>
      </c>
      <c r="AC29" s="44">
        <f t="shared" si="8"/>
        <v>563</v>
      </c>
      <c r="AD29" s="3" t="str">
        <f t="shared" si="9"/>
        <v>3</v>
      </c>
      <c r="AE29" s="3">
        <f t="shared" si="21"/>
        <v>3.6826981764814725E-3</v>
      </c>
      <c r="AF29" s="3">
        <f t="shared" si="21"/>
        <v>6.7912908726959459E-2</v>
      </c>
      <c r="AG29" s="3">
        <f t="shared" si="21"/>
        <v>0</v>
      </c>
      <c r="AH29" s="3">
        <f t="shared" si="21"/>
        <v>0</v>
      </c>
      <c r="AI29" s="3">
        <f t="shared" si="21"/>
        <v>0</v>
      </c>
      <c r="AR29" s="21"/>
      <c r="AS29" s="26"/>
      <c r="AT29" s="26"/>
      <c r="AU29" s="4"/>
      <c r="AV29" s="4"/>
      <c r="AW29" s="22"/>
      <c r="AX29" s="4"/>
      <c r="AZ29" s="5"/>
      <c r="BA29" s="5"/>
      <c r="BC29" s="5"/>
      <c r="BF29" s="4"/>
      <c r="BG29" s="5"/>
      <c r="BJ29" s="4"/>
      <c r="BK29" s="5"/>
      <c r="BN29" s="4"/>
      <c r="BO29" s="5"/>
      <c r="BR29" s="4"/>
      <c r="BS29" s="5"/>
    </row>
    <row r="30" spans="1:71" s="1" customFormat="1" x14ac:dyDescent="0.3">
      <c r="A30" s="32" t="s">
        <v>33</v>
      </c>
      <c r="B30" s="1" t="s">
        <v>30</v>
      </c>
      <c r="C30" s="1">
        <v>24</v>
      </c>
      <c r="D30" s="1">
        <v>1</v>
      </c>
      <c r="E30" s="1">
        <v>0</v>
      </c>
      <c r="F30" s="1">
        <v>0</v>
      </c>
      <c r="G30" s="1">
        <v>0</v>
      </c>
      <c r="I30" s="1">
        <v>2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8.3333333333333329E-2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16"/>
        <v>0.92973856209150318</v>
      </c>
      <c r="X30" s="10">
        <f t="shared" si="17"/>
        <v>0</v>
      </c>
      <c r="Y30" s="10">
        <f t="shared" si="18"/>
        <v>0</v>
      </c>
      <c r="Z30" s="10">
        <f t="shared" si="13"/>
        <v>0</v>
      </c>
      <c r="AA30" s="10">
        <f t="shared" si="14"/>
        <v>0</v>
      </c>
      <c r="AB30" s="10">
        <f t="shared" si="6"/>
        <v>0.92973856209150318</v>
      </c>
      <c r="AC30" s="45">
        <f t="shared" si="8"/>
        <v>24</v>
      </c>
      <c r="AD30" s="10" t="str">
        <f t="shared" si="9"/>
        <v>3</v>
      </c>
      <c r="AE30" s="10">
        <f t="shared" si="21"/>
        <v>6.923309864486335E-2</v>
      </c>
      <c r="AF30" s="10">
        <f t="shared" si="21"/>
        <v>0</v>
      </c>
      <c r="AG30" s="10">
        <f t="shared" si="21"/>
        <v>0</v>
      </c>
      <c r="AH30" s="10">
        <f t="shared" si="21"/>
        <v>0</v>
      </c>
      <c r="AI30" s="10">
        <f t="shared" si="21"/>
        <v>0</v>
      </c>
      <c r="AR30" s="19"/>
      <c r="AS30" s="16"/>
      <c r="AT30" s="16"/>
      <c r="AU30" s="13"/>
      <c r="AV30" s="13"/>
      <c r="AW30" s="20"/>
      <c r="AX30" s="13"/>
      <c r="AZ30" s="14"/>
      <c r="BA30" s="14"/>
      <c r="BC30" s="14"/>
      <c r="BF30" s="4"/>
      <c r="BG30" s="14"/>
      <c r="BJ30" s="4"/>
      <c r="BK30" s="5"/>
      <c r="BN30" s="13"/>
      <c r="BO30" s="14"/>
      <c r="BR30" s="13"/>
      <c r="BS30" s="14"/>
    </row>
    <row r="31" spans="1:71" x14ac:dyDescent="0.3">
      <c r="A31" s="32" t="s">
        <v>34</v>
      </c>
      <c r="B31" s="35" t="s">
        <v>27</v>
      </c>
      <c r="C31" s="25">
        <v>556</v>
      </c>
      <c r="D31" s="25">
        <v>312</v>
      </c>
      <c r="E31" s="25">
        <v>57</v>
      </c>
      <c r="F31" s="25">
        <v>4</v>
      </c>
      <c r="G31" s="25">
        <v>0</v>
      </c>
      <c r="H31" s="35"/>
      <c r="I31" s="25">
        <v>64</v>
      </c>
      <c r="J31" s="25">
        <v>33</v>
      </c>
      <c r="K31" s="25">
        <v>11</v>
      </c>
      <c r="L31" s="25">
        <v>1</v>
      </c>
      <c r="M31" s="25">
        <v>0</v>
      </c>
      <c r="N31" s="35"/>
      <c r="O31" s="37">
        <f t="shared" si="0"/>
        <v>0.11510791366906475</v>
      </c>
      <c r="P31" s="37">
        <f t="shared" si="1"/>
        <v>0.10576923076923077</v>
      </c>
      <c r="Q31" s="37">
        <f t="shared" si="2"/>
        <v>0.19298245614035087</v>
      </c>
      <c r="R31" s="37">
        <f t="shared" si="3"/>
        <v>0.25</v>
      </c>
      <c r="S31" s="37">
        <f t="shared" si="4"/>
        <v>0</v>
      </c>
      <c r="T31" s="37"/>
      <c r="U31" s="37">
        <f>69/569</f>
        <v>0.12126537785588752</v>
      </c>
      <c r="V31" s="37"/>
      <c r="W31" s="27">
        <f t="shared" si="16"/>
        <v>0.94922323011156295</v>
      </c>
      <c r="X31" s="27">
        <f t="shared" si="17"/>
        <v>0.87221293199554073</v>
      </c>
      <c r="Y31" s="27">
        <f t="shared" si="18"/>
        <v>1.5914060513602848</v>
      </c>
      <c r="Z31" s="27">
        <f t="shared" si="13"/>
        <v>2.0615942028985508</v>
      </c>
      <c r="AA31" s="27">
        <f t="shared" si="14"/>
        <v>0</v>
      </c>
      <c r="AB31" s="27">
        <f t="shared" si="6"/>
        <v>2.0615942028985508</v>
      </c>
      <c r="AC31" s="43">
        <f t="shared" si="8"/>
        <v>4</v>
      </c>
      <c r="AD31" s="27" t="str">
        <f t="shared" si="9"/>
        <v>6</v>
      </c>
      <c r="AE31" s="27">
        <f t="shared" ref="AE31:AI34" si="22">IF(C31&gt;0,((I31*((3*69)+C31))/(4*C31*69))*(1-(C31-I31)/(569-69)),0)</f>
        <v>5.0914398915650133E-3</v>
      </c>
      <c r="AF31" s="27">
        <f t="shared" si="22"/>
        <v>8.7910326086956508E-2</v>
      </c>
      <c r="AG31" s="27">
        <f t="shared" si="22"/>
        <v>0.16760945842868039</v>
      </c>
      <c r="AH31" s="27">
        <f t="shared" si="22"/>
        <v>0.18997644927536231</v>
      </c>
      <c r="AI31" s="27">
        <f t="shared" si="22"/>
        <v>0</v>
      </c>
      <c r="AZ31" s="5"/>
      <c r="BA31" s="5"/>
      <c r="BC31" s="5"/>
      <c r="BF31" s="4"/>
      <c r="BG31" s="5"/>
      <c r="BJ31" s="4"/>
      <c r="BK31" s="5"/>
      <c r="BN31" s="4"/>
      <c r="BO31" s="5"/>
      <c r="BR31" s="4"/>
      <c r="BS31" s="5"/>
    </row>
    <row r="32" spans="1:71" x14ac:dyDescent="0.3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16"/>
        <v>0.73089274245343616</v>
      </c>
      <c r="X32" s="3">
        <f t="shared" si="17"/>
        <v>0.48508098891730606</v>
      </c>
      <c r="Y32" s="3">
        <f t="shared" si="18"/>
        <v>2.7487922705314007</v>
      </c>
      <c r="Z32" s="3">
        <f t="shared" si="13"/>
        <v>0</v>
      </c>
      <c r="AA32" s="3">
        <f t="shared" si="14"/>
        <v>0</v>
      </c>
      <c r="AB32" s="3">
        <f t="shared" si="6"/>
        <v>2.7487922705314007</v>
      </c>
      <c r="AC32" s="44">
        <f t="shared" si="8"/>
        <v>3</v>
      </c>
      <c r="AD32" s="3" t="str">
        <f t="shared" si="9"/>
        <v>5</v>
      </c>
      <c r="AE32" s="3">
        <f t="shared" si="22"/>
        <v>1.2589595375722556E-2</v>
      </c>
      <c r="AF32" s="3">
        <f t="shared" si="22"/>
        <v>4.9708439897698214E-2</v>
      </c>
      <c r="AG32" s="3">
        <f t="shared" si="22"/>
        <v>0.25260869565217392</v>
      </c>
      <c r="AH32" s="3">
        <f t="shared" si="22"/>
        <v>0</v>
      </c>
      <c r="AI32" s="3">
        <f t="shared" si="22"/>
        <v>0</v>
      </c>
      <c r="AZ32" s="5"/>
      <c r="BA32" s="5"/>
      <c r="BC32" s="5"/>
      <c r="BF32" s="4"/>
      <c r="BG32" s="5"/>
      <c r="BJ32" s="4"/>
      <c r="BK32" s="5"/>
      <c r="BN32" s="4"/>
      <c r="BO32" s="5"/>
      <c r="BR32" s="4"/>
      <c r="BS32" s="5"/>
    </row>
    <row r="33" spans="1:71" x14ac:dyDescent="0.3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16"/>
        <v>0.99371806902304249</v>
      </c>
      <c r="X33" s="3">
        <f t="shared" si="17"/>
        <v>1.0258650579016713</v>
      </c>
      <c r="Y33" s="3">
        <f t="shared" si="18"/>
        <v>2.0615942028985508</v>
      </c>
      <c r="Z33" s="3">
        <f t="shared" si="13"/>
        <v>0</v>
      </c>
      <c r="AA33" s="3">
        <f t="shared" si="14"/>
        <v>0</v>
      </c>
      <c r="AB33" s="3">
        <f t="shared" si="6"/>
        <v>2.0615942028985508</v>
      </c>
      <c r="AC33" s="44">
        <f t="shared" si="8"/>
        <v>16</v>
      </c>
      <c r="AD33" s="3" t="str">
        <f t="shared" si="9"/>
        <v>5</v>
      </c>
      <c r="AE33" s="3">
        <f t="shared" si="22"/>
        <v>7.3288890626629199E-3</v>
      </c>
      <c r="AF33" s="3">
        <f t="shared" si="22"/>
        <v>0.11887774772900631</v>
      </c>
      <c r="AG33" s="3">
        <f t="shared" si="22"/>
        <v>0.19714492753623189</v>
      </c>
      <c r="AH33" s="3">
        <f t="shared" si="22"/>
        <v>0</v>
      </c>
      <c r="AI33" s="3">
        <f t="shared" si="22"/>
        <v>0</v>
      </c>
      <c r="AR33" s="17"/>
      <c r="AS33" s="7"/>
      <c r="AT33" s="7"/>
      <c r="AU33" s="7"/>
      <c r="AV33" s="7"/>
      <c r="AW33" s="18"/>
      <c r="AX33" s="4"/>
      <c r="AZ33" s="5"/>
      <c r="BA33" s="5"/>
      <c r="BC33" s="5"/>
      <c r="BF33" s="4"/>
      <c r="BG33" s="5"/>
      <c r="BJ33" s="4"/>
      <c r="BK33" s="5"/>
      <c r="BN33" s="4"/>
      <c r="BO33" s="5"/>
      <c r="BR33" s="4"/>
      <c r="BS33" s="5"/>
    </row>
    <row r="34" spans="1:71" s="1" customFormat="1" x14ac:dyDescent="0.3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16"/>
        <v>0.43401983218916856</v>
      </c>
      <c r="X34" s="10">
        <f t="shared" si="17"/>
        <v>0</v>
      </c>
      <c r="Y34" s="10">
        <f t="shared" si="18"/>
        <v>0</v>
      </c>
      <c r="Z34" s="10">
        <f t="shared" si="13"/>
        <v>0</v>
      </c>
      <c r="AA34" s="10">
        <f t="shared" si="14"/>
        <v>0</v>
      </c>
      <c r="AB34" s="10">
        <f t="shared" si="6"/>
        <v>0.43401983218916856</v>
      </c>
      <c r="AC34" s="45">
        <f t="shared" si="8"/>
        <v>19</v>
      </c>
      <c r="AD34" s="10" t="str">
        <f t="shared" si="9"/>
        <v>3</v>
      </c>
      <c r="AE34" s="10">
        <f t="shared" si="22"/>
        <v>4.1545385202135771E-2</v>
      </c>
      <c r="AF34" s="10">
        <f t="shared" si="22"/>
        <v>0</v>
      </c>
      <c r="AG34" s="10">
        <f t="shared" si="22"/>
        <v>0</v>
      </c>
      <c r="AH34" s="10">
        <f t="shared" si="22"/>
        <v>0</v>
      </c>
      <c r="AI34" s="10">
        <f t="shared" si="22"/>
        <v>0</v>
      </c>
      <c r="AR34" s="21"/>
      <c r="AS34" s="4"/>
      <c r="AT34" s="4"/>
      <c r="AU34" s="4"/>
      <c r="AV34" s="4"/>
      <c r="AW34" s="22"/>
      <c r="AX34" s="13"/>
      <c r="AZ34" s="14"/>
      <c r="BA34" s="14"/>
      <c r="BC34" s="14"/>
      <c r="BF34" s="4"/>
      <c r="BG34" s="14"/>
      <c r="BJ34" s="4"/>
      <c r="BK34" s="5"/>
      <c r="BN34" s="13"/>
      <c r="BO34" s="14"/>
      <c r="BR34" s="13"/>
      <c r="BS34" s="14"/>
    </row>
    <row r="35" spans="1:71" x14ac:dyDescent="0.3">
      <c r="A35" s="32" t="s">
        <v>56</v>
      </c>
      <c r="B35" s="35" t="s">
        <v>27</v>
      </c>
      <c r="C35" s="35">
        <v>237</v>
      </c>
      <c r="D35" s="35">
        <v>27</v>
      </c>
      <c r="E35" s="35">
        <v>0</v>
      </c>
      <c r="F35" s="35">
        <v>0</v>
      </c>
      <c r="G35" s="35">
        <v>0</v>
      </c>
      <c r="H35" s="35"/>
      <c r="I35" s="35">
        <v>17</v>
      </c>
      <c r="J35" s="35">
        <v>3</v>
      </c>
      <c r="K35" s="35">
        <v>0</v>
      </c>
      <c r="L35" s="35">
        <v>0</v>
      </c>
      <c r="M35" s="35">
        <v>0</v>
      </c>
      <c r="N35" s="35"/>
      <c r="O35" s="38">
        <f t="shared" ref="O35:O54" si="23">IF(I35&gt;0, I35/C35, 0)</f>
        <v>7.1729957805907171E-2</v>
      </c>
      <c r="P35" s="38">
        <f t="shared" ref="P35:P54" si="24">IF(J35&gt;0, J35/D35, 0)</f>
        <v>0.1111111111111111</v>
      </c>
      <c r="Q35" s="38">
        <f t="shared" ref="Q35:Q54" si="25">IF(K35&gt;0, K35/E35, 0)</f>
        <v>0</v>
      </c>
      <c r="R35" s="38">
        <f t="shared" ref="R35:R54" si="26">IF(L35&gt;0, L35/F35, 0)</f>
        <v>0</v>
      </c>
      <c r="S35" s="38">
        <f t="shared" ref="S35:S54" si="27">IF(M35&gt;0, M35/G35, 0)</f>
        <v>0</v>
      </c>
      <c r="T35" s="38"/>
      <c r="U35" s="38">
        <f>53/569</f>
        <v>9.3145869947275917E-2</v>
      </c>
      <c r="V35" s="38"/>
      <c r="W35" s="39">
        <f t="shared" si="16"/>
        <v>0.77008199984077708</v>
      </c>
      <c r="X35" s="39">
        <f t="shared" si="17"/>
        <v>1.1928721174004193</v>
      </c>
      <c r="Y35" s="39">
        <f t="shared" si="18"/>
        <v>0</v>
      </c>
      <c r="Z35" s="39">
        <f t="shared" si="13"/>
        <v>0</v>
      </c>
      <c r="AA35" s="39">
        <f t="shared" si="14"/>
        <v>0</v>
      </c>
      <c r="AB35" s="39">
        <f t="shared" ref="AB35:AB54" si="28">MAX(W35:AA35)</f>
        <v>1.1928721174004193</v>
      </c>
      <c r="AC35" s="40">
        <f t="shared" si="8"/>
        <v>27</v>
      </c>
      <c r="AD35" s="39" t="str">
        <f t="shared" si="9"/>
        <v>4</v>
      </c>
      <c r="AE35" s="39">
        <f t="shared" ref="AE35:AI38" si="29">IF(C35&gt;0,((I35*((3*53)+C35))/(4*C35*53))*(1-(C35-I35)/(569-53)),0)</f>
        <v>7.6860270716114662E-2</v>
      </c>
      <c r="AF35" s="39">
        <f t="shared" si="29"/>
        <v>9.2950124323533723E-2</v>
      </c>
      <c r="AG35" s="39">
        <f t="shared" si="29"/>
        <v>0</v>
      </c>
      <c r="AH35" s="39">
        <f t="shared" si="29"/>
        <v>0</v>
      </c>
      <c r="AI35" s="39">
        <f t="shared" si="29"/>
        <v>0</v>
      </c>
      <c r="AR35" s="21"/>
      <c r="AS35" s="4"/>
      <c r="AT35" s="4"/>
      <c r="AU35" s="4"/>
      <c r="AV35" s="4"/>
      <c r="AW35" s="22"/>
      <c r="AX35" s="4"/>
    </row>
    <row r="36" spans="1:71" x14ac:dyDescent="0.3">
      <c r="A36" s="32" t="s">
        <v>56</v>
      </c>
      <c r="B36" t="s">
        <v>28</v>
      </c>
      <c r="C36">
        <v>351</v>
      </c>
      <c r="D36">
        <v>29</v>
      </c>
      <c r="E36">
        <v>0</v>
      </c>
      <c r="F36">
        <v>0</v>
      </c>
      <c r="G36">
        <v>0</v>
      </c>
      <c r="I36">
        <v>22</v>
      </c>
      <c r="J36">
        <v>4</v>
      </c>
      <c r="K36">
        <v>0</v>
      </c>
      <c r="L36">
        <v>0</v>
      </c>
      <c r="M36">
        <v>0</v>
      </c>
      <c r="O36" s="28">
        <f t="shared" si="23"/>
        <v>6.2678062678062682E-2</v>
      </c>
      <c r="P36" s="28">
        <f t="shared" si="24"/>
        <v>0.13793103448275862</v>
      </c>
      <c r="Q36" s="28">
        <f t="shared" si="25"/>
        <v>0</v>
      </c>
      <c r="R36" s="28">
        <f t="shared" si="26"/>
        <v>0</v>
      </c>
      <c r="S36" s="28">
        <f t="shared" si="27"/>
        <v>0</v>
      </c>
      <c r="T36" s="28"/>
      <c r="U36" s="28">
        <f>53/569</f>
        <v>9.3145869947275917E-2</v>
      </c>
      <c r="V36" s="28"/>
      <c r="W36" s="29">
        <f t="shared" si="16"/>
        <v>0.67290222007203149</v>
      </c>
      <c r="X36" s="29">
        <f t="shared" si="17"/>
        <v>1.4808067664281068</v>
      </c>
      <c r="Y36" s="29">
        <f t="shared" si="18"/>
        <v>0</v>
      </c>
      <c r="Z36" s="29">
        <f t="shared" si="13"/>
        <v>0</v>
      </c>
      <c r="AA36" s="29">
        <f t="shared" si="14"/>
        <v>0</v>
      </c>
      <c r="AB36" s="29">
        <f t="shared" si="28"/>
        <v>1.4808067664281068</v>
      </c>
      <c r="AC36" s="41">
        <f t="shared" si="8"/>
        <v>29</v>
      </c>
      <c r="AD36" s="29" t="str">
        <f t="shared" si="9"/>
        <v>4</v>
      </c>
      <c r="AE36" s="29">
        <f t="shared" si="29"/>
        <v>5.4643912147203065E-2</v>
      </c>
      <c r="AF36" s="29">
        <f t="shared" si="29"/>
        <v>0.11639002789083738</v>
      </c>
      <c r="AG36" s="29">
        <f t="shared" si="29"/>
        <v>0</v>
      </c>
      <c r="AH36" s="29">
        <f t="shared" si="29"/>
        <v>0</v>
      </c>
      <c r="AI36" s="29">
        <f t="shared" si="29"/>
        <v>0</v>
      </c>
      <c r="AR36" s="21"/>
      <c r="AS36" s="4"/>
      <c r="AT36" s="4"/>
      <c r="AU36" s="4"/>
      <c r="AV36" s="4"/>
      <c r="AW36" s="22"/>
      <c r="AX36" s="4"/>
    </row>
    <row r="37" spans="1:71" x14ac:dyDescent="0.3">
      <c r="A37" s="32" t="s">
        <v>56</v>
      </c>
      <c r="B37" t="s">
        <v>29</v>
      </c>
      <c r="C37">
        <v>561</v>
      </c>
      <c r="D37">
        <v>512</v>
      </c>
      <c r="E37">
        <v>194</v>
      </c>
      <c r="F37">
        <v>8</v>
      </c>
      <c r="G37">
        <v>0</v>
      </c>
      <c r="I37">
        <v>53</v>
      </c>
      <c r="J37">
        <v>46</v>
      </c>
      <c r="K37">
        <v>15</v>
      </c>
      <c r="L37">
        <v>3</v>
      </c>
      <c r="M37">
        <v>0</v>
      </c>
      <c r="O37" s="28">
        <f t="shared" si="23"/>
        <v>9.4474153297682703E-2</v>
      </c>
      <c r="P37" s="28">
        <f t="shared" si="24"/>
        <v>8.984375E-2</v>
      </c>
      <c r="Q37" s="28">
        <f t="shared" si="25"/>
        <v>7.7319587628865982E-2</v>
      </c>
      <c r="R37" s="28">
        <f t="shared" si="26"/>
        <v>0.375</v>
      </c>
      <c r="S37" s="28">
        <f t="shared" si="27"/>
        <v>0</v>
      </c>
      <c r="T37" s="28"/>
      <c r="U37" s="28">
        <f>53/569</f>
        <v>9.3145869947275917E-2</v>
      </c>
      <c r="V37" s="28"/>
      <c r="W37" s="29">
        <f t="shared" si="16"/>
        <v>1.0142602495543671</v>
      </c>
      <c r="X37" s="29">
        <f t="shared" si="17"/>
        <v>0.96454893867924529</v>
      </c>
      <c r="Y37" s="29">
        <f t="shared" si="18"/>
        <v>0.83009142190235374</v>
      </c>
      <c r="Z37" s="29">
        <f t="shared" si="13"/>
        <v>4.0259433962264151</v>
      </c>
      <c r="AA37" s="29">
        <f t="shared" si="14"/>
        <v>0</v>
      </c>
      <c r="AB37" s="29">
        <f t="shared" si="28"/>
        <v>4.0259433962264151</v>
      </c>
      <c r="AC37" s="41">
        <f t="shared" si="8"/>
        <v>8</v>
      </c>
      <c r="AD37" s="29" t="str">
        <f t="shared" si="9"/>
        <v>6</v>
      </c>
      <c r="AE37" s="29">
        <f t="shared" si="29"/>
        <v>4.9745056585001951E-3</v>
      </c>
      <c r="AF37" s="29">
        <f t="shared" si="29"/>
        <v>2.7554645792196856E-2</v>
      </c>
      <c r="AG37" s="29">
        <f t="shared" si="29"/>
        <v>8.4083072472553075E-2</v>
      </c>
      <c r="AH37" s="29">
        <f t="shared" si="29"/>
        <v>0.2925385311540149</v>
      </c>
      <c r="AI37" s="29">
        <f t="shared" si="29"/>
        <v>0</v>
      </c>
      <c r="AR37" s="19"/>
      <c r="AS37" s="1"/>
      <c r="AT37" s="1"/>
      <c r="AU37" s="1"/>
      <c r="AV37" s="1"/>
      <c r="AW37" s="23"/>
    </row>
    <row r="38" spans="1:71" x14ac:dyDescent="0.3">
      <c r="A38" s="32" t="s">
        <v>56</v>
      </c>
      <c r="B38" s="1" t="s">
        <v>30</v>
      </c>
      <c r="C38" s="1">
        <v>3</v>
      </c>
      <c r="D38" s="1">
        <v>0</v>
      </c>
      <c r="E38" s="1">
        <v>0</v>
      </c>
      <c r="F38" s="1">
        <v>0</v>
      </c>
      <c r="G38" s="1">
        <v>0</v>
      </c>
      <c r="H38" s="1"/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23"/>
        <v>0</v>
      </c>
      <c r="P38" s="30">
        <f t="shared" si="24"/>
        <v>0</v>
      </c>
      <c r="Q38" s="30">
        <f t="shared" si="25"/>
        <v>0</v>
      </c>
      <c r="R38" s="30">
        <f t="shared" si="26"/>
        <v>0</v>
      </c>
      <c r="S38" s="30">
        <f t="shared" si="27"/>
        <v>0</v>
      </c>
      <c r="T38" s="30"/>
      <c r="U38" s="30">
        <f>53/569</f>
        <v>9.3145869947275917E-2</v>
      </c>
      <c r="V38" s="30"/>
      <c r="W38" s="31">
        <f t="shared" si="16"/>
        <v>0</v>
      </c>
      <c r="X38" s="31">
        <f t="shared" si="17"/>
        <v>0</v>
      </c>
      <c r="Y38" s="31">
        <f t="shared" si="18"/>
        <v>0</v>
      </c>
      <c r="Z38" s="31">
        <f t="shared" si="13"/>
        <v>0</v>
      </c>
      <c r="AA38" s="31">
        <f t="shared" si="14"/>
        <v>0</v>
      </c>
      <c r="AB38" s="31">
        <f t="shared" si="28"/>
        <v>0</v>
      </c>
      <c r="AC38" s="42">
        <f t="shared" si="8"/>
        <v>3</v>
      </c>
      <c r="AD38" s="31" t="str">
        <f t="shared" si="9"/>
        <v>3</v>
      </c>
      <c r="AE38" s="31">
        <f t="shared" si="29"/>
        <v>0</v>
      </c>
      <c r="AF38" s="31">
        <f t="shared" si="29"/>
        <v>0</v>
      </c>
      <c r="AG38" s="31">
        <f t="shared" si="29"/>
        <v>0</v>
      </c>
      <c r="AH38" s="31">
        <f t="shared" si="29"/>
        <v>0</v>
      </c>
      <c r="AI38" s="31">
        <f t="shared" si="29"/>
        <v>0</v>
      </c>
      <c r="AK38" t="s">
        <v>21</v>
      </c>
    </row>
    <row r="39" spans="1:71" x14ac:dyDescent="0.3">
      <c r="A39" s="32" t="s">
        <v>57</v>
      </c>
      <c r="B39" s="35" t="s">
        <v>27</v>
      </c>
      <c r="C39" s="35">
        <v>561</v>
      </c>
      <c r="D39" s="35">
        <v>319</v>
      </c>
      <c r="E39" s="35">
        <v>47</v>
      </c>
      <c r="F39" s="35">
        <v>5</v>
      </c>
      <c r="G39" s="35">
        <v>0</v>
      </c>
      <c r="H39" s="35"/>
      <c r="I39" s="35">
        <v>57</v>
      </c>
      <c r="J39" s="35">
        <v>28</v>
      </c>
      <c r="K39" s="35">
        <v>5</v>
      </c>
      <c r="L39" s="35">
        <v>2</v>
      </c>
      <c r="M39" s="35">
        <v>0</v>
      </c>
      <c r="N39" s="35"/>
      <c r="O39" s="38">
        <f t="shared" si="23"/>
        <v>0.10160427807486631</v>
      </c>
      <c r="P39" s="38">
        <f t="shared" si="24"/>
        <v>8.7774294670846395E-2</v>
      </c>
      <c r="Q39" s="38">
        <f t="shared" si="25"/>
        <v>0.10638297872340426</v>
      </c>
      <c r="R39" s="38">
        <f t="shared" si="26"/>
        <v>0.4</v>
      </c>
      <c r="S39" s="38">
        <f t="shared" si="27"/>
        <v>0</v>
      </c>
      <c r="T39" s="38"/>
      <c r="U39" s="38">
        <f>57/569</f>
        <v>0.10017574692442882</v>
      </c>
      <c r="V39" s="38"/>
      <c r="W39" s="39">
        <f t="shared" si="16"/>
        <v>1.0142602495543673</v>
      </c>
      <c r="X39" s="39">
        <f t="shared" si="17"/>
        <v>0.87620304680195793</v>
      </c>
      <c r="Y39" s="39">
        <f t="shared" si="18"/>
        <v>1.0619634191862635</v>
      </c>
      <c r="Z39" s="39">
        <f t="shared" si="13"/>
        <v>3.9929824561403513</v>
      </c>
      <c r="AA39" s="39">
        <f t="shared" si="14"/>
        <v>0</v>
      </c>
      <c r="AB39" s="39">
        <f t="shared" si="28"/>
        <v>3.9929824561403513</v>
      </c>
      <c r="AC39" s="40">
        <f t="shared" si="8"/>
        <v>5</v>
      </c>
      <c r="AD39" s="39" t="str">
        <f t="shared" si="9"/>
        <v>6</v>
      </c>
      <c r="AE39" s="39">
        <f t="shared" ref="AE39:AI42" si="30">IF(C39&gt;0,((I39*((3*57)+C39))/(4*C39*57))*(1-(C39-I39)/(569-57)),0)</f>
        <v>5.09692513368984E-3</v>
      </c>
      <c r="AF39" s="39">
        <f t="shared" si="30"/>
        <v>8.1423711365011281E-2</v>
      </c>
      <c r="AG39" s="39">
        <f t="shared" si="30"/>
        <v>9.337308114035088E-2</v>
      </c>
      <c r="AH39" s="39">
        <f t="shared" si="30"/>
        <v>0.30696271929824565</v>
      </c>
      <c r="AI39" s="39">
        <f t="shared" si="30"/>
        <v>0</v>
      </c>
      <c r="AK39" t="s">
        <v>91</v>
      </c>
      <c r="AL39" t="s">
        <v>92</v>
      </c>
      <c r="AY39" s="1"/>
      <c r="AZ39" s="1"/>
    </row>
    <row r="40" spans="1:71" x14ac:dyDescent="0.3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23"/>
        <v>9.6256684491978606E-2</v>
      </c>
      <c r="P40" s="28">
        <f t="shared" si="24"/>
        <v>6.25E-2</v>
      </c>
      <c r="Q40" s="28">
        <f t="shared" si="25"/>
        <v>0</v>
      </c>
      <c r="R40" s="28">
        <f t="shared" si="26"/>
        <v>0</v>
      </c>
      <c r="S40" s="28">
        <f t="shared" si="27"/>
        <v>0</v>
      </c>
      <c r="T40" s="28"/>
      <c r="U40" s="28">
        <f>57/569</f>
        <v>0.10017574692442882</v>
      </c>
      <c r="V40" s="28"/>
      <c r="W40" s="29">
        <f t="shared" si="16"/>
        <v>0.9608781311567689</v>
      </c>
      <c r="X40" s="29">
        <f t="shared" si="17"/>
        <v>0.62390350877192979</v>
      </c>
      <c r="Y40" s="29">
        <f t="shared" si="18"/>
        <v>0</v>
      </c>
      <c r="Z40" s="29">
        <f t="shared" si="13"/>
        <v>0</v>
      </c>
      <c r="AA40" s="29">
        <f t="shared" si="14"/>
        <v>0</v>
      </c>
      <c r="AB40" s="29">
        <f t="shared" si="28"/>
        <v>0.9608781311567689</v>
      </c>
      <c r="AC40" s="41">
        <f t="shared" si="8"/>
        <v>561</v>
      </c>
      <c r="AD40" s="29" t="str">
        <f t="shared" si="9"/>
        <v>3</v>
      </c>
      <c r="AE40" s="29">
        <f t="shared" si="30"/>
        <v>3.0179161975795107E-3</v>
      </c>
      <c r="AF40" s="29">
        <f t="shared" si="30"/>
        <v>6.095538222998903E-2</v>
      </c>
      <c r="AG40" s="29">
        <f t="shared" si="30"/>
        <v>0</v>
      </c>
      <c r="AH40" s="29">
        <f t="shared" si="30"/>
        <v>0</v>
      </c>
      <c r="AI40" s="29">
        <f t="shared" si="30"/>
        <v>0</v>
      </c>
    </row>
    <row r="41" spans="1:71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23"/>
        <v>9.7472924187725629E-2</v>
      </c>
      <c r="P41" s="28">
        <f t="shared" si="24"/>
        <v>9.585492227979274E-2</v>
      </c>
      <c r="Q41" s="28">
        <f t="shared" si="25"/>
        <v>8.771929824561403E-2</v>
      </c>
      <c r="R41" s="28">
        <f t="shared" si="26"/>
        <v>0.5</v>
      </c>
      <c r="S41" s="28">
        <f t="shared" si="27"/>
        <v>0</v>
      </c>
      <c r="T41" s="28"/>
      <c r="U41" s="28">
        <f>57/569</f>
        <v>0.10017574692442882</v>
      </c>
      <c r="V41" s="28"/>
      <c r="W41" s="29">
        <f t="shared" si="16"/>
        <v>0.97301919057571729</v>
      </c>
      <c r="X41" s="29">
        <f t="shared" si="17"/>
        <v>0.95686755749477315</v>
      </c>
      <c r="Y41" s="29">
        <f t="shared" si="18"/>
        <v>0.87565404739919972</v>
      </c>
      <c r="Z41" s="29">
        <f t="shared" si="13"/>
        <v>4.9912280701754383</v>
      </c>
      <c r="AA41" s="29">
        <f t="shared" si="14"/>
        <v>0</v>
      </c>
      <c r="AB41" s="29">
        <f t="shared" si="28"/>
        <v>4.9912280701754383</v>
      </c>
      <c r="AC41" s="41">
        <f t="shared" si="8"/>
        <v>2</v>
      </c>
      <c r="AD41" s="29" t="str">
        <f t="shared" si="9"/>
        <v>6</v>
      </c>
      <c r="AE41" s="29">
        <f t="shared" si="30"/>
        <v>7.2643780875926278E-3</v>
      </c>
      <c r="AF41" s="29">
        <f t="shared" si="30"/>
        <v>7.4550817645839013E-2</v>
      </c>
      <c r="AG41" s="29">
        <f t="shared" si="30"/>
        <v>7.8810307017543851E-2</v>
      </c>
      <c r="AH41" s="29">
        <f t="shared" si="30"/>
        <v>0.37864497669956143</v>
      </c>
      <c r="AI41" s="29">
        <f t="shared" si="30"/>
        <v>0</v>
      </c>
    </row>
    <row r="42" spans="1:71" x14ac:dyDescent="0.3">
      <c r="A42" s="34" t="s">
        <v>57</v>
      </c>
      <c r="B42" s="1" t="s">
        <v>30</v>
      </c>
      <c r="C42" s="1">
        <v>20</v>
      </c>
      <c r="D42" s="1">
        <v>3</v>
      </c>
      <c r="E42" s="1">
        <v>0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23"/>
        <v>0</v>
      </c>
      <c r="P42" s="30">
        <f t="shared" si="24"/>
        <v>0</v>
      </c>
      <c r="Q42" s="30">
        <f t="shared" si="25"/>
        <v>0</v>
      </c>
      <c r="R42" s="30">
        <f t="shared" si="26"/>
        <v>0</v>
      </c>
      <c r="S42" s="30">
        <f t="shared" si="27"/>
        <v>0</v>
      </c>
      <c r="T42" s="30"/>
      <c r="U42" s="30">
        <f>57/569</f>
        <v>0.10017574692442882</v>
      </c>
      <c r="V42" s="30"/>
      <c r="W42" s="31">
        <f t="shared" si="16"/>
        <v>0</v>
      </c>
      <c r="X42" s="31">
        <f t="shared" si="17"/>
        <v>0</v>
      </c>
      <c r="Y42" s="31">
        <f t="shared" si="18"/>
        <v>0</v>
      </c>
      <c r="Z42" s="31">
        <f t="shared" si="13"/>
        <v>0</v>
      </c>
      <c r="AA42" s="31">
        <f t="shared" si="14"/>
        <v>0</v>
      </c>
      <c r="AB42" s="31">
        <f t="shared" si="28"/>
        <v>0</v>
      </c>
      <c r="AC42" s="42">
        <f t="shared" si="8"/>
        <v>20</v>
      </c>
      <c r="AD42" s="31" t="str">
        <f t="shared" si="9"/>
        <v>3</v>
      </c>
      <c r="AE42" s="31">
        <f t="shared" si="30"/>
        <v>0</v>
      </c>
      <c r="AF42" s="31">
        <f t="shared" si="30"/>
        <v>0</v>
      </c>
      <c r="AG42" s="31">
        <f t="shared" si="30"/>
        <v>0</v>
      </c>
      <c r="AH42" s="31">
        <f t="shared" si="30"/>
        <v>0</v>
      </c>
      <c r="AI42" s="31">
        <f t="shared" si="30"/>
        <v>0</v>
      </c>
    </row>
    <row r="43" spans="1:71" x14ac:dyDescent="0.3">
      <c r="A43" s="32" t="s">
        <v>35</v>
      </c>
      <c r="B43" s="35" t="s">
        <v>27</v>
      </c>
      <c r="C43" s="25">
        <v>569</v>
      </c>
      <c r="D43" s="25">
        <v>529</v>
      </c>
      <c r="E43" s="25">
        <v>167</v>
      </c>
      <c r="F43" s="25">
        <v>1</v>
      </c>
      <c r="G43" s="25">
        <v>0</v>
      </c>
      <c r="H43" s="35"/>
      <c r="I43" s="25">
        <v>39</v>
      </c>
      <c r="J43" s="25">
        <v>39</v>
      </c>
      <c r="K43" s="25">
        <v>5</v>
      </c>
      <c r="L43" s="25">
        <v>0</v>
      </c>
      <c r="M43" s="25">
        <v>0</v>
      </c>
      <c r="N43" s="35"/>
      <c r="O43" s="37">
        <f t="shared" si="23"/>
        <v>6.8541300527240778E-2</v>
      </c>
      <c r="P43" s="37">
        <f t="shared" si="24"/>
        <v>7.3724007561436669E-2</v>
      </c>
      <c r="Q43" s="37">
        <f t="shared" si="25"/>
        <v>2.9940119760479042E-2</v>
      </c>
      <c r="R43" s="37">
        <f t="shared" si="26"/>
        <v>0</v>
      </c>
      <c r="S43" s="37">
        <f t="shared" si="27"/>
        <v>0</v>
      </c>
      <c r="T43" s="37"/>
      <c r="U43" s="37">
        <f>39/569</f>
        <v>6.8541300527240778E-2</v>
      </c>
      <c r="V43" s="37"/>
      <c r="W43" s="27">
        <f t="shared" si="16"/>
        <v>1</v>
      </c>
      <c r="X43" s="27">
        <f t="shared" si="17"/>
        <v>1.0756143667296785</v>
      </c>
      <c r="Y43" s="27">
        <f t="shared" si="18"/>
        <v>0.43681867035160443</v>
      </c>
      <c r="Z43" s="27">
        <f t="shared" si="13"/>
        <v>0</v>
      </c>
      <c r="AA43" s="27">
        <f t="shared" si="14"/>
        <v>0</v>
      </c>
      <c r="AB43" s="27">
        <f t="shared" si="28"/>
        <v>1.0756143667296785</v>
      </c>
      <c r="AC43" s="43">
        <f t="shared" si="8"/>
        <v>529</v>
      </c>
      <c r="AD43" s="27" t="str">
        <f t="shared" si="9"/>
        <v>4</v>
      </c>
      <c r="AE43" s="27">
        <f t="shared" ref="AE43:AI46" si="31">IF(C43&gt;0,((I43*((3*39)+C43))/(4*C43*39))*(1-(C43-I43)/(569-39)),0)</f>
        <v>0</v>
      </c>
      <c r="AF43" s="27">
        <f t="shared" si="31"/>
        <v>2.3040981560081313E-2</v>
      </c>
      <c r="AG43" s="27">
        <f t="shared" si="31"/>
        <v>3.7845933676913232E-2</v>
      </c>
      <c r="AH43" s="27">
        <f t="shared" si="31"/>
        <v>0</v>
      </c>
      <c r="AI43" s="27">
        <f t="shared" si="31"/>
        <v>0</v>
      </c>
    </row>
    <row r="44" spans="1:71" x14ac:dyDescent="0.3">
      <c r="A44" s="32" t="s">
        <v>35</v>
      </c>
      <c r="B44" t="s">
        <v>28</v>
      </c>
      <c r="C44" s="25">
        <v>551</v>
      </c>
      <c r="D44" s="25">
        <v>193</v>
      </c>
      <c r="E44" s="25">
        <v>13</v>
      </c>
      <c r="F44" s="25">
        <v>0</v>
      </c>
      <c r="G44" s="25">
        <v>0</v>
      </c>
      <c r="I44" s="25">
        <v>38</v>
      </c>
      <c r="J44" s="25">
        <v>14</v>
      </c>
      <c r="K44" s="25">
        <v>0</v>
      </c>
      <c r="L44" s="25">
        <v>0</v>
      </c>
      <c r="M44" s="25">
        <v>0</v>
      </c>
      <c r="O44" s="2">
        <f t="shared" si="23"/>
        <v>6.8965517241379309E-2</v>
      </c>
      <c r="P44" s="2">
        <f t="shared" si="24"/>
        <v>7.2538860103626937E-2</v>
      </c>
      <c r="Q44" s="2">
        <f t="shared" si="25"/>
        <v>0</v>
      </c>
      <c r="R44" s="2">
        <f t="shared" si="26"/>
        <v>0</v>
      </c>
      <c r="S44" s="2">
        <f t="shared" si="27"/>
        <v>0</v>
      </c>
      <c r="T44" s="2"/>
      <c r="U44" s="2">
        <f>39/569</f>
        <v>6.8541300527240778E-2</v>
      </c>
      <c r="V44" s="2"/>
      <c r="W44" s="3">
        <f t="shared" si="16"/>
        <v>1.0061892130857648</v>
      </c>
      <c r="X44" s="3">
        <f t="shared" si="17"/>
        <v>1.058323369204198</v>
      </c>
      <c r="Y44" s="3">
        <f t="shared" si="18"/>
        <v>0</v>
      </c>
      <c r="Z44" s="3">
        <f t="shared" si="13"/>
        <v>0</v>
      </c>
      <c r="AA44" s="3">
        <f t="shared" si="14"/>
        <v>0</v>
      </c>
      <c r="AB44" s="3">
        <f t="shared" si="28"/>
        <v>1.058323369204198</v>
      </c>
      <c r="AC44" s="44">
        <f t="shared" si="8"/>
        <v>193</v>
      </c>
      <c r="AD44" s="3" t="str">
        <f t="shared" si="9"/>
        <v>4</v>
      </c>
      <c r="AE44" s="3">
        <f t="shared" si="31"/>
        <v>9.472332048779673E-3</v>
      </c>
      <c r="AF44" s="3">
        <f t="shared" si="31"/>
        <v>9.5463877211848666E-2</v>
      </c>
      <c r="AG44" s="3">
        <f t="shared" si="31"/>
        <v>0</v>
      </c>
      <c r="AH44" s="3">
        <f t="shared" si="31"/>
        <v>0</v>
      </c>
      <c r="AI44" s="3">
        <f t="shared" si="31"/>
        <v>0</v>
      </c>
    </row>
    <row r="45" spans="1:71" x14ac:dyDescent="0.3">
      <c r="A45" s="32" t="s">
        <v>35</v>
      </c>
      <c r="B45" t="s">
        <v>29</v>
      </c>
      <c r="C45" s="25">
        <v>568</v>
      </c>
      <c r="D45" s="25">
        <v>550</v>
      </c>
      <c r="E45" s="25">
        <v>328</v>
      </c>
      <c r="F45" s="25">
        <v>36</v>
      </c>
      <c r="G45" s="25">
        <v>0</v>
      </c>
      <c r="I45" s="25">
        <v>39</v>
      </c>
      <c r="J45" s="25">
        <v>39</v>
      </c>
      <c r="K45" s="25">
        <v>21</v>
      </c>
      <c r="L45" s="25">
        <v>3</v>
      </c>
      <c r="M45" s="25">
        <v>0</v>
      </c>
      <c r="O45" s="2">
        <f t="shared" si="23"/>
        <v>6.8661971830985921E-2</v>
      </c>
      <c r="P45" s="2">
        <f t="shared" si="24"/>
        <v>7.0909090909090908E-2</v>
      </c>
      <c r="Q45" s="2">
        <f t="shared" si="25"/>
        <v>6.402439024390244E-2</v>
      </c>
      <c r="R45" s="2">
        <f t="shared" si="26"/>
        <v>8.3333333333333329E-2</v>
      </c>
      <c r="S45" s="2">
        <f t="shared" si="27"/>
        <v>0</v>
      </c>
      <c r="T45" s="2"/>
      <c r="U45" s="2">
        <f>39/569</f>
        <v>6.8541300527240778E-2</v>
      </c>
      <c r="V45" s="2"/>
      <c r="W45" s="3">
        <f t="shared" si="16"/>
        <v>1.0017605633802817</v>
      </c>
      <c r="X45" s="3">
        <f t="shared" si="17"/>
        <v>1.0345454545454544</v>
      </c>
      <c r="Y45" s="3">
        <f t="shared" si="18"/>
        <v>0.93409943714821764</v>
      </c>
      <c r="Z45" s="3">
        <f t="shared" si="13"/>
        <v>1.2158119658119657</v>
      </c>
      <c r="AA45" s="3">
        <f t="shared" si="14"/>
        <v>0</v>
      </c>
      <c r="AB45" s="3">
        <f t="shared" si="28"/>
        <v>1.2158119658119657</v>
      </c>
      <c r="AC45" s="44">
        <f t="shared" si="8"/>
        <v>36</v>
      </c>
      <c r="AD45" s="3" t="str">
        <f t="shared" si="9"/>
        <v>6</v>
      </c>
      <c r="AE45" s="3">
        <f t="shared" si="31"/>
        <v>5.6886128089290446E-4</v>
      </c>
      <c r="AF45" s="3">
        <f t="shared" si="31"/>
        <v>1.0868782161234988E-2</v>
      </c>
      <c r="AG45" s="3">
        <f t="shared" si="31"/>
        <v>7.6843981202874445E-2</v>
      </c>
      <c r="AH45" s="3">
        <f t="shared" si="31"/>
        <v>7.664187227866473E-2</v>
      </c>
      <c r="AI45" s="3">
        <f t="shared" si="31"/>
        <v>0</v>
      </c>
    </row>
    <row r="46" spans="1:71" x14ac:dyDescent="0.3">
      <c r="A46" s="32" t="s">
        <v>35</v>
      </c>
      <c r="B46" s="1" t="s">
        <v>30</v>
      </c>
      <c r="C46" s="1">
        <v>39</v>
      </c>
      <c r="D46" s="1">
        <v>13</v>
      </c>
      <c r="E46" s="1">
        <v>0</v>
      </c>
      <c r="F46" s="1">
        <v>0</v>
      </c>
      <c r="G46" s="1">
        <v>0</v>
      </c>
      <c r="H46" s="1"/>
      <c r="I46" s="1">
        <v>1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23"/>
        <v>2.564102564102564E-2</v>
      </c>
      <c r="P46" s="9">
        <f t="shared" si="24"/>
        <v>0</v>
      </c>
      <c r="Q46" s="9">
        <f t="shared" si="25"/>
        <v>0</v>
      </c>
      <c r="R46" s="9">
        <f t="shared" si="26"/>
        <v>0</v>
      </c>
      <c r="S46" s="9">
        <f t="shared" si="27"/>
        <v>0</v>
      </c>
      <c r="T46" s="9"/>
      <c r="U46" s="9">
        <f>39/569</f>
        <v>6.8541300527240778E-2</v>
      </c>
      <c r="V46" s="9"/>
      <c r="W46" s="10">
        <f t="shared" si="16"/>
        <v>0.37409598948060485</v>
      </c>
      <c r="X46" s="10">
        <f t="shared" si="17"/>
        <v>0</v>
      </c>
      <c r="Y46" s="10">
        <f t="shared" si="18"/>
        <v>0</v>
      </c>
      <c r="Z46" s="10">
        <f t="shared" si="13"/>
        <v>0</v>
      </c>
      <c r="AA46" s="10">
        <f t="shared" si="14"/>
        <v>0</v>
      </c>
      <c r="AB46" s="10">
        <f t="shared" si="28"/>
        <v>0.37409598948060485</v>
      </c>
      <c r="AC46" s="45">
        <f t="shared" si="8"/>
        <v>39</v>
      </c>
      <c r="AD46" s="10" t="str">
        <f t="shared" si="9"/>
        <v>3</v>
      </c>
      <c r="AE46" s="10">
        <f t="shared" si="31"/>
        <v>2.3802612481857763E-2</v>
      </c>
      <c r="AF46" s="10">
        <f t="shared" si="31"/>
        <v>0</v>
      </c>
      <c r="AG46" s="10">
        <f t="shared" si="31"/>
        <v>0</v>
      </c>
      <c r="AH46" s="10">
        <f t="shared" si="31"/>
        <v>0</v>
      </c>
      <c r="AI46" s="10">
        <f t="shared" si="31"/>
        <v>0</v>
      </c>
    </row>
    <row r="47" spans="1:71" x14ac:dyDescent="0.3">
      <c r="A47" s="32" t="s">
        <v>37</v>
      </c>
      <c r="B47" s="35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H47" s="35"/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N47" s="35"/>
      <c r="O47" s="37">
        <f t="shared" si="23"/>
        <v>9.8765432098765427E-2</v>
      </c>
      <c r="P47" s="37">
        <f t="shared" si="24"/>
        <v>0.10991957104557641</v>
      </c>
      <c r="Q47" s="37">
        <f t="shared" si="25"/>
        <v>0.29411764705882354</v>
      </c>
      <c r="R47" s="37">
        <f t="shared" si="26"/>
        <v>0</v>
      </c>
      <c r="S47" s="37">
        <f t="shared" si="27"/>
        <v>0</v>
      </c>
      <c r="T47" s="37"/>
      <c r="U47" s="37">
        <f>56/569</f>
        <v>9.8418277680140595E-2</v>
      </c>
      <c r="V47" s="37"/>
      <c r="W47" s="27">
        <f t="shared" si="16"/>
        <v>1.0035273368606701</v>
      </c>
      <c r="X47" s="27">
        <f t="shared" si="17"/>
        <v>1.1168613558023746</v>
      </c>
      <c r="Y47" s="27">
        <f t="shared" si="18"/>
        <v>2.9884453781512605</v>
      </c>
      <c r="Z47" s="27">
        <f t="shared" si="13"/>
        <v>0</v>
      </c>
      <c r="AA47" s="27">
        <f t="shared" si="14"/>
        <v>0</v>
      </c>
      <c r="AB47" s="27">
        <f t="shared" si="28"/>
        <v>2.9884453781512605</v>
      </c>
      <c r="AC47" s="43">
        <f t="shared" si="8"/>
        <v>34</v>
      </c>
      <c r="AD47" s="27" t="str">
        <f t="shared" si="9"/>
        <v>5</v>
      </c>
      <c r="AE47" s="27">
        <f t="shared" ref="AE47:AI50" si="32">IF(C47&gt;0,((I47*((3*56)+C47))/(4*C47*56))*(1-(C47-I47)/(569-56)),0)</f>
        <v>1.2634466825499962E-3</v>
      </c>
      <c r="AF47" s="27">
        <f t="shared" si="32"/>
        <v>9.3666756442790045E-2</v>
      </c>
      <c r="AG47" s="27">
        <f t="shared" si="32"/>
        <v>0.25282262027618063</v>
      </c>
      <c r="AH47" s="27">
        <f t="shared" si="32"/>
        <v>0</v>
      </c>
      <c r="AI47" s="27">
        <f t="shared" si="32"/>
        <v>0</v>
      </c>
    </row>
    <row r="48" spans="1:71" x14ac:dyDescent="0.3">
      <c r="A48" s="32" t="s">
        <v>37</v>
      </c>
      <c r="B48" t="s">
        <v>28</v>
      </c>
      <c r="C48" s="25">
        <v>22</v>
      </c>
      <c r="D48" s="25">
        <v>1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23"/>
        <v>0.18181818181818182</v>
      </c>
      <c r="P48" s="2">
        <f t="shared" si="24"/>
        <v>1</v>
      </c>
      <c r="Q48" s="2">
        <f t="shared" si="25"/>
        <v>0</v>
      </c>
      <c r="R48" s="2">
        <f t="shared" si="26"/>
        <v>0</v>
      </c>
      <c r="S48" s="2">
        <f t="shared" si="27"/>
        <v>0</v>
      </c>
      <c r="T48" s="2"/>
      <c r="U48" s="2">
        <f>56/569</f>
        <v>9.8418277680140595E-2</v>
      </c>
      <c r="V48" s="2"/>
      <c r="W48" s="3">
        <f t="shared" si="16"/>
        <v>1.8474025974025976</v>
      </c>
      <c r="X48" s="3">
        <f t="shared" si="17"/>
        <v>10.160714285714286</v>
      </c>
      <c r="Y48" s="3">
        <f t="shared" si="18"/>
        <v>0</v>
      </c>
      <c r="Z48" s="3">
        <f t="shared" si="13"/>
        <v>0</v>
      </c>
      <c r="AA48" s="3">
        <f t="shared" si="14"/>
        <v>0</v>
      </c>
      <c r="AB48" s="3">
        <f t="shared" si="28"/>
        <v>10.160714285714286</v>
      </c>
      <c r="AC48" s="44">
        <f t="shared" si="8"/>
        <v>1</v>
      </c>
      <c r="AD48" s="3" t="str">
        <f t="shared" si="9"/>
        <v>4</v>
      </c>
      <c r="AE48" s="3">
        <f t="shared" si="32"/>
        <v>0.14880952380952381</v>
      </c>
      <c r="AF48" s="3">
        <f t="shared" si="32"/>
        <v>0.7544642857142857</v>
      </c>
      <c r="AG48" s="3">
        <f t="shared" si="32"/>
        <v>0</v>
      </c>
      <c r="AH48" s="3">
        <f t="shared" si="32"/>
        <v>0</v>
      </c>
      <c r="AI48" s="3">
        <f t="shared" si="32"/>
        <v>0</v>
      </c>
    </row>
    <row r="49" spans="1:35" x14ac:dyDescent="0.3">
      <c r="A49" s="32" t="s">
        <v>37</v>
      </c>
      <c r="B49" t="s">
        <v>29</v>
      </c>
      <c r="C49" s="25">
        <v>424</v>
      </c>
      <c r="D49" s="25">
        <v>135</v>
      </c>
      <c r="E49" s="25">
        <v>7</v>
      </c>
      <c r="F49" s="25">
        <v>0</v>
      </c>
      <c r="G49" s="25">
        <v>0</v>
      </c>
      <c r="I49" s="25">
        <v>54</v>
      </c>
      <c r="J49" s="25">
        <v>12</v>
      </c>
      <c r="K49" s="25">
        <v>0</v>
      </c>
      <c r="L49" s="25">
        <v>0</v>
      </c>
      <c r="M49" s="25">
        <v>0</v>
      </c>
      <c r="O49" s="2">
        <f t="shared" si="23"/>
        <v>0.12735849056603774</v>
      </c>
      <c r="P49" s="2">
        <f t="shared" si="24"/>
        <v>8.8888888888888892E-2</v>
      </c>
      <c r="Q49" s="2">
        <f t="shared" si="25"/>
        <v>0</v>
      </c>
      <c r="R49" s="2">
        <f t="shared" si="26"/>
        <v>0</v>
      </c>
      <c r="S49" s="2">
        <f t="shared" si="27"/>
        <v>0</v>
      </c>
      <c r="T49" s="2"/>
      <c r="U49" s="2">
        <f>56/569</f>
        <v>9.8418277680140595E-2</v>
      </c>
      <c r="V49" s="2"/>
      <c r="W49" s="3">
        <f t="shared" si="16"/>
        <v>1.2940532345013478</v>
      </c>
      <c r="X49" s="3">
        <f t="shared" si="17"/>
        <v>0.90317460317460319</v>
      </c>
      <c r="Y49" s="3">
        <f t="shared" si="18"/>
        <v>0</v>
      </c>
      <c r="Z49" s="3">
        <f t="shared" si="13"/>
        <v>0</v>
      </c>
      <c r="AA49" s="3">
        <f t="shared" si="14"/>
        <v>0</v>
      </c>
      <c r="AB49" s="27">
        <f t="shared" si="28"/>
        <v>1.2940532345013478</v>
      </c>
      <c r="AC49" s="43">
        <f t="shared" si="8"/>
        <v>424</v>
      </c>
      <c r="AD49" s="27" t="str">
        <f t="shared" si="9"/>
        <v>3</v>
      </c>
      <c r="AE49" s="3">
        <f t="shared" si="32"/>
        <v>9.3825365300042582E-2</v>
      </c>
      <c r="AF49" s="3">
        <f t="shared" si="32"/>
        <v>9.1409078251183523E-2</v>
      </c>
      <c r="AG49" s="3">
        <f t="shared" si="32"/>
        <v>0</v>
      </c>
      <c r="AH49" s="3">
        <f t="shared" si="32"/>
        <v>0</v>
      </c>
      <c r="AI49" s="3">
        <f t="shared" si="32"/>
        <v>0</v>
      </c>
    </row>
    <row r="50" spans="1:35" x14ac:dyDescent="0.3">
      <c r="A50" s="32" t="s">
        <v>37</v>
      </c>
      <c r="B50" s="1" t="s">
        <v>30</v>
      </c>
      <c r="C50" s="1">
        <v>39</v>
      </c>
      <c r="D50" s="1">
        <v>12</v>
      </c>
      <c r="E50" s="1">
        <v>1</v>
      </c>
      <c r="F50" s="1">
        <v>0</v>
      </c>
      <c r="G50" s="1">
        <v>0</v>
      </c>
      <c r="H50" s="1"/>
      <c r="I50" s="1">
        <v>3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23"/>
        <v>7.6923076923076927E-2</v>
      </c>
      <c r="P50" s="9">
        <f t="shared" si="24"/>
        <v>8.3333333333333329E-2</v>
      </c>
      <c r="Q50" s="9">
        <f t="shared" si="25"/>
        <v>0</v>
      </c>
      <c r="R50" s="9">
        <f t="shared" si="26"/>
        <v>0</v>
      </c>
      <c r="S50" s="9">
        <f t="shared" si="27"/>
        <v>0</v>
      </c>
      <c r="T50" s="9"/>
      <c r="U50" s="9">
        <f>56/569</f>
        <v>9.8418277680140595E-2</v>
      </c>
      <c r="V50" s="9"/>
      <c r="W50" s="10">
        <f t="shared" si="16"/>
        <v>0.7815934065934067</v>
      </c>
      <c r="X50" s="10">
        <f t="shared" si="17"/>
        <v>0.84672619047619047</v>
      </c>
      <c r="Y50" s="10">
        <f t="shared" si="18"/>
        <v>0</v>
      </c>
      <c r="Z50" s="10">
        <f t="shared" si="13"/>
        <v>0</v>
      </c>
      <c r="AA50" s="10">
        <f t="shared" si="14"/>
        <v>0</v>
      </c>
      <c r="AB50" s="10">
        <f t="shared" si="28"/>
        <v>0.84672619047619047</v>
      </c>
      <c r="AC50" s="45">
        <f t="shared" si="8"/>
        <v>12</v>
      </c>
      <c r="AD50" s="10" t="str">
        <f t="shared" si="9"/>
        <v>4</v>
      </c>
      <c r="AE50" s="10">
        <f t="shared" si="32"/>
        <v>6.6096732215153262E-2</v>
      </c>
      <c r="AF50" s="10">
        <f t="shared" si="32"/>
        <v>6.5528404344193825E-2</v>
      </c>
      <c r="AG50" s="10">
        <f t="shared" si="32"/>
        <v>0</v>
      </c>
      <c r="AH50" s="10">
        <f t="shared" si="32"/>
        <v>0</v>
      </c>
      <c r="AI50" s="10">
        <f t="shared" si="32"/>
        <v>0</v>
      </c>
    </row>
    <row r="51" spans="1:35" x14ac:dyDescent="0.3">
      <c r="A51" s="32" t="s">
        <v>38</v>
      </c>
      <c r="B51" s="35" t="s">
        <v>27</v>
      </c>
      <c r="C51" s="25">
        <v>568</v>
      </c>
      <c r="D51" s="25">
        <v>554</v>
      </c>
      <c r="E51" s="25">
        <v>354</v>
      </c>
      <c r="F51" s="25">
        <v>37</v>
      </c>
      <c r="G51" s="25">
        <v>1</v>
      </c>
      <c r="H51" s="35"/>
      <c r="I51" s="25">
        <v>53</v>
      </c>
      <c r="J51" s="25">
        <v>53</v>
      </c>
      <c r="K51" s="25">
        <v>31</v>
      </c>
      <c r="L51" s="25">
        <v>2</v>
      </c>
      <c r="M51" s="25">
        <v>0</v>
      </c>
      <c r="N51" s="35"/>
      <c r="O51" s="37">
        <f t="shared" si="23"/>
        <v>9.3309859154929578E-2</v>
      </c>
      <c r="P51" s="37">
        <f t="shared" si="24"/>
        <v>9.5667870036101083E-2</v>
      </c>
      <c r="Q51" s="37">
        <f t="shared" si="25"/>
        <v>8.7570621468926552E-2</v>
      </c>
      <c r="R51" s="37">
        <f t="shared" si="26"/>
        <v>5.4054054054054057E-2</v>
      </c>
      <c r="S51" s="37">
        <f t="shared" si="27"/>
        <v>0</v>
      </c>
      <c r="T51" s="37"/>
      <c r="U51" s="37">
        <f>53/569</f>
        <v>9.3145869947275917E-2</v>
      </c>
      <c r="V51" s="37"/>
      <c r="W51" s="27">
        <f t="shared" si="16"/>
        <v>1.0017605633802817</v>
      </c>
      <c r="X51" s="27">
        <f t="shared" si="17"/>
        <v>1.0270758122743684</v>
      </c>
      <c r="Y51" s="27">
        <f t="shared" si="18"/>
        <v>0.94014497388338136</v>
      </c>
      <c r="Z51" s="27">
        <f t="shared" si="13"/>
        <v>0.58031616522182572</v>
      </c>
      <c r="AA51" s="27">
        <f t="shared" si="14"/>
        <v>0</v>
      </c>
      <c r="AB51" s="27">
        <f t="shared" si="28"/>
        <v>1.0270758122743684</v>
      </c>
      <c r="AC51" s="43">
        <f t="shared" si="8"/>
        <v>554</v>
      </c>
      <c r="AD51" s="27" t="str">
        <f t="shared" si="9"/>
        <v>4</v>
      </c>
      <c r="AE51" s="27">
        <f t="shared" ref="AE51:AI54" si="33">IF(C51&gt;0,((I51*((3*53)+C51))/(4*C51*53))*(1-(C51-I51)/(569-53)),0)</f>
        <v>6.2012091931433672E-4</v>
      </c>
      <c r="AF51" s="27">
        <f t="shared" si="33"/>
        <v>9.353223910670826E-3</v>
      </c>
      <c r="AG51" s="27">
        <f t="shared" si="33"/>
        <v>7.9258809245803613E-2</v>
      </c>
      <c r="AH51" s="27">
        <f t="shared" si="33"/>
        <v>4.6584759397396522E-2</v>
      </c>
      <c r="AI51" s="27">
        <f t="shared" si="33"/>
        <v>0</v>
      </c>
    </row>
    <row r="52" spans="1:35" x14ac:dyDescent="0.3">
      <c r="A52" s="32" t="s">
        <v>38</v>
      </c>
      <c r="B52" t="s">
        <v>28</v>
      </c>
      <c r="C52" s="25">
        <v>79</v>
      </c>
      <c r="D52" s="25">
        <v>9</v>
      </c>
      <c r="E52" s="25">
        <v>0</v>
      </c>
      <c r="F52" s="25">
        <v>0</v>
      </c>
      <c r="G52" s="25">
        <v>0</v>
      </c>
      <c r="I52" s="25">
        <v>4</v>
      </c>
      <c r="J52" s="25">
        <v>0</v>
      </c>
      <c r="K52" s="25">
        <v>0</v>
      </c>
      <c r="L52" s="25">
        <v>0</v>
      </c>
      <c r="M52" s="25">
        <v>0</v>
      </c>
      <c r="O52" s="2">
        <f t="shared" si="23"/>
        <v>5.0632911392405063E-2</v>
      </c>
      <c r="P52" s="2">
        <f t="shared" si="24"/>
        <v>0</v>
      </c>
      <c r="Q52" s="2">
        <f t="shared" si="25"/>
        <v>0</v>
      </c>
      <c r="R52" s="2">
        <f t="shared" si="26"/>
        <v>0</v>
      </c>
      <c r="S52" s="2">
        <f t="shared" si="27"/>
        <v>0</v>
      </c>
      <c r="T52" s="2"/>
      <c r="U52" s="2">
        <f>53/569</f>
        <v>9.3145869947275917E-2</v>
      </c>
      <c r="V52" s="2"/>
      <c r="W52" s="3">
        <f t="shared" si="16"/>
        <v>0.54358729400525441</v>
      </c>
      <c r="X52" s="3">
        <f t="shared" si="17"/>
        <v>0</v>
      </c>
      <c r="Y52" s="3">
        <f t="shared" si="18"/>
        <v>0</v>
      </c>
      <c r="Z52" s="3">
        <f t="shared" si="13"/>
        <v>0</v>
      </c>
      <c r="AA52" s="3">
        <f t="shared" si="14"/>
        <v>0</v>
      </c>
      <c r="AB52" s="3">
        <f t="shared" si="28"/>
        <v>0.54358729400525441</v>
      </c>
      <c r="AC52" s="44">
        <f t="shared" si="8"/>
        <v>79</v>
      </c>
      <c r="AD52" s="3" t="str">
        <f t="shared" si="9"/>
        <v>3</v>
      </c>
      <c r="AE52" s="3">
        <f t="shared" si="33"/>
        <v>4.8580601085308345E-2</v>
      </c>
      <c r="AF52" s="3">
        <f t="shared" si="33"/>
        <v>0</v>
      </c>
      <c r="AG52" s="3">
        <f t="shared" si="33"/>
        <v>0</v>
      </c>
      <c r="AH52" s="3">
        <f t="shared" si="33"/>
        <v>0</v>
      </c>
      <c r="AI52" s="3">
        <f t="shared" si="33"/>
        <v>0</v>
      </c>
    </row>
    <row r="53" spans="1:35" x14ac:dyDescent="0.3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23"/>
        <v>9.3309859154929578E-2</v>
      </c>
      <c r="P53" s="2">
        <f t="shared" si="24"/>
        <v>9.5588235294117641E-2</v>
      </c>
      <c r="Q53" s="2">
        <f t="shared" si="25"/>
        <v>8.3612040133779264E-2</v>
      </c>
      <c r="R53" s="2">
        <f t="shared" si="26"/>
        <v>2.564102564102564E-2</v>
      </c>
      <c r="S53" s="2">
        <f t="shared" si="27"/>
        <v>0</v>
      </c>
      <c r="T53" s="2"/>
      <c r="U53" s="2">
        <f>53/569</f>
        <v>9.3145869947275917E-2</v>
      </c>
      <c r="V53" s="2"/>
      <c r="W53" s="3">
        <f t="shared" si="16"/>
        <v>1.0017605633802817</v>
      </c>
      <c r="X53" s="3">
        <f t="shared" si="17"/>
        <v>1.0262208657047724</v>
      </c>
      <c r="Y53" s="3">
        <f t="shared" si="18"/>
        <v>0.89764624219095102</v>
      </c>
      <c r="Z53" s="3">
        <f t="shared" si="13"/>
        <v>0.27527818093855833</v>
      </c>
      <c r="AA53" s="3">
        <f t="shared" si="14"/>
        <v>0</v>
      </c>
      <c r="AB53" s="3">
        <f t="shared" si="28"/>
        <v>1.0262208657047724</v>
      </c>
      <c r="AC53" s="44">
        <f t="shared" si="8"/>
        <v>544</v>
      </c>
      <c r="AD53" s="3" t="str">
        <f t="shared" si="9"/>
        <v>4</v>
      </c>
      <c r="AE53" s="3">
        <f t="shared" si="33"/>
        <v>6.2012091931433672E-4</v>
      </c>
      <c r="AF53" s="3">
        <f t="shared" si="33"/>
        <v>1.474298582969826E-2</v>
      </c>
      <c r="AG53" s="3">
        <f t="shared" si="33"/>
        <v>8.4715738630499096E-2</v>
      </c>
      <c r="AH53" s="3">
        <f t="shared" si="33"/>
        <v>2.2184156343875518E-2</v>
      </c>
      <c r="AI53" s="3">
        <f t="shared" si="33"/>
        <v>0</v>
      </c>
    </row>
    <row r="54" spans="1:35" x14ac:dyDescent="0.3">
      <c r="A54" s="33" t="s">
        <v>38</v>
      </c>
      <c r="B54" s="1" t="s">
        <v>30</v>
      </c>
      <c r="C54" s="1">
        <v>10</v>
      </c>
      <c r="D54" s="1">
        <v>0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23"/>
        <v>0</v>
      </c>
      <c r="P54" s="9">
        <f t="shared" si="24"/>
        <v>0</v>
      </c>
      <c r="Q54" s="9">
        <f t="shared" si="25"/>
        <v>0</v>
      </c>
      <c r="R54" s="9">
        <f t="shared" si="26"/>
        <v>0</v>
      </c>
      <c r="S54" s="9">
        <f t="shared" si="27"/>
        <v>0</v>
      </c>
      <c r="T54" s="9"/>
      <c r="U54" s="9">
        <f>53/569</f>
        <v>9.3145869947275917E-2</v>
      </c>
      <c r="V54" s="9"/>
      <c r="W54" s="10">
        <f t="shared" si="16"/>
        <v>0</v>
      </c>
      <c r="X54" s="10">
        <f t="shared" si="17"/>
        <v>0</v>
      </c>
      <c r="Y54" s="10">
        <f t="shared" si="18"/>
        <v>0</v>
      </c>
      <c r="Z54" s="10">
        <f t="shared" si="13"/>
        <v>0</v>
      </c>
      <c r="AA54" s="10">
        <f t="shared" si="14"/>
        <v>0</v>
      </c>
      <c r="AB54" s="10">
        <f t="shared" si="28"/>
        <v>0</v>
      </c>
      <c r="AC54" s="45">
        <f t="shared" si="8"/>
        <v>10</v>
      </c>
      <c r="AD54" s="10" t="str">
        <f t="shared" si="9"/>
        <v>3</v>
      </c>
      <c r="AE54" s="10">
        <f t="shared" si="33"/>
        <v>0</v>
      </c>
      <c r="AF54" s="10">
        <f t="shared" si="33"/>
        <v>0</v>
      </c>
      <c r="AG54" s="10">
        <f t="shared" si="33"/>
        <v>0</v>
      </c>
      <c r="AH54" s="10">
        <f t="shared" si="33"/>
        <v>0</v>
      </c>
      <c r="AI54" s="10">
        <f t="shared" si="33"/>
        <v>0</v>
      </c>
    </row>
  </sheetData>
  <sortState xmlns:xlrd2="http://schemas.microsoft.com/office/spreadsheetml/2017/richdata2" ref="A3:AI54">
    <sortCondition ref="A3:A54"/>
  </sortState>
  <phoneticPr fontId="2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69A2-38B1-47E0-BFB0-52DF88F43E40}">
  <sheetPr codeName="Sheet2"/>
  <dimension ref="A1:BS59"/>
  <sheetViews>
    <sheetView topLeftCell="T1" zoomScale="55" zoomScaleNormal="55" workbookViewId="0">
      <selection activeCell="AC3" sqref="AC3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567</v>
      </c>
      <c r="D3">
        <v>429</v>
      </c>
      <c r="E3">
        <v>61</v>
      </c>
      <c r="F3">
        <v>2</v>
      </c>
      <c r="G3">
        <v>0</v>
      </c>
      <c r="I3">
        <v>65</v>
      </c>
      <c r="J3">
        <v>56</v>
      </c>
      <c r="K3">
        <v>20</v>
      </c>
      <c r="L3">
        <v>0</v>
      </c>
      <c r="M3">
        <v>0</v>
      </c>
      <c r="O3" s="28">
        <f t="shared" ref="O3:O34" si="0">IF(I3&gt;0, I3/C3, 0)</f>
        <v>0.1146384479717813</v>
      </c>
      <c r="P3" s="28">
        <f t="shared" ref="P3:P34" si="1">IF(J3&gt;0, J3/D3, 0)</f>
        <v>0.13053613053613053</v>
      </c>
      <c r="Q3" s="28">
        <f t="shared" ref="Q3:Q34" si="2">IF(K3&gt;0, K3/E3, 0)</f>
        <v>0.32786885245901637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1.0035273368606701</v>
      </c>
      <c r="X3" s="29">
        <f t="shared" si="5"/>
        <v>1.1426932042316658</v>
      </c>
      <c r="Y3" s="29">
        <f t="shared" si="5"/>
        <v>2.8701134930643128</v>
      </c>
      <c r="Z3" s="29">
        <f t="shared" si="5"/>
        <v>0</v>
      </c>
      <c r="AA3" s="29">
        <f t="shared" si="5"/>
        <v>0</v>
      </c>
      <c r="AB3" s="29">
        <f t="shared" ref="AB3:AB34" si="6">MAX(W3:AA3)</f>
        <v>2.8701134930643128</v>
      </c>
      <c r="AC3" s="41">
        <f>INDEX(C3:AA3, 1, MATCH(AB3, W3:AA3, 0))</f>
        <v>61</v>
      </c>
      <c r="AD3" s="29" t="str">
        <f>LEFT(INDEX(C$2:G$2, 1, MATCH(AB3, W3:AA3, 0)),1)</f>
        <v>5</v>
      </c>
      <c r="AE3" s="29">
        <f t="shared" ref="AE3:AI6" si="7">IF(C3&gt;0,((I3*((3*65)+C3))/(4*C3*65))*(1-(C3-I3)/(569-65)),0)</f>
        <v>1.3332493491223603E-3</v>
      </c>
      <c r="AF3" s="29">
        <f t="shared" si="7"/>
        <v>8.1429681429681419E-2</v>
      </c>
      <c r="AG3" s="29">
        <f t="shared" si="7"/>
        <v>0.29656318180908342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0.10958573477649021</v>
      </c>
      <c r="AM3" s="2">
        <f t="shared" si="8"/>
        <v>0.16310665084774326</v>
      </c>
      <c r="AN3" s="2">
        <f t="shared" si="8"/>
        <v>0.15749288709194367</v>
      </c>
      <c r="AO3" s="2">
        <f t="shared" si="8"/>
        <v>0.12816764132553607</v>
      </c>
      <c r="AP3" s="2">
        <f t="shared" si="8"/>
        <v>0</v>
      </c>
      <c r="AR3" t="s">
        <v>27</v>
      </c>
      <c r="AS3" s="4">
        <f>AVERAGE(W3,W7,W11,W15,W19,W23,W27,W31)</f>
        <v>0.99234111062021757</v>
      </c>
      <c r="AT3" s="4">
        <f>AVERAGE(X3,X7,X11,X15,X19,X23,X27,X31)</f>
        <v>1.4793826664592167</v>
      </c>
      <c r="AU3" s="4">
        <f>AVERAGE(Y3,Y7,Y11,Y15,Y19,Y23,Y27,Y31)</f>
        <v>1.58563929166768</v>
      </c>
      <c r="AV3" s="4">
        <f>AVERAGE(Z3,Z7,Z11,Z15,Z19,Z23,Z27,Z31)</f>
        <v>0.85635593040255675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1.1831279064324844E-2</v>
      </c>
      <c r="AZ3" s="4">
        <f t="shared" si="9"/>
        <v>9.4986650820427426E-2</v>
      </c>
      <c r="BA3" s="4">
        <f t="shared" si="9"/>
        <v>0.14489767452240351</v>
      </c>
      <c r="BB3" s="4">
        <f t="shared" si="9"/>
        <v>7.4946039298676576E-2</v>
      </c>
      <c r="BC3" s="4">
        <f t="shared" si="9"/>
        <v>0</v>
      </c>
      <c r="BE3" s="5">
        <f>MAX(AE3,AE7,AE11,AE15,AE19,AE23,AE27,AE31)</f>
        <v>4.4532306451369408E-2</v>
      </c>
      <c r="BF3" s="5">
        <f t="shared" ref="BF3:BI6" si="10">MAX(AF3,AF7,AF11,AF15,AF19,AF23,AF27,AF31)</f>
        <v>0.35492058316385178</v>
      </c>
      <c r="BG3" s="5">
        <f t="shared" si="10"/>
        <v>0.45902608695652175</v>
      </c>
      <c r="BH3" s="5">
        <f t="shared" si="10"/>
        <v>0.37712456064326638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492</v>
      </c>
      <c r="D4">
        <v>26</v>
      </c>
      <c r="E4">
        <v>0</v>
      </c>
      <c r="F4">
        <v>0</v>
      </c>
      <c r="G4">
        <v>0</v>
      </c>
      <c r="I4">
        <v>62</v>
      </c>
      <c r="J4">
        <v>6</v>
      </c>
      <c r="K4">
        <v>0</v>
      </c>
      <c r="L4">
        <v>0</v>
      </c>
      <c r="M4">
        <v>0</v>
      </c>
      <c r="O4" s="28">
        <f t="shared" si="0"/>
        <v>0.12601626016260162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1.1031269543464666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41">
        <f t="shared" ref="AC4:AC54" si="11">INDEX(C4:AA4, 1, MATCH(AB4, W4:AA4, 0))</f>
        <v>26</v>
      </c>
      <c r="AD4" s="29" t="str">
        <f t="shared" ref="AD4:AD54" si="12">LEFT(INDEX(C$2:G$2, 1, MATCH(AB4, W4:AA4, 0)),1)</f>
        <v>4</v>
      </c>
      <c r="AE4" s="29">
        <f t="shared" si="7"/>
        <v>4.888900056582985E-2</v>
      </c>
      <c r="AF4" s="29">
        <f t="shared" si="7"/>
        <v>0.18836996336996337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0.11121248391939172</v>
      </c>
      <c r="AM4" s="6">
        <f t="shared" si="8"/>
        <v>4.8111395455657159E-2</v>
      </c>
      <c r="AN4" s="6">
        <f t="shared" si="8"/>
        <v>5.5555555555555552E-2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1.1186578287602353</v>
      </c>
      <c r="AT4" s="7">
        <f t="shared" ref="AT4:AW6" si="14">AVERAGE(X4,X8,X12,X16,X20,X24,X28,X32)</f>
        <v>0.6231028554602801</v>
      </c>
      <c r="AU4" s="7">
        <f t="shared" si="14"/>
        <v>0.44025267743796409</v>
      </c>
      <c r="AV4" s="7">
        <f t="shared" si="14"/>
        <v>0</v>
      </c>
      <c r="AW4" s="7">
        <f t="shared" si="14"/>
        <v>0</v>
      </c>
      <c r="AX4" s="4"/>
      <c r="AY4" s="7">
        <f t="shared" si="9"/>
        <v>4.5820977612228378E-2</v>
      </c>
      <c r="AZ4" s="7">
        <f t="shared" si="9"/>
        <v>5.6371988322424169E-2</v>
      </c>
      <c r="BA4" s="7">
        <f t="shared" si="9"/>
        <v>3.9444176721163231E-2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0.13312490811526023</v>
      </c>
      <c r="BF4" s="5">
        <f t="shared" si="10"/>
        <v>0.18836996336996337</v>
      </c>
      <c r="BG4" s="8">
        <f t="shared" si="10"/>
        <v>0.25260869565217392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561</v>
      </c>
      <c r="D5">
        <v>343</v>
      </c>
      <c r="E5">
        <v>32</v>
      </c>
      <c r="F5">
        <v>0</v>
      </c>
      <c r="G5">
        <v>0</v>
      </c>
      <c r="I5">
        <v>65</v>
      </c>
      <c r="J5">
        <v>42</v>
      </c>
      <c r="K5">
        <v>3</v>
      </c>
      <c r="L5">
        <v>0</v>
      </c>
      <c r="M5">
        <v>0</v>
      </c>
      <c r="O5" s="28">
        <f t="shared" si="0"/>
        <v>0.11586452762923351</v>
      </c>
      <c r="P5" s="28">
        <f t="shared" si="1"/>
        <v>0.12244897959183673</v>
      </c>
      <c r="Q5" s="28">
        <f t="shared" si="2"/>
        <v>9.375E-2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1.0142602495543671</v>
      </c>
      <c r="X5" s="29">
        <f t="shared" si="5"/>
        <v>1.0718995290423863</v>
      </c>
      <c r="Y5" s="29">
        <f t="shared" si="5"/>
        <v>0.82067307692307701</v>
      </c>
      <c r="Z5" s="29">
        <f t="shared" si="5"/>
        <v>0</v>
      </c>
      <c r="AA5" s="29">
        <f t="shared" si="5"/>
        <v>0</v>
      </c>
      <c r="AB5" s="29">
        <f t="shared" si="6"/>
        <v>1.0718995290423863</v>
      </c>
      <c r="AC5" s="41">
        <f t="shared" si="11"/>
        <v>343</v>
      </c>
      <c r="AD5" s="29" t="str">
        <f t="shared" si="12"/>
        <v>4</v>
      </c>
      <c r="AE5" s="29">
        <f t="shared" si="7"/>
        <v>5.3475935828877193E-3</v>
      </c>
      <c r="AF5" s="29">
        <f t="shared" si="7"/>
        <v>0.10205389848246993</v>
      </c>
      <c r="AG5" s="29">
        <f t="shared" si="7"/>
        <v>7.7141283195970689E-2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0.10840969419014512</v>
      </c>
      <c r="AM5" s="6">
        <f t="shared" si="8"/>
        <v>0.11472239365548298</v>
      </c>
      <c r="AN5" s="6">
        <f t="shared" si="8"/>
        <v>0.11364071752002786</v>
      </c>
      <c r="AO5" s="6">
        <f t="shared" si="8"/>
        <v>8.3333333333333329E-2</v>
      </c>
      <c r="AP5" s="6">
        <f t="shared" si="8"/>
        <v>0</v>
      </c>
      <c r="AR5" t="s">
        <v>29</v>
      </c>
      <c r="AS5" s="7">
        <f t="shared" si="13"/>
        <v>1.0008702672008949</v>
      </c>
      <c r="AT5" s="7">
        <f t="shared" si="14"/>
        <v>1.0561185776716049</v>
      </c>
      <c r="AU5" s="7">
        <f t="shared" si="14"/>
        <v>0.94386802511760981</v>
      </c>
      <c r="AV5" s="7">
        <f t="shared" si="14"/>
        <v>0.64612100290697672</v>
      </c>
      <c r="AW5" s="7">
        <f t="shared" si="14"/>
        <v>0</v>
      </c>
      <c r="AX5" s="4"/>
      <c r="AY5" s="7">
        <f t="shared" si="9"/>
        <v>1.5329328146144173E-2</v>
      </c>
      <c r="AZ5" s="7">
        <f t="shared" si="9"/>
        <v>0.10154155328343543</v>
      </c>
      <c r="BA5" s="7">
        <f t="shared" si="9"/>
        <v>8.4581768793658946E-2</v>
      </c>
      <c r="BB5" s="7">
        <f t="shared" si="9"/>
        <v>4.7929453428724213E-2</v>
      </c>
      <c r="BC5" s="7">
        <f t="shared" si="9"/>
        <v>0</v>
      </c>
      <c r="BE5" s="5">
        <f t="shared" si="15"/>
        <v>4.1870813871088187E-2</v>
      </c>
      <c r="BF5" s="5">
        <f t="shared" si="10"/>
        <v>0.22512132450468911</v>
      </c>
      <c r="BG5" s="8">
        <f t="shared" si="10"/>
        <v>0.38918478260869566</v>
      </c>
      <c r="BH5" s="8">
        <f t="shared" si="10"/>
        <v>0.25185974288603208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47</v>
      </c>
      <c r="D6" s="1">
        <v>17</v>
      </c>
      <c r="E6" s="1">
        <v>3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0.10638297872340426</v>
      </c>
      <c r="P6" s="30">
        <f t="shared" si="1"/>
        <v>5.8823529411764705E-2</v>
      </c>
      <c r="Q6" s="30">
        <f t="shared" si="2"/>
        <v>0.33333333333333331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0.93126022913256956</v>
      </c>
      <c r="X6" s="31">
        <f t="shared" si="5"/>
        <v>0.51493212669683264</v>
      </c>
      <c r="Y6" s="31">
        <f t="shared" si="5"/>
        <v>2.9179487179487178</v>
      </c>
      <c r="Z6" s="31">
        <f t="shared" si="5"/>
        <v>0</v>
      </c>
      <c r="AA6" s="31">
        <f t="shared" si="5"/>
        <v>0</v>
      </c>
      <c r="AB6" s="31">
        <f t="shared" si="6"/>
        <v>2.9179487179487178</v>
      </c>
      <c r="AC6" s="42">
        <f t="shared" si="11"/>
        <v>3</v>
      </c>
      <c r="AD6" s="31" t="str">
        <f t="shared" si="12"/>
        <v>5</v>
      </c>
      <c r="AE6" s="31">
        <f t="shared" si="7"/>
        <v>9.0766503000545548E-2</v>
      </c>
      <c r="AF6" s="31">
        <f t="shared" si="7"/>
        <v>4.6441140558787619E-2</v>
      </c>
      <c r="AG6" s="31">
        <f t="shared" si="7"/>
        <v>0.25283882783882783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8.8217513480671375E-2</v>
      </c>
      <c r="AM6" s="11">
        <f t="shared" si="8"/>
        <v>4.0792540792540792E-2</v>
      </c>
      <c r="AN6" s="11">
        <f t="shared" si="8"/>
        <v>0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0.96921939129305756</v>
      </c>
      <c r="AT6" s="12">
        <f t="shared" si="14"/>
        <v>0.31838518298846619</v>
      </c>
      <c r="AU6" s="12">
        <f t="shared" si="14"/>
        <v>0.36474358974358972</v>
      </c>
      <c r="AV6" s="12">
        <f t="shared" si="14"/>
        <v>0</v>
      </c>
      <c r="AW6" s="12">
        <f t="shared" si="14"/>
        <v>0</v>
      </c>
      <c r="AX6" s="13"/>
      <c r="AY6" s="12">
        <f t="shared" si="9"/>
        <v>7.1570652930279935E-2</v>
      </c>
      <c r="AZ6" s="12">
        <f t="shared" si="9"/>
        <v>2.9569048597478977E-2</v>
      </c>
      <c r="BA6" s="12">
        <f t="shared" si="9"/>
        <v>3.1604853479853479E-2</v>
      </c>
      <c r="BB6" s="12">
        <f t="shared" si="9"/>
        <v>0</v>
      </c>
      <c r="BC6" s="12">
        <f t="shared" si="9"/>
        <v>0</v>
      </c>
      <c r="BE6" s="14">
        <f t="shared" si="15"/>
        <v>0.18386136430461628</v>
      </c>
      <c r="BF6" s="14">
        <f t="shared" si="10"/>
        <v>0.11843835301873724</v>
      </c>
      <c r="BG6" s="15">
        <f t="shared" si="10"/>
        <v>0.25283882783882783</v>
      </c>
      <c r="BH6" s="15">
        <f t="shared" si="10"/>
        <v>0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566</v>
      </c>
      <c r="D7">
        <v>543</v>
      </c>
      <c r="E7">
        <v>265</v>
      </c>
      <c r="F7">
        <v>9</v>
      </c>
      <c r="G7">
        <v>0</v>
      </c>
      <c r="I7">
        <v>86</v>
      </c>
      <c r="J7">
        <v>85</v>
      </c>
      <c r="K7">
        <v>31</v>
      </c>
      <c r="L7">
        <v>1</v>
      </c>
      <c r="M7">
        <v>0</v>
      </c>
      <c r="O7" s="2">
        <f t="shared" si="0"/>
        <v>0.1519434628975265</v>
      </c>
      <c r="P7" s="2">
        <f t="shared" si="1"/>
        <v>0.15653775322283608</v>
      </c>
      <c r="Q7" s="2">
        <f t="shared" si="2"/>
        <v>0.1169811320754717</v>
      </c>
      <c r="R7" s="2">
        <f t="shared" si="3"/>
        <v>0.1111111111111111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1.0053003533568905</v>
      </c>
      <c r="X7" s="3">
        <f t="shared" si="5"/>
        <v>1.0356974602766713</v>
      </c>
      <c r="Y7" s="3">
        <f t="shared" si="5"/>
        <v>0.77397981570864416</v>
      </c>
      <c r="Z7" s="3">
        <f t="shared" si="5"/>
        <v>0.73514211886304914</v>
      </c>
      <c r="AA7" s="3">
        <f t="shared" si="5"/>
        <v>0</v>
      </c>
      <c r="AB7" s="3">
        <f t="shared" si="6"/>
        <v>1.0356974602766713</v>
      </c>
      <c r="AC7" s="44">
        <f t="shared" si="11"/>
        <v>543</v>
      </c>
      <c r="AD7" s="3" t="str">
        <f t="shared" si="12"/>
        <v>4</v>
      </c>
      <c r="AE7" s="3">
        <f t="shared" ref="AE7:AI14" si="17">IF(C7&gt;0,((I7*((3*86)+C7))/(4*C7*86))*(1-(C7-I7)/(569-86)),0)</f>
        <v>2.2606061936220221E-3</v>
      </c>
      <c r="AF7" s="3">
        <f t="shared" si="17"/>
        <v>1.8866270091767143E-2</v>
      </c>
      <c r="AG7" s="3">
        <f t="shared" si="17"/>
        <v>9.1687743071359074E-2</v>
      </c>
      <c r="AH7" s="3">
        <f t="shared" si="17"/>
        <v>8.4811899144558403E-2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531</v>
      </c>
      <c r="D8">
        <v>173</v>
      </c>
      <c r="E8">
        <v>2</v>
      </c>
      <c r="F8">
        <v>0</v>
      </c>
      <c r="G8">
        <v>0</v>
      </c>
      <c r="I8">
        <v>80</v>
      </c>
      <c r="J8">
        <v>17</v>
      </c>
      <c r="K8">
        <v>0</v>
      </c>
      <c r="L8">
        <v>0</v>
      </c>
      <c r="M8">
        <v>0</v>
      </c>
      <c r="O8" s="2">
        <f t="shared" si="0"/>
        <v>0.15065913370998116</v>
      </c>
      <c r="P8" s="2">
        <f t="shared" si="1"/>
        <v>9.8265895953757232E-2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0.99680287303464288</v>
      </c>
      <c r="X8" s="3">
        <f t="shared" si="5"/>
        <v>0.65015459067078918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0.99680287303464288</v>
      </c>
      <c r="AC8" s="44">
        <f t="shared" si="11"/>
        <v>531</v>
      </c>
      <c r="AD8" s="3" t="str">
        <f t="shared" si="12"/>
        <v>3</v>
      </c>
      <c r="AE8" s="3">
        <f t="shared" si="17"/>
        <v>2.2893746737382654E-2</v>
      </c>
      <c r="AF8" s="3">
        <f t="shared" si="17"/>
        <v>8.3353198144077004E-2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542</v>
      </c>
      <c r="D9">
        <v>268</v>
      </c>
      <c r="E9">
        <v>29</v>
      </c>
      <c r="F9">
        <v>3</v>
      </c>
      <c r="G9">
        <v>0</v>
      </c>
      <c r="I9">
        <v>81</v>
      </c>
      <c r="J9">
        <v>37</v>
      </c>
      <c r="K9">
        <v>2</v>
      </c>
      <c r="L9">
        <v>1</v>
      </c>
      <c r="M9">
        <v>0</v>
      </c>
      <c r="O9" s="2">
        <f t="shared" si="0"/>
        <v>0.14944649446494465</v>
      </c>
      <c r="P9" s="2">
        <f t="shared" si="1"/>
        <v>0.13805970149253732</v>
      </c>
      <c r="Q9" s="2">
        <f t="shared" si="2"/>
        <v>6.8965517241379309E-2</v>
      </c>
      <c r="R9" s="2">
        <f t="shared" si="3"/>
        <v>0.33333333333333331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0.98877971337852921</v>
      </c>
      <c r="X9" s="3">
        <f t="shared" si="5"/>
        <v>0.91344151336341561</v>
      </c>
      <c r="Y9" s="3">
        <f t="shared" si="5"/>
        <v>0.45629510825982361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4">
        <f t="shared" si="11"/>
        <v>3</v>
      </c>
      <c r="AD9" s="3" t="str">
        <f t="shared" si="12"/>
        <v>6</v>
      </c>
      <c r="AE9" s="3">
        <f t="shared" si="17"/>
        <v>1.583043419629632E-2</v>
      </c>
      <c r="AF9" s="3">
        <f t="shared" si="17"/>
        <v>0.11014065164571481</v>
      </c>
      <c r="AG9" s="3">
        <f t="shared" si="17"/>
        <v>5.4321676371116769E-2</v>
      </c>
      <c r="AH9" s="3">
        <f t="shared" si="17"/>
        <v>0.25185974288603208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21</v>
      </c>
      <c r="D10" s="1">
        <v>4</v>
      </c>
      <c r="E10" s="1">
        <v>0</v>
      </c>
      <c r="F10" s="1">
        <v>0</v>
      </c>
      <c r="G10" s="1">
        <v>0</v>
      </c>
      <c r="I10" s="1">
        <v>2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9.5238095238095233E-2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0.63012181616832774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0.63012181616832774</v>
      </c>
      <c r="AC10" s="45">
        <f t="shared" si="11"/>
        <v>21</v>
      </c>
      <c r="AD10" s="10" t="str">
        <f t="shared" si="12"/>
        <v>3</v>
      </c>
      <c r="AE10" s="10">
        <f t="shared" si="17"/>
        <v>7.4203999092053413E-2</v>
      </c>
      <c r="AF10" s="10">
        <f t="shared" si="17"/>
        <v>0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567</v>
      </c>
      <c r="D11">
        <v>445</v>
      </c>
      <c r="E11">
        <v>60</v>
      </c>
      <c r="F11">
        <v>2</v>
      </c>
      <c r="G11">
        <v>0</v>
      </c>
      <c r="I11">
        <v>86</v>
      </c>
      <c r="J11">
        <v>66</v>
      </c>
      <c r="K11">
        <v>7</v>
      </c>
      <c r="L11">
        <v>1</v>
      </c>
      <c r="M11">
        <v>0</v>
      </c>
      <c r="O11" s="28">
        <f t="shared" si="0"/>
        <v>0.15167548500881833</v>
      </c>
      <c r="P11" s="28">
        <f t="shared" si="1"/>
        <v>0.14831460674157304</v>
      </c>
      <c r="Q11" s="28">
        <f t="shared" si="2"/>
        <v>0.11666666666666667</v>
      </c>
      <c r="R11" s="28">
        <f t="shared" si="3"/>
        <v>0.5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1.0035273368606701</v>
      </c>
      <c r="X11" s="29">
        <f t="shared" si="18"/>
        <v>0.98129082832505887</v>
      </c>
      <c r="Y11" s="29">
        <f t="shared" si="18"/>
        <v>0.77189922480620166</v>
      </c>
      <c r="Z11" s="29">
        <f t="shared" ref="Z11:Z53" si="19">R11/$U11</f>
        <v>3.308139534883721</v>
      </c>
      <c r="AA11" s="29">
        <f t="shared" ref="AA11:AA53" si="20">S11/$U11</f>
        <v>0</v>
      </c>
      <c r="AB11" s="29">
        <f t="shared" si="6"/>
        <v>3.308139534883721</v>
      </c>
      <c r="AC11" s="41">
        <f t="shared" si="11"/>
        <v>2</v>
      </c>
      <c r="AD11" s="29" t="str">
        <f t="shared" si="12"/>
        <v>6</v>
      </c>
      <c r="AE11" s="29">
        <f t="shared" si="17"/>
        <v>1.5062385662799637E-3</v>
      </c>
      <c r="AF11" s="29">
        <f t="shared" si="17"/>
        <v>6.5262997304214754E-2</v>
      </c>
      <c r="AG11" s="29">
        <f t="shared" si="17"/>
        <v>9.6014492753623198E-2</v>
      </c>
      <c r="AH11" s="29">
        <f t="shared" si="17"/>
        <v>0.37712456064326638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1.1296086216676122</v>
      </c>
      <c r="AT11" s="5">
        <f t="shared" si="21"/>
        <v>4.5486918604651168</v>
      </c>
      <c r="AU11" s="5">
        <f t="shared" si="21"/>
        <v>4.9478260869565212</v>
      </c>
      <c r="AV11" s="5">
        <f t="shared" si="21"/>
        <v>3.308139534883721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528</v>
      </c>
      <c r="D12">
        <v>114</v>
      </c>
      <c r="E12">
        <v>1</v>
      </c>
      <c r="F12">
        <v>0</v>
      </c>
      <c r="G12">
        <v>0</v>
      </c>
      <c r="I12">
        <v>79</v>
      </c>
      <c r="J12">
        <v>15</v>
      </c>
      <c r="K12">
        <v>0</v>
      </c>
      <c r="L12">
        <v>0</v>
      </c>
      <c r="M12">
        <v>0</v>
      </c>
      <c r="O12" s="28">
        <f t="shared" si="0"/>
        <v>0.14962121212121213</v>
      </c>
      <c r="P12" s="28">
        <f t="shared" si="1"/>
        <v>0.13157894736842105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0.98993569415081051</v>
      </c>
      <c r="X12" s="29">
        <f t="shared" si="18"/>
        <v>0.87056303549571601</v>
      </c>
      <c r="Y12" s="29">
        <f t="shared" si="18"/>
        <v>0</v>
      </c>
      <c r="Z12" s="29">
        <f t="shared" si="19"/>
        <v>0</v>
      </c>
      <c r="AA12" s="29">
        <f t="shared" si="20"/>
        <v>0</v>
      </c>
      <c r="AB12" s="29">
        <f t="shared" si="6"/>
        <v>0.98993569415081051</v>
      </c>
      <c r="AC12" s="41">
        <f t="shared" si="11"/>
        <v>528</v>
      </c>
      <c r="AD12" s="29" t="str">
        <f t="shared" si="12"/>
        <v>3</v>
      </c>
      <c r="AE12" s="29">
        <f t="shared" si="17"/>
        <v>2.4065176902638968E-2</v>
      </c>
      <c r="AF12" s="29">
        <f t="shared" si="17"/>
        <v>0.11312406395158775</v>
      </c>
      <c r="AG12" s="29">
        <f t="shared" si="17"/>
        <v>0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2.1836622807017543</v>
      </c>
      <c r="AT12" s="8">
        <f t="shared" si="21"/>
        <v>2.0201183431952665</v>
      </c>
      <c r="AU12" s="8">
        <f t="shared" si="21"/>
        <v>2.7487922705314007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561</v>
      </c>
      <c r="D13">
        <v>340</v>
      </c>
      <c r="E13">
        <v>40</v>
      </c>
      <c r="F13">
        <v>1</v>
      </c>
      <c r="G13">
        <v>0</v>
      </c>
      <c r="I13">
        <v>86</v>
      </c>
      <c r="J13">
        <v>45</v>
      </c>
      <c r="K13">
        <v>3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0.13235294117647059</v>
      </c>
      <c r="Q13" s="28">
        <f t="shared" si="2"/>
        <v>7.4999999999999997E-2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1.0142602495543671</v>
      </c>
      <c r="X13" s="29">
        <f t="shared" si="18"/>
        <v>0.8756839945280438</v>
      </c>
      <c r="Y13" s="29">
        <f t="shared" si="18"/>
        <v>0.49622093023255814</v>
      </c>
      <c r="Z13" s="29">
        <f t="shared" si="19"/>
        <v>0</v>
      </c>
      <c r="AA13" s="29">
        <f t="shared" si="20"/>
        <v>0</v>
      </c>
      <c r="AB13" s="29">
        <f t="shared" si="6"/>
        <v>1.0142602495543671</v>
      </c>
      <c r="AC13" s="41">
        <f t="shared" si="11"/>
        <v>561</v>
      </c>
      <c r="AD13" s="29" t="str">
        <f t="shared" si="12"/>
        <v>3</v>
      </c>
      <c r="AE13" s="29">
        <f t="shared" si="17"/>
        <v>6.045105789351312E-3</v>
      </c>
      <c r="AF13" s="29">
        <f t="shared" si="17"/>
        <v>8.9554426421731489E-2</v>
      </c>
      <c r="AG13" s="29">
        <f t="shared" si="17"/>
        <v>5.9993861042900477E-2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1.1402805611222446</v>
      </c>
      <c r="AT13" s="8">
        <f t="shared" si="21"/>
        <v>2.3351573187414503</v>
      </c>
      <c r="AU13" s="8">
        <f t="shared" si="21"/>
        <v>4.1231884057971016</v>
      </c>
      <c r="AV13" s="5">
        <f t="shared" si="21"/>
        <v>2.9635416666666665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44</v>
      </c>
      <c r="D14" s="1">
        <v>13</v>
      </c>
      <c r="E14" s="1">
        <v>1</v>
      </c>
      <c r="F14" s="1">
        <v>0</v>
      </c>
      <c r="G14" s="1">
        <v>0</v>
      </c>
      <c r="I14" s="1">
        <v>4</v>
      </c>
      <c r="J14" s="1">
        <v>2</v>
      </c>
      <c r="K14" s="1">
        <v>0</v>
      </c>
      <c r="L14" s="1">
        <v>0</v>
      </c>
      <c r="M14" s="1">
        <v>0</v>
      </c>
      <c r="O14" s="30">
        <f t="shared" si="0"/>
        <v>9.0909090909090912E-2</v>
      </c>
      <c r="P14" s="30">
        <f t="shared" si="1"/>
        <v>0.15384615384615385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0.60147991543340384</v>
      </c>
      <c r="X14" s="31">
        <f t="shared" si="18"/>
        <v>1.0178890876565296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1.0178890876565296</v>
      </c>
      <c r="AC14" s="42">
        <f t="shared" si="11"/>
        <v>13</v>
      </c>
      <c r="AD14" s="31" t="str">
        <f t="shared" si="12"/>
        <v>4</v>
      </c>
      <c r="AE14" s="31">
        <f t="shared" si="17"/>
        <v>7.3200224110234219E-2</v>
      </c>
      <c r="AF14" s="31">
        <f t="shared" si="17"/>
        <v>0.11843835301873724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3.7434210526315788</v>
      </c>
      <c r="AT14" s="15">
        <f t="shared" si="21"/>
        <v>1.0178890876565296</v>
      </c>
      <c r="AU14" s="15">
        <f t="shared" si="21"/>
        <v>2.9179487179487178</v>
      </c>
      <c r="AV14" s="14">
        <f t="shared" si="21"/>
        <v>0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551</v>
      </c>
      <c r="D15" s="25">
        <v>342</v>
      </c>
      <c r="E15" s="25">
        <v>22</v>
      </c>
      <c r="F15" s="25">
        <v>0</v>
      </c>
      <c r="G15" s="25">
        <v>0</v>
      </c>
      <c r="I15" s="25">
        <v>22</v>
      </c>
      <c r="J15" s="25">
        <v>11</v>
      </c>
      <c r="K15" s="25">
        <v>2</v>
      </c>
      <c r="L15" s="25">
        <v>0</v>
      </c>
      <c r="M15" s="25">
        <v>0</v>
      </c>
      <c r="O15" s="2">
        <f t="shared" si="0"/>
        <v>3.9927404718693285E-2</v>
      </c>
      <c r="P15" s="2">
        <f t="shared" si="1"/>
        <v>3.2163742690058478E-2</v>
      </c>
      <c r="Q15" s="2">
        <f t="shared" si="2"/>
        <v>9.0909090909090912E-2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0.78340321672194757</v>
      </c>
      <c r="X15" s="3">
        <f t="shared" si="18"/>
        <v>0.63107481347045769</v>
      </c>
      <c r="Y15" s="3">
        <f t="shared" si="18"/>
        <v>1.7836990595611286</v>
      </c>
      <c r="Z15" s="3">
        <f t="shared" si="19"/>
        <v>0</v>
      </c>
      <c r="AA15" s="3">
        <f t="shared" si="20"/>
        <v>0</v>
      </c>
      <c r="AB15" s="3">
        <f t="shared" si="6"/>
        <v>1.7836990595611286</v>
      </c>
      <c r="AC15" s="44">
        <f t="shared" si="11"/>
        <v>22</v>
      </c>
      <c r="AD15" s="3" t="str">
        <f t="shared" si="12"/>
        <v>5</v>
      </c>
      <c r="AE15" s="3">
        <f t="shared" ref="AE15:AI18" si="22">IF(C15&gt;0,((I15*((3*29)+C15))/(4*C15*29))*(1-(C15-I15)/(569-29)),0)</f>
        <v>4.4733481212610076E-3</v>
      </c>
      <c r="AF15" s="3">
        <f t="shared" si="22"/>
        <v>4.6038207747977865E-2</v>
      </c>
      <c r="AG15" s="3">
        <f t="shared" si="22"/>
        <v>8.2259375362823642E-2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568</v>
      </c>
      <c r="D16" s="25">
        <v>532</v>
      </c>
      <c r="E16" s="25">
        <v>203</v>
      </c>
      <c r="F16" s="25">
        <v>8</v>
      </c>
      <c r="G16" s="25">
        <v>0</v>
      </c>
      <c r="I16" s="25">
        <v>29</v>
      </c>
      <c r="J16" s="25">
        <v>26</v>
      </c>
      <c r="K16" s="25">
        <v>8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4.8872180451127817E-2</v>
      </c>
      <c r="Q16" s="2">
        <f t="shared" si="2"/>
        <v>3.9408866995073892E-2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1.0017605633802817</v>
      </c>
      <c r="X16" s="3">
        <f t="shared" si="18"/>
        <v>0.95890588540316302</v>
      </c>
      <c r="Y16" s="3">
        <f t="shared" si="18"/>
        <v>0.77322914897231187</v>
      </c>
      <c r="Z16" s="3">
        <f t="shared" si="19"/>
        <v>0</v>
      </c>
      <c r="AA16" s="3">
        <f t="shared" si="20"/>
        <v>0</v>
      </c>
      <c r="AB16" s="3">
        <f t="shared" si="6"/>
        <v>1.0017605633802817</v>
      </c>
      <c r="AC16" s="44">
        <f t="shared" si="11"/>
        <v>568</v>
      </c>
      <c r="AD16" s="3" t="str">
        <f t="shared" si="12"/>
        <v>3</v>
      </c>
      <c r="AE16" s="3">
        <f t="shared" si="22"/>
        <v>5.3387454355765087E-4</v>
      </c>
      <c r="AF16" s="3">
        <f t="shared" si="22"/>
        <v>1.6420241216067E-2</v>
      </c>
      <c r="AG16" s="3">
        <f t="shared" si="22"/>
        <v>6.2944718117131912E-2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555</v>
      </c>
      <c r="D17" s="25">
        <v>223</v>
      </c>
      <c r="E17" s="25">
        <v>20</v>
      </c>
      <c r="F17" s="25">
        <v>0</v>
      </c>
      <c r="G17" s="25">
        <v>0</v>
      </c>
      <c r="I17" s="25">
        <v>26</v>
      </c>
      <c r="J17" s="25">
        <v>8</v>
      </c>
      <c r="K17" s="25">
        <v>1</v>
      </c>
      <c r="L17" s="25">
        <v>0</v>
      </c>
      <c r="M17" s="25">
        <v>0</v>
      </c>
      <c r="O17" s="2">
        <f t="shared" si="0"/>
        <v>4.6846846846846847E-2</v>
      </c>
      <c r="P17" s="2">
        <f t="shared" si="1"/>
        <v>3.5874439461883408E-2</v>
      </c>
      <c r="Q17" s="2">
        <f t="shared" si="2"/>
        <v>0.05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0.91916744330537437</v>
      </c>
      <c r="X17" s="3">
        <f t="shared" si="18"/>
        <v>0.70388124323488477</v>
      </c>
      <c r="Y17" s="3">
        <f t="shared" si="18"/>
        <v>0.98103448275862071</v>
      </c>
      <c r="Z17" s="3">
        <f t="shared" si="19"/>
        <v>0</v>
      </c>
      <c r="AA17" s="3">
        <f t="shared" si="20"/>
        <v>0</v>
      </c>
      <c r="AB17" s="3">
        <f t="shared" si="6"/>
        <v>0.98103448275862071</v>
      </c>
      <c r="AC17" s="44">
        <f t="shared" si="11"/>
        <v>20</v>
      </c>
      <c r="AD17" s="3" t="str">
        <f t="shared" si="12"/>
        <v>5</v>
      </c>
      <c r="AE17" s="3">
        <f t="shared" si="22"/>
        <v>5.2814883849366607E-3</v>
      </c>
      <c r="AF17" s="3">
        <f t="shared" si="22"/>
        <v>5.770034763385621E-2</v>
      </c>
      <c r="AG17" s="3">
        <f t="shared" si="22"/>
        <v>4.449792464878672E-2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113</v>
      </c>
      <c r="D18" s="1">
        <v>7</v>
      </c>
      <c r="E18" s="1">
        <v>0</v>
      </c>
      <c r="F18" s="1">
        <v>0</v>
      </c>
      <c r="G18" s="1">
        <v>0</v>
      </c>
      <c r="I18" s="1">
        <v>3</v>
      </c>
      <c r="J18" s="1">
        <v>0</v>
      </c>
      <c r="K18" s="1">
        <v>0</v>
      </c>
      <c r="L18" s="1">
        <v>0</v>
      </c>
      <c r="M18" s="1">
        <v>0</v>
      </c>
      <c r="O18" s="9">
        <f t="shared" si="0"/>
        <v>2.6548672566371681E-2</v>
      </c>
      <c r="P18" s="9">
        <f t="shared" si="1"/>
        <v>0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0.52090326518156849</v>
      </c>
      <c r="X18" s="10">
        <f t="shared" si="18"/>
        <v>0</v>
      </c>
      <c r="Y18" s="10">
        <f t="shared" si="18"/>
        <v>0</v>
      </c>
      <c r="Z18" s="10">
        <f t="shared" si="19"/>
        <v>0</v>
      </c>
      <c r="AA18" s="10">
        <f t="shared" si="20"/>
        <v>0</v>
      </c>
      <c r="AB18" s="10">
        <f t="shared" si="6"/>
        <v>0.52090326518156849</v>
      </c>
      <c r="AC18" s="45">
        <f t="shared" si="11"/>
        <v>113</v>
      </c>
      <c r="AD18" s="10" t="str">
        <f t="shared" si="12"/>
        <v>3</v>
      </c>
      <c r="AE18" s="10">
        <f t="shared" si="22"/>
        <v>3.6449326958939411E-2</v>
      </c>
      <c r="AF18" s="10">
        <f t="shared" si="22"/>
        <v>0</v>
      </c>
      <c r="AG18" s="10">
        <f t="shared" si="22"/>
        <v>0</v>
      </c>
      <c r="AH18" s="10">
        <f t="shared" si="22"/>
        <v>0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568</v>
      </c>
      <c r="D19">
        <v>561</v>
      </c>
      <c r="E19">
        <v>336</v>
      </c>
      <c r="F19">
        <v>19</v>
      </c>
      <c r="G19">
        <v>0</v>
      </c>
      <c r="I19">
        <v>32</v>
      </c>
      <c r="J19">
        <v>31</v>
      </c>
      <c r="K19">
        <v>15</v>
      </c>
      <c r="L19">
        <v>3</v>
      </c>
      <c r="M19">
        <v>0</v>
      </c>
      <c r="O19" s="28">
        <f t="shared" si="0"/>
        <v>5.6338028169014086E-2</v>
      </c>
      <c r="P19" s="28">
        <f t="shared" si="1"/>
        <v>5.5258467023172907E-2</v>
      </c>
      <c r="Q19" s="28">
        <f t="shared" si="2"/>
        <v>4.4642857142857144E-2</v>
      </c>
      <c r="R19" s="28">
        <f t="shared" si="3"/>
        <v>0.15789473684210525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3" si="23">O19/$U19</f>
        <v>1.0017605633802817</v>
      </c>
      <c r="X19" s="29">
        <f t="shared" ref="X19:X53" si="24">P19/$U19</f>
        <v>0.98256461675579332</v>
      </c>
      <c r="Y19" s="29">
        <f t="shared" ref="Y19:Y53" si="25">Q19/$U19</f>
        <v>0.7938058035714286</v>
      </c>
      <c r="Z19" s="29">
        <f t="shared" si="19"/>
        <v>2.8075657894736841</v>
      </c>
      <c r="AA19" s="29">
        <f t="shared" si="20"/>
        <v>0</v>
      </c>
      <c r="AB19" s="29">
        <f t="shared" si="6"/>
        <v>2.8075657894736841</v>
      </c>
      <c r="AC19" s="41">
        <f t="shared" si="11"/>
        <v>19</v>
      </c>
      <c r="AD19" s="29" t="str">
        <f t="shared" si="12"/>
        <v>6</v>
      </c>
      <c r="AE19" s="29">
        <f t="shared" ref="AE19:AI22" si="26">IF(C19&gt;0,((I19*((3*32)+C19))/(4*C19*32))*(1-(C19-I19)/(569-32)),0)</f>
        <v>5.4423374511502597E-4</v>
      </c>
      <c r="AF19" s="29">
        <f t="shared" si="26"/>
        <v>3.697242927135315E-3</v>
      </c>
      <c r="AG19" s="29">
        <f t="shared" si="26"/>
        <v>6.0604549082202711E-2</v>
      </c>
      <c r="AH19" s="29">
        <f t="shared" si="26"/>
        <v>0.13763185460158778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57</v>
      </c>
      <c r="D20">
        <v>6</v>
      </c>
      <c r="E20">
        <v>1</v>
      </c>
      <c r="F20">
        <v>0</v>
      </c>
      <c r="G20">
        <v>0</v>
      </c>
      <c r="I20">
        <v>7</v>
      </c>
      <c r="J20">
        <v>0</v>
      </c>
      <c r="K20">
        <v>0</v>
      </c>
      <c r="L20">
        <v>0</v>
      </c>
      <c r="M20">
        <v>0</v>
      </c>
      <c r="O20" s="28">
        <f t="shared" si="0"/>
        <v>0.12280701754385964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2.1836622807017543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2.1836622807017543</v>
      </c>
      <c r="AC20" s="41">
        <f t="shared" si="11"/>
        <v>57</v>
      </c>
      <c r="AD20" s="29" t="str">
        <f t="shared" si="12"/>
        <v>3</v>
      </c>
      <c r="AE20" s="29">
        <f t="shared" si="26"/>
        <v>0.13312490811526023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475</v>
      </c>
      <c r="E21">
        <v>132</v>
      </c>
      <c r="F21">
        <v>6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0.04</v>
      </c>
      <c r="Q21" s="28">
        <f t="shared" si="2"/>
        <v>3.787878787878788E-2</v>
      </c>
      <c r="R21" s="28">
        <f t="shared" si="3"/>
        <v>0.16666666666666666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0.71125000000000005</v>
      </c>
      <c r="Y21" s="29">
        <f t="shared" si="25"/>
        <v>0.67353219696969702</v>
      </c>
      <c r="Z21" s="29">
        <f t="shared" si="19"/>
        <v>2.9635416666666665</v>
      </c>
      <c r="AA21" s="29">
        <f t="shared" si="20"/>
        <v>0</v>
      </c>
      <c r="AB21" s="29">
        <f t="shared" si="6"/>
        <v>2.9635416666666665</v>
      </c>
      <c r="AC21" s="41">
        <f t="shared" si="11"/>
        <v>6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2.6915153631284917E-2</v>
      </c>
      <c r="AG21" s="29">
        <f t="shared" si="26"/>
        <v>5.1514622481801255E-2</v>
      </c>
      <c r="AH21" s="29">
        <f t="shared" si="26"/>
        <v>0.13157588454376162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19</v>
      </c>
      <c r="D22" s="1">
        <v>2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0.21052631578947367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3.7434210526315788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3.7434210526315788</v>
      </c>
      <c r="AC22" s="42">
        <f t="shared" si="11"/>
        <v>19</v>
      </c>
      <c r="AD22" s="31" t="str">
        <f t="shared" si="12"/>
        <v>3</v>
      </c>
      <c r="AE22" s="31">
        <f t="shared" si="26"/>
        <v>0.18386136430461628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492</v>
      </c>
      <c r="D23" s="25">
        <v>64</v>
      </c>
      <c r="E23" s="25">
        <v>1</v>
      </c>
      <c r="F23" s="25">
        <v>0</v>
      </c>
      <c r="G23" s="25">
        <v>0</v>
      </c>
      <c r="I23" s="25">
        <v>42</v>
      </c>
      <c r="J23" s="25">
        <v>22</v>
      </c>
      <c r="K23" s="25">
        <v>0</v>
      </c>
      <c r="L23" s="25">
        <v>0</v>
      </c>
      <c r="M23" s="25">
        <v>0</v>
      </c>
      <c r="O23" s="2">
        <f t="shared" si="0"/>
        <v>8.5365853658536592E-2</v>
      </c>
      <c r="P23" s="2">
        <f t="shared" si="1"/>
        <v>0.34375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1.1296086216676122</v>
      </c>
      <c r="X23" s="3">
        <f t="shared" si="24"/>
        <v>4.5486918604651168</v>
      </c>
      <c r="Y23" s="3">
        <f t="shared" si="25"/>
        <v>0</v>
      </c>
      <c r="Z23" s="3">
        <f t="shared" si="19"/>
        <v>0</v>
      </c>
      <c r="AA23" s="3">
        <f t="shared" si="20"/>
        <v>0</v>
      </c>
      <c r="AB23" s="3">
        <f t="shared" si="6"/>
        <v>4.5486918604651168</v>
      </c>
      <c r="AC23" s="44">
        <f t="shared" si="11"/>
        <v>64</v>
      </c>
      <c r="AD23" s="3" t="str">
        <f t="shared" si="12"/>
        <v>4</v>
      </c>
      <c r="AE23" s="3">
        <f t="shared" ref="AE23:AI26" si="27">IF(C23&gt;0,((I23*((3*43)+C23))/(4*C23*43))*(1-(C23-I23)/(569-43)),0)</f>
        <v>4.4532306451369408E-2</v>
      </c>
      <c r="AF23" s="3">
        <f t="shared" si="27"/>
        <v>0.35492058316385178</v>
      </c>
      <c r="AG23" s="3">
        <f t="shared" si="27"/>
        <v>0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1.3232558139534885</v>
      </c>
      <c r="X24" s="3">
        <f t="shared" si="24"/>
        <v>0</v>
      </c>
      <c r="Y24" s="3">
        <f t="shared" si="25"/>
        <v>0</v>
      </c>
      <c r="Z24" s="3">
        <f t="shared" si="19"/>
        <v>0</v>
      </c>
      <c r="AA24" s="3">
        <f t="shared" si="20"/>
        <v>0</v>
      </c>
      <c r="AB24" s="3">
        <f t="shared" si="6"/>
        <v>1.3232558139534885</v>
      </c>
      <c r="AC24" s="44">
        <f t="shared" si="11"/>
        <v>10</v>
      </c>
      <c r="AD24" s="3" t="str">
        <f t="shared" si="12"/>
        <v>3</v>
      </c>
      <c r="AE24" s="3">
        <f t="shared" si="27"/>
        <v>7.9431205234768765E-2</v>
      </c>
      <c r="AF24" s="3">
        <f t="shared" si="27"/>
        <v>0</v>
      </c>
      <c r="AG24" s="3">
        <f t="shared" si="27"/>
        <v>0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499</v>
      </c>
      <c r="D25" s="25">
        <v>170</v>
      </c>
      <c r="E25" s="25">
        <v>6</v>
      </c>
      <c r="F25" s="25">
        <v>0</v>
      </c>
      <c r="G25" s="25">
        <v>0</v>
      </c>
      <c r="I25" s="25">
        <v>43</v>
      </c>
      <c r="J25" s="25">
        <v>30</v>
      </c>
      <c r="K25" s="25">
        <v>0</v>
      </c>
      <c r="L25" s="25">
        <v>0</v>
      </c>
      <c r="M25" s="25">
        <v>0</v>
      </c>
      <c r="O25" s="2">
        <f t="shared" si="0"/>
        <v>8.617234468937876E-2</v>
      </c>
      <c r="P25" s="2">
        <f t="shared" si="1"/>
        <v>0.17647058823529413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1.1402805611222446</v>
      </c>
      <c r="X25" s="3">
        <f t="shared" si="24"/>
        <v>2.3351573187414503</v>
      </c>
      <c r="Y25" s="3">
        <f t="shared" si="25"/>
        <v>0</v>
      </c>
      <c r="Z25" s="3">
        <f t="shared" si="19"/>
        <v>0</v>
      </c>
      <c r="AA25" s="3">
        <f t="shared" si="20"/>
        <v>0</v>
      </c>
      <c r="AB25" s="3">
        <f t="shared" si="6"/>
        <v>2.3351573187414503</v>
      </c>
      <c r="AC25" s="44">
        <f t="shared" si="11"/>
        <v>170</v>
      </c>
      <c r="AD25" s="3" t="str">
        <f t="shared" si="12"/>
        <v>4</v>
      </c>
      <c r="AE25" s="3">
        <f t="shared" si="27"/>
        <v>4.1870813871088187E-2</v>
      </c>
      <c r="AF25" s="3">
        <f t="shared" si="27"/>
        <v>0.22512132450468911</v>
      </c>
      <c r="AG25" s="3">
        <f t="shared" si="27"/>
        <v>0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14</v>
      </c>
      <c r="D26" s="1">
        <v>0</v>
      </c>
      <c r="E26" s="1">
        <v>0</v>
      </c>
      <c r="F26" s="1">
        <v>0</v>
      </c>
      <c r="G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0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0</v>
      </c>
      <c r="X26" s="10">
        <f t="shared" si="24"/>
        <v>0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0</v>
      </c>
      <c r="AC26" s="45">
        <f t="shared" si="11"/>
        <v>14</v>
      </c>
      <c r="AD26" s="10" t="str">
        <f t="shared" si="12"/>
        <v>3</v>
      </c>
      <c r="AE26" s="10">
        <f t="shared" si="27"/>
        <v>0</v>
      </c>
      <c r="AF26" s="10">
        <f t="shared" si="27"/>
        <v>0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567</v>
      </c>
      <c r="D27" s="25">
        <v>530</v>
      </c>
      <c r="E27" s="25">
        <v>165</v>
      </c>
      <c r="F27" s="25">
        <v>24</v>
      </c>
      <c r="G27" s="25">
        <v>0</v>
      </c>
      <c r="I27" s="25">
        <v>51</v>
      </c>
      <c r="J27" s="25">
        <v>45</v>
      </c>
      <c r="K27" s="25">
        <v>11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8.4905660377358486E-2</v>
      </c>
      <c r="Q27" s="2">
        <f t="shared" si="2"/>
        <v>6.6666666666666666E-2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1.0035273368606701</v>
      </c>
      <c r="X27" s="3">
        <f t="shared" si="24"/>
        <v>0.9472807991120975</v>
      </c>
      <c r="Y27" s="3">
        <f t="shared" si="25"/>
        <v>0.74379084967320253</v>
      </c>
      <c r="Z27" s="3">
        <f t="shared" si="19"/>
        <v>0</v>
      </c>
      <c r="AA27" s="3">
        <f t="shared" si="20"/>
        <v>0</v>
      </c>
      <c r="AB27" s="3">
        <f t="shared" si="6"/>
        <v>1.0035273368606701</v>
      </c>
      <c r="AC27" s="44">
        <f t="shared" si="11"/>
        <v>567</v>
      </c>
      <c r="AD27" s="3" t="str">
        <f t="shared" si="12"/>
        <v>3</v>
      </c>
      <c r="AE27" s="3">
        <f t="shared" ref="AE27:AI30" si="28">IF(C27&gt;0,((I27*((3*51)+C27))/(4*C27*51))*(1-(C27-I27)/(569-51)),0)</f>
        <v>1.2257155114297946E-3</v>
      </c>
      <c r="AF27" s="3">
        <f t="shared" si="28"/>
        <v>1.8109704361091706E-2</v>
      </c>
      <c r="AG27" s="3">
        <f t="shared" si="28"/>
        <v>7.3025967143614201E-2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7</v>
      </c>
      <c r="AT27" s="24">
        <f t="shared" si="29"/>
        <v>4</v>
      </c>
      <c r="AU27" s="7">
        <f t="shared" si="29"/>
        <v>3</v>
      </c>
      <c r="AV27" s="7">
        <f t="shared" si="29"/>
        <v>2</v>
      </c>
      <c r="AW27" s="18">
        <f t="shared" si="29"/>
        <v>0</v>
      </c>
      <c r="AX27" s="4"/>
      <c r="AY27" t="s">
        <v>26</v>
      </c>
      <c r="AZ27" s="5">
        <f>MAX(W3:AA6)</f>
        <v>2.9179487179487178</v>
      </c>
      <c r="BA27" s="5">
        <f>_xlfn.IFNA(VLOOKUP(AZ27, W3:AI6,8,0), _xlfn.IFNA(VLOOKUP(AZ27, X3:AI6,8,0), _xlfn.IFNA(VLOOKUP(AZ27, Y3:AI6,8,0), _xlfn.IFNA(VLOOKUP(AZ27, Z3:AI6,8,0), VLOOKUP(AZ27, AA3:AI6,8,0)))))</f>
        <v>4.6441140558787619E-2</v>
      </c>
      <c r="BB27" t="s">
        <v>26</v>
      </c>
      <c r="BC27" s="5">
        <f>MAX(AE3:AI6)</f>
        <v>0.29656318180908342</v>
      </c>
      <c r="BE27" t="s">
        <v>26</v>
      </c>
      <c r="BF27" s="4">
        <f>MAX($W3:$AA3)</f>
        <v>2.8701134930643128</v>
      </c>
      <c r="BG27" s="5">
        <f>_xlfn.IFNA(VLOOKUP($BF27, $W3:$AI3,8,0), _xlfn.IFNA(VLOOKUP($BF27, $X3:$AI3,8,0), _xlfn.IFNA(VLOOKUP($BF27, $Y3:$AI3,8,0), _xlfn.IFNA(VLOOKUP($BF27, $Z3:$AI3,8,0), VLOOKUP($BF27, $AA3:$AI3,8,0)))))</f>
        <v>8.1429681429681419E-2</v>
      </c>
      <c r="BI27" t="s">
        <v>26</v>
      </c>
      <c r="BJ27" s="4">
        <f>MAX($W4:$AA4)</f>
        <v>2.0201183431952665</v>
      </c>
      <c r="BK27" s="5">
        <f>_xlfn.IFNA(VLOOKUP($BJ27, $W4:$AI4,8,0), _xlfn.IFNA(VLOOKUP($BJ27, $X4:$AI4,8,0), _xlfn.IFNA(VLOOKUP($BJ27, $Y4:$AI4,8,0), _xlfn.IFNA(VLOOKUP($BJ27, $Z4:$AI4,8,0), VLOOKUP($BJ27, $AA4:$AI4,8,0)))))</f>
        <v>4.888900056582985E-2</v>
      </c>
      <c r="BM27" t="s">
        <v>26</v>
      </c>
      <c r="BN27" s="4">
        <f>MAX($W5:$AA5)</f>
        <v>1.0718995290423863</v>
      </c>
      <c r="BO27" s="5">
        <f>_xlfn.IFNA(VLOOKUP($BN27, $W5:$AI5,8,0), _xlfn.IFNA(VLOOKUP($BN27, $X5:$AI5,8,0), _xlfn.IFNA(VLOOKUP($BN27, $Y5:$AI5,8,0), _xlfn.IFNA(VLOOKUP($BN27, $Z5:$AI5,8,0), VLOOKUP($BN27, $AA5:$AI5,8,0)))))</f>
        <v>5.3475935828877193E-3</v>
      </c>
      <c r="BQ27" t="s">
        <v>26</v>
      </c>
      <c r="BR27" s="4">
        <f>MAX($W6:$AA6)</f>
        <v>2.9179487179487178</v>
      </c>
      <c r="BS27" s="5">
        <f>_xlfn.IFNA(VLOOKUP($BR27, $W6:$AI6,8,0), _xlfn.IFNA(VLOOKUP($BR27, $X6:$AI6,8,0), _xlfn.IFNA(VLOOKUP($BR27, $Y6:$AI6,8,0), _xlfn.IFNA(VLOOKUP($BR27, $Z6:$AI6,8,0), VLOOKUP($BR27, $AA6:$AI6,8,0)))))</f>
        <v>4.6441140558787619E-2</v>
      </c>
    </row>
    <row r="28" spans="1:71" x14ac:dyDescent="0.3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0.61982570806100212</v>
      </c>
      <c r="X28" s="3">
        <f t="shared" si="24"/>
        <v>0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0.61982570806100212</v>
      </c>
      <c r="AC28" s="44">
        <f t="shared" si="11"/>
        <v>18</v>
      </c>
      <c r="AD28" s="3" t="str">
        <f t="shared" si="12"/>
        <v>3</v>
      </c>
      <c r="AE28" s="3">
        <f t="shared" si="28"/>
        <v>4.5040313422666366E-2</v>
      </c>
      <c r="AF28" s="3">
        <f t="shared" si="28"/>
        <v>0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4</v>
      </c>
      <c r="AT28" s="26">
        <f t="shared" si="29"/>
        <v>1</v>
      </c>
      <c r="AU28" s="4">
        <f t="shared" si="29"/>
        <v>1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5.4321676371116769E-2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1.0356974602766713</v>
      </c>
      <c r="BG28" s="5">
        <f>_xlfn.IFNA(VLOOKUP($BF28, $W7:$AI7,8,0), _xlfn.IFNA(VLOOKUP($BF28, $X7:$AI7,8,0), _xlfn.IFNA(VLOOKUP($BF28, $Y7:$AI7,8,0), _xlfn.IFNA(VLOOKUP($BF28, $Z7:$AI7,8,0), VLOOKUP($BF28, $AA7:$AI7,8,0)))))</f>
        <v>2.2606061936220221E-3</v>
      </c>
      <c r="BI28" t="s">
        <v>31</v>
      </c>
      <c r="BJ28" s="4">
        <f>MAX($W8:$AA8)</f>
        <v>0.99680287303464288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2.2054263565891472</v>
      </c>
      <c r="BO28" s="5">
        <f>_xlfn.IFNA(VLOOKUP($BN28, $W9:$AI9,8,0), _xlfn.IFNA(VLOOKUP($BN28, $X9:$AI9,8,0), _xlfn.IFNA(VLOOKUP($BN28, $Y9:$AI9,8,0), _xlfn.IFNA(VLOOKUP($BN28, $Z9:$AI9,8,0), VLOOKUP($BN28, $AA9:$AI9,8,0)))))</f>
        <v>5.4321676371116769E-2</v>
      </c>
      <c r="BQ28" t="s">
        <v>31</v>
      </c>
      <c r="BR28" s="4">
        <f>MAX($W10:$AA10)</f>
        <v>0.63012181616832774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2" t="s">
        <v>33</v>
      </c>
      <c r="B29" t="s">
        <v>29</v>
      </c>
      <c r="C29" s="25">
        <v>543</v>
      </c>
      <c r="D29" s="25">
        <v>165</v>
      </c>
      <c r="E29" s="25">
        <v>17</v>
      </c>
      <c r="F29" s="25">
        <v>1</v>
      </c>
      <c r="G29" s="25">
        <v>0</v>
      </c>
      <c r="I29" s="25">
        <v>46</v>
      </c>
      <c r="J29" s="25">
        <v>10</v>
      </c>
      <c r="K29" s="25">
        <v>0</v>
      </c>
      <c r="L29" s="25">
        <v>0</v>
      </c>
      <c r="M29" s="25">
        <v>0</v>
      </c>
      <c r="O29" s="2">
        <f t="shared" si="0"/>
        <v>8.4714548802946599E-2</v>
      </c>
      <c r="P29" s="2">
        <f t="shared" si="1"/>
        <v>6.0606060606060608E-2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0.94514859350738456</v>
      </c>
      <c r="X29" s="3">
        <f t="shared" si="24"/>
        <v>0.67617349970291141</v>
      </c>
      <c r="Y29" s="3">
        <f t="shared" si="25"/>
        <v>0</v>
      </c>
      <c r="Z29" s="3">
        <f t="shared" si="19"/>
        <v>0</v>
      </c>
      <c r="AA29" s="3">
        <f t="shared" si="20"/>
        <v>0</v>
      </c>
      <c r="AB29" s="3">
        <f t="shared" si="6"/>
        <v>0.94514859350738456</v>
      </c>
      <c r="AC29" s="44">
        <f t="shared" si="11"/>
        <v>543</v>
      </c>
      <c r="AD29" s="3" t="str">
        <f t="shared" si="12"/>
        <v>3</v>
      </c>
      <c r="AE29" s="3">
        <f t="shared" si="28"/>
        <v>1.1717274635701684E-2</v>
      </c>
      <c r="AF29" s="3">
        <f t="shared" si="28"/>
        <v>6.6204860322507386E-2</v>
      </c>
      <c r="AG29" s="3">
        <f t="shared" si="28"/>
        <v>0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4</v>
      </c>
      <c r="AT29" s="26">
        <f t="shared" si="29"/>
        <v>3</v>
      </c>
      <c r="AU29" s="4">
        <f t="shared" si="29"/>
        <v>1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3.308139534883721</v>
      </c>
      <c r="BA29" s="5">
        <f>_xlfn.IFNA(VLOOKUP(AZ29, W11:AI14,8,0), _xlfn.IFNA(VLOOKUP(AZ29, X11:AI14,8,0), _xlfn.IFNA(VLOOKUP(AZ29, Y11:AI14,8,0), _xlfn.IFNA(VLOOKUP(AZ29, Z11:AI14,8,0), VLOOKUP(AZ29, AA11:AI14,8,0)))))</f>
        <v>9.6014492753623198E-2</v>
      </c>
      <c r="BB29" t="s">
        <v>32</v>
      </c>
      <c r="BC29" s="5">
        <f>MAX(AE11:AI14)</f>
        <v>0.37712456064326638</v>
      </c>
      <c r="BE29" t="s">
        <v>32</v>
      </c>
      <c r="BF29" s="4">
        <f>MAX($W11:$AA11)</f>
        <v>3.308139534883721</v>
      </c>
      <c r="BG29" s="5">
        <f>_xlfn.IFNA(VLOOKUP($BF29, $W11:$AI11,8,0), _xlfn.IFNA(VLOOKUP($BF29, $X11:$AI11,8,0), _xlfn.IFNA(VLOOKUP($BF29, $Y11:$AI11,8,0), _xlfn.IFNA(VLOOKUP($BF29, $Z11:$AI11,8,0), VLOOKUP($BF29, $AA11:$AI11,8,0)))))</f>
        <v>9.6014492753623198E-2</v>
      </c>
      <c r="BI29" t="s">
        <v>32</v>
      </c>
      <c r="BJ29" s="4">
        <f>MAX($W12:$AA12)</f>
        <v>0.98993569415081051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1.0142602495543671</v>
      </c>
      <c r="BO29" s="5" t="str">
        <f>_xlfn.IFNA(VLOOKUP($BN29, $W13:$AI13,8,0), _xlfn.IFNA(VLOOKUP($BN29, $X13:$AI13,8,0), _xlfn.IFNA(VLOOKUP($BN29, $Y13:$AI13,8,0), _xlfn.IFNA(VLOOKUP($BN29, $Z13:$AI13,8,0), VLOOKUP($BN29, $AA13:$AI13,8,0)))))</f>
        <v>3</v>
      </c>
      <c r="BQ29" t="s">
        <v>32</v>
      </c>
      <c r="BR29" s="4">
        <f>MAX($W14:$AA14)</f>
        <v>1.0178890876565296</v>
      </c>
      <c r="BS29" s="5">
        <f>_xlfn.IFNA(VLOOKUP($BR29, $W14:$AI14,8,0), _xlfn.IFNA(VLOOKUP($BR29, $X14:$AI14,8,0), _xlfn.IFNA(VLOOKUP($BR29, $Y14:$AI14,8,0), _xlfn.IFNA(VLOOKUP($BR29, $Z14:$AI14,8,0), VLOOKUP($BR29, $AA14:$AI14,8,0)))))</f>
        <v>7.3200224110234219E-2</v>
      </c>
    </row>
    <row r="30" spans="1:71" s="1" customFormat="1" x14ac:dyDescent="0.3">
      <c r="A30" s="32" t="s">
        <v>33</v>
      </c>
      <c r="B30" s="1" t="s">
        <v>30</v>
      </c>
      <c r="C30" s="1">
        <v>50</v>
      </c>
      <c r="D30" s="1">
        <v>11</v>
      </c>
      <c r="E30" s="1">
        <v>0</v>
      </c>
      <c r="F30" s="1">
        <v>0</v>
      </c>
      <c r="G30" s="1">
        <v>0</v>
      </c>
      <c r="I30" s="1">
        <v>4</v>
      </c>
      <c r="J30" s="1">
        <v>1</v>
      </c>
      <c r="K30" s="1">
        <v>0</v>
      </c>
      <c r="L30" s="1">
        <v>0</v>
      </c>
      <c r="M30" s="1">
        <v>0</v>
      </c>
      <c r="O30" s="9">
        <f t="shared" si="0"/>
        <v>0.08</v>
      </c>
      <c r="P30" s="9">
        <f t="shared" si="1"/>
        <v>9.0909090909090912E-2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0.89254901960784305</v>
      </c>
      <c r="X30" s="10">
        <f t="shared" si="24"/>
        <v>1.0142602495543671</v>
      </c>
      <c r="Y30" s="10">
        <f t="shared" si="25"/>
        <v>0</v>
      </c>
      <c r="Z30" s="10">
        <f t="shared" si="19"/>
        <v>0</v>
      </c>
      <c r="AA30" s="10">
        <f t="shared" si="20"/>
        <v>0</v>
      </c>
      <c r="AB30" s="10">
        <f t="shared" si="6"/>
        <v>1.0142602495543671</v>
      </c>
      <c r="AC30" s="45">
        <f t="shared" si="11"/>
        <v>11</v>
      </c>
      <c r="AD30" s="10" t="str">
        <f t="shared" si="12"/>
        <v>4</v>
      </c>
      <c r="AE30" s="10">
        <f t="shared" si="28"/>
        <v>7.253842077371489E-2</v>
      </c>
      <c r="AF30" s="10">
        <f t="shared" si="28"/>
        <v>7.1672895202306977E-2</v>
      </c>
      <c r="AG30" s="10">
        <f t="shared" si="28"/>
        <v>0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1</v>
      </c>
      <c r="AT30" s="16">
        <f t="shared" si="29"/>
        <v>2</v>
      </c>
      <c r="AU30" s="13">
        <f t="shared" si="29"/>
        <v>1</v>
      </c>
      <c r="AV30" s="13">
        <f t="shared" si="29"/>
        <v>0</v>
      </c>
      <c r="AW30" s="20">
        <f t="shared" si="29"/>
        <v>0</v>
      </c>
      <c r="AX30" s="13"/>
      <c r="AY30" s="1" t="s">
        <v>33</v>
      </c>
      <c r="AZ30" s="14">
        <f>MAX(W15:AA18)</f>
        <v>1.7836990595611286</v>
      </c>
      <c r="BA30" s="14">
        <f>_xlfn.IFNA(VLOOKUP(AZ30, W15:AI18,8,0), _xlfn.IFNA(VLOOKUP(AZ30, X15:AI18,8,0), _xlfn.IFNA(VLOOKUP(AZ30, Y15:AI18,8,0), _xlfn.IFNA(VLOOKUP(AZ30, Z15:AI18,8,0), VLOOKUP(AZ30, AA15:AI18,8,0)))))</f>
        <v>4.6038207747977865E-2</v>
      </c>
      <c r="BB30" s="1" t="s">
        <v>33</v>
      </c>
      <c r="BC30" s="14">
        <f>MAX(AE15:AI18)</f>
        <v>8.2259375362823642E-2</v>
      </c>
      <c r="BE30" s="1" t="s">
        <v>33</v>
      </c>
      <c r="BF30" s="4">
        <f>MAX($W15:$AA15)</f>
        <v>1.7836990595611286</v>
      </c>
      <c r="BG30" s="14">
        <f>_xlfn.IFNA(VLOOKUP($BF30, $W15:$AI15,8,0), _xlfn.IFNA(VLOOKUP($BF30, $X15:$AI15,8,0), _xlfn.IFNA(VLOOKUP($BF30, $Y15:$AI15,8,0), _xlfn.IFNA(VLOOKUP($BF30, $Z15:$AI15,8,0), VLOOKUP($BF30, $AA15:$AI15,8,0)))))</f>
        <v>4.6038207747977865E-2</v>
      </c>
      <c r="BI30" s="1" t="s">
        <v>33</v>
      </c>
      <c r="BJ30" s="4">
        <f>MAX($W16:$AA16)</f>
        <v>1.0017605633802817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0.98103448275862071</v>
      </c>
      <c r="BO30" s="14">
        <f>_xlfn.IFNA(VLOOKUP($BN30, $W17:$AI17,8,0), _xlfn.IFNA(VLOOKUP($BN30, $X17:$AI17,8,0), _xlfn.IFNA(VLOOKUP($BN30, $Y17:$AI17,8,0), _xlfn.IFNA(VLOOKUP($BN30, $Z17:$AI17,8,0), VLOOKUP($BN30, $AA17:$AI17,8,0)))))</f>
        <v>5.770034763385621E-2</v>
      </c>
      <c r="BQ30" s="1" t="s">
        <v>33</v>
      </c>
      <c r="BR30" s="13">
        <f>MAX($W18:$AA18)</f>
        <v>0.52090326518156849</v>
      </c>
      <c r="BS30" s="14" t="str">
        <f>_xlfn.IFNA(VLOOKUP($BR30, $W18:$AI18,8,0), _xlfn.IFNA(VLOOKUP($BR30, $X18:$AI18,8,0), _xlfn.IFNA(VLOOKUP($BR30, $Y18:$AI18,8,0), _xlfn.IFNA(VLOOKUP($BR30, $Z18:$AI18,8,0), VLOOKUP($BR30, $AA18:$AI18,8,0)))))</f>
        <v>3</v>
      </c>
    </row>
    <row r="31" spans="1:71" x14ac:dyDescent="0.3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1.0080741192529987</v>
      </c>
      <c r="X31" s="3">
        <f t="shared" si="24"/>
        <v>1.565767749036874</v>
      </c>
      <c r="Y31" s="3">
        <f t="shared" si="25"/>
        <v>4.9478260869565212</v>
      </c>
      <c r="Z31" s="3">
        <f t="shared" si="19"/>
        <v>0</v>
      </c>
      <c r="AA31" s="3">
        <f t="shared" si="20"/>
        <v>0</v>
      </c>
      <c r="AB31" s="3">
        <f t="shared" si="6"/>
        <v>4.9478260869565212</v>
      </c>
      <c r="AC31" s="44">
        <f t="shared" si="11"/>
        <v>5</v>
      </c>
      <c r="AD31" s="3" t="str">
        <f t="shared" si="12"/>
        <v>5</v>
      </c>
      <c r="AE31" s="3">
        <f t="shared" ref="AE31:AI34" si="30">IF(C31&gt;0,((I31*((3*69)+C31))/(4*C31*69))*(1-(C31-I31)/(569-69)),0)</f>
        <v>3.8774534576399171E-2</v>
      </c>
      <c r="AF31" s="3">
        <f t="shared" si="30"/>
        <v>0.1715685195376995</v>
      </c>
      <c r="AG31" s="3">
        <f t="shared" si="30"/>
        <v>0.45902608695652175</v>
      </c>
      <c r="AH31" s="3">
        <f t="shared" si="30"/>
        <v>0</v>
      </c>
      <c r="AI31" s="3">
        <f t="shared" si="30"/>
        <v>0</v>
      </c>
      <c r="AY31" t="s">
        <v>34</v>
      </c>
      <c r="AZ31" s="5">
        <f>MAX(W19:AA22)</f>
        <v>3.7434210526315788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0.18386136430461628</v>
      </c>
      <c r="BE31" t="s">
        <v>34</v>
      </c>
      <c r="BF31" s="4">
        <f>MAX($W19:$AA19)</f>
        <v>2.8075657894736841</v>
      </c>
      <c r="BG31" s="5">
        <f>_xlfn.IFNA(VLOOKUP($BF31, $W19:$AI19,8,0), _xlfn.IFNA(VLOOKUP($BF31, $X19:$AI19,8,0), _xlfn.IFNA(VLOOKUP($BF31, $Y19:$AI19,8,0), _xlfn.IFNA(VLOOKUP($BF31, $Z19:$AI19,8,0), VLOOKUP($BF31, $AA19:$AI19,8,0)))))</f>
        <v>6.0604549082202711E-2</v>
      </c>
      <c r="BI31" t="s">
        <v>34</v>
      </c>
      <c r="BJ31" s="4">
        <f>MAX($W20:$AA20)</f>
        <v>2.1836622807017543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2.9635416666666665</v>
      </c>
      <c r="BO31" s="5">
        <f>_xlfn.IFNA(VLOOKUP($BN31, $W21:$AI21,8,0), _xlfn.IFNA(VLOOKUP($BN31, $X21:$AI21,8,0), _xlfn.IFNA(VLOOKUP($BN31, $Y21:$AI21,8,0), _xlfn.IFNA(VLOOKUP($BN31, $Z21:$AI21,8,0), VLOOKUP($BN31, $AA21:$AI21,8,0)))))</f>
        <v>5.1514622481801255E-2</v>
      </c>
      <c r="BQ31" t="s">
        <v>34</v>
      </c>
      <c r="BR31" s="4">
        <f>MAX($W22:$AA22)</f>
        <v>3.7434210526315788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519</v>
      </c>
      <c r="D32" s="25">
        <v>51</v>
      </c>
      <c r="E32" s="25">
        <v>3</v>
      </c>
      <c r="F32" s="25">
        <v>0</v>
      </c>
      <c r="G32" s="25">
        <v>0</v>
      </c>
      <c r="I32" s="25">
        <v>46</v>
      </c>
      <c r="J32" s="25">
        <v>3</v>
      </c>
      <c r="K32" s="25">
        <v>1</v>
      </c>
      <c r="L32" s="25">
        <v>0</v>
      </c>
      <c r="M32" s="25">
        <v>0</v>
      </c>
      <c r="O32" s="2">
        <f t="shared" si="0"/>
        <v>8.8631984585741813E-2</v>
      </c>
      <c r="P32" s="2">
        <f t="shared" si="1"/>
        <v>5.8823529411764705E-2</v>
      </c>
      <c r="Q32" s="2">
        <f t="shared" si="2"/>
        <v>0.33333333333333331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0.73089274245343616</v>
      </c>
      <c r="X32" s="3">
        <f t="shared" si="24"/>
        <v>0.48508098891730606</v>
      </c>
      <c r="Y32" s="3">
        <f t="shared" si="25"/>
        <v>2.7487922705314007</v>
      </c>
      <c r="Z32" s="3">
        <f t="shared" si="19"/>
        <v>0</v>
      </c>
      <c r="AA32" s="3">
        <f t="shared" si="20"/>
        <v>0</v>
      </c>
      <c r="AB32" s="3">
        <f t="shared" si="6"/>
        <v>2.7487922705314007</v>
      </c>
      <c r="AC32" s="44">
        <f t="shared" si="11"/>
        <v>3</v>
      </c>
      <c r="AD32" s="3" t="str">
        <f t="shared" si="12"/>
        <v>5</v>
      </c>
      <c r="AE32" s="3">
        <f t="shared" si="30"/>
        <v>1.2589595375722556E-2</v>
      </c>
      <c r="AF32" s="3">
        <f t="shared" si="30"/>
        <v>4.9708439897698214E-2</v>
      </c>
      <c r="AG32" s="3">
        <f t="shared" si="30"/>
        <v>0.25260869565217392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4.5486918604651168</v>
      </c>
      <c r="BA32" s="5">
        <f>_xlfn.IFNA(VLOOKUP(AZ32, W23:AI26,8,0), _xlfn.IFNA(VLOOKUP(AZ32, X23:AI26,8,0), _xlfn.IFNA(VLOOKUP(AZ32, Y23:AI26,8,0), _xlfn.IFNA(VLOOKUP(AZ32, Z23:AI26,8,0), VLOOKUP(AZ32, AA23:AI26,8,0)))))</f>
        <v>4.4532306451369408E-2</v>
      </c>
      <c r="BB32" t="s">
        <v>35</v>
      </c>
      <c r="BC32" s="5">
        <f>MAX(AE23:AI26)</f>
        <v>0.35492058316385178</v>
      </c>
      <c r="BE32" t="s">
        <v>35</v>
      </c>
      <c r="BF32" s="4">
        <f>MAX($W23:$AA23)</f>
        <v>4.5486918604651168</v>
      </c>
      <c r="BG32" s="5">
        <f>_xlfn.IFNA(VLOOKUP($BF32, $W23:$AI23,8,0), _xlfn.IFNA(VLOOKUP($BF32, $X23:$AI23,8,0), _xlfn.IFNA(VLOOKUP($BF32, $Y23:$AI23,8,0), _xlfn.IFNA(VLOOKUP($BF32, $Z23:$AI23,8,0), VLOOKUP($BF32, $AA23:$AI23,8,0)))))</f>
        <v>4.4532306451369408E-2</v>
      </c>
      <c r="BI32" t="s">
        <v>35</v>
      </c>
      <c r="BJ32" s="4">
        <f>MAX($W24:$AA24)</f>
        <v>1.3232558139534885</v>
      </c>
      <c r="BK32" s="5" t="str">
        <f>_xlfn.IFNA(VLOOKUP($BJ32, $W24:$AI24,8,0), _xlfn.IFNA(VLOOKUP($BJ32, $X24:$AI24,8,0), _xlfn.IFNA(VLOOKUP($BJ32, $Y24:$AI24,8,0), _xlfn.IFNA(VLOOKUP($BJ32, $Z24:$AI24,8,0), VLOOKUP($BJ32, $AA24:$AI24,8,0)))))</f>
        <v>3</v>
      </c>
      <c r="BM32" t="s">
        <v>35</v>
      </c>
      <c r="BN32" s="4">
        <f>MAX($W25:$AA25)</f>
        <v>2.3351573187414503</v>
      </c>
      <c r="BO32" s="5">
        <f>_xlfn.IFNA(VLOOKUP($BN32, $W25:$AI25,8,0), _xlfn.IFNA(VLOOKUP($BN32, $X25:$AI25,8,0), _xlfn.IFNA(VLOOKUP($BN32, $Y25:$AI25,8,0), _xlfn.IFNA(VLOOKUP($BN32, $Z25:$AI25,8,0), VLOOKUP($BN32, $AA25:$AI25,8,0)))))</f>
        <v>4.1870813871088187E-2</v>
      </c>
      <c r="BQ32" t="s">
        <v>35</v>
      </c>
      <c r="BR32" s="4">
        <f>MAX($W26:$AA26)</f>
        <v>0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2" t="s">
        <v>34</v>
      </c>
      <c r="B33" t="s">
        <v>29</v>
      </c>
      <c r="C33" s="25">
        <v>510</v>
      </c>
      <c r="D33" s="25">
        <v>142</v>
      </c>
      <c r="E33" s="25">
        <v>10</v>
      </c>
      <c r="F33" s="25">
        <v>0</v>
      </c>
      <c r="G33" s="25">
        <v>0</v>
      </c>
      <c r="I33" s="25">
        <v>62</v>
      </c>
      <c r="J33" s="25">
        <v>20</v>
      </c>
      <c r="K33" s="25">
        <v>5</v>
      </c>
      <c r="L33" s="25">
        <v>0</v>
      </c>
      <c r="M33" s="25">
        <v>0</v>
      </c>
      <c r="O33" s="2">
        <f t="shared" si="0"/>
        <v>0.12156862745098039</v>
      </c>
      <c r="P33" s="2">
        <f t="shared" si="1"/>
        <v>0.14084507042253522</v>
      </c>
      <c r="Q33" s="2">
        <f t="shared" si="2"/>
        <v>0.5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1.0025007104290993</v>
      </c>
      <c r="X33" s="3">
        <f t="shared" si="24"/>
        <v>1.1614615227597469</v>
      </c>
      <c r="Y33" s="3">
        <f t="shared" si="25"/>
        <v>4.1231884057971016</v>
      </c>
      <c r="Z33" s="3">
        <f t="shared" si="19"/>
        <v>0</v>
      </c>
      <c r="AA33" s="3">
        <f t="shared" si="20"/>
        <v>0</v>
      </c>
      <c r="AB33" s="3">
        <f t="shared" si="6"/>
        <v>4.1231884057971016</v>
      </c>
      <c r="AC33" s="44">
        <f t="shared" si="11"/>
        <v>10</v>
      </c>
      <c r="AD33" s="3" t="str">
        <f t="shared" si="12"/>
        <v>5</v>
      </c>
      <c r="AE33" s="3">
        <f t="shared" si="30"/>
        <v>3.2844671781756173E-2</v>
      </c>
      <c r="AF33" s="3">
        <f t="shared" si="30"/>
        <v>0.13464176362522964</v>
      </c>
      <c r="AG33" s="3">
        <f t="shared" si="30"/>
        <v>0.38918478260869566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1</v>
      </c>
      <c r="AU33" s="7">
        <f t="shared" si="31"/>
        <v>2</v>
      </c>
      <c r="AV33" s="7">
        <f t="shared" si="31"/>
        <v>2</v>
      </c>
      <c r="AW33" s="18">
        <f t="shared" si="31"/>
        <v>0</v>
      </c>
      <c r="AX33" s="4"/>
      <c r="AY33" t="s">
        <v>37</v>
      </c>
      <c r="AZ33" s="5">
        <f>MAX(W27:AA30)</f>
        <v>1.0142602495543671</v>
      </c>
      <c r="BA33" s="5">
        <f>_xlfn.IFNA(VLOOKUP(AZ33, W27:AI30,8,0), _xlfn.IFNA(VLOOKUP(AZ33, X27:AI30,8,0), _xlfn.IFNA(VLOOKUP(AZ33, Y27:AI30,8,0), _xlfn.IFNA(VLOOKUP(AZ33, Z27:AI30,8,0), VLOOKUP(AZ33, AA27:AI30,8,0)))))</f>
        <v>7.253842077371489E-2</v>
      </c>
      <c r="BB33" t="s">
        <v>37</v>
      </c>
      <c r="BC33" s="5">
        <f>MAX(AE27:AI30)</f>
        <v>7.3025967143614201E-2</v>
      </c>
      <c r="BE33" t="s">
        <v>37</v>
      </c>
      <c r="BF33" s="4">
        <f>MAX($W27:$AA27)</f>
        <v>1.0035273368606701</v>
      </c>
      <c r="BG33" s="5" t="str">
        <f>_xlfn.IFNA(VLOOKUP($BF33, $W27:$AI27,8,0), _xlfn.IFNA(VLOOKUP($BF33, $X27:$AI27,8,0), _xlfn.IFNA(VLOOKUP($BF33, $Y27:$AI27,8,0), _xlfn.IFNA(VLOOKUP($BF33, $Z27:$AI27,8,0), VLOOKUP($BF33, $AA27:$AI27,8,0)))))</f>
        <v>3</v>
      </c>
      <c r="BI33" t="s">
        <v>37</v>
      </c>
      <c r="BJ33" s="4">
        <f>MAX($W28:$AA28)</f>
        <v>0.61982570806100212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0.94514859350738456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1.0142602495543671</v>
      </c>
      <c r="BS33" s="5">
        <f>_xlfn.IFNA(VLOOKUP($BR33, $W30:$AI30,8,0), _xlfn.IFNA(VLOOKUP($BR33, $X30:$AI30,8,0), _xlfn.IFNA(VLOOKUP($BR33, $Y30:$AI30,8,0), _xlfn.IFNA(VLOOKUP($BR33, $Z30:$AI30,8,0), VLOOKUP($BR33, $AA30:$AI30,8,0)))))</f>
        <v>7.253842077371489E-2</v>
      </c>
    </row>
    <row r="34" spans="1:71" s="1" customFormat="1" x14ac:dyDescent="0.3">
      <c r="A34" s="32" t="s">
        <v>34</v>
      </c>
      <c r="B34" s="1" t="s">
        <v>30</v>
      </c>
      <c r="C34" s="1">
        <v>19</v>
      </c>
      <c r="D34" s="1">
        <v>2</v>
      </c>
      <c r="E34" s="1">
        <v>0</v>
      </c>
      <c r="F34" s="1">
        <v>0</v>
      </c>
      <c r="G34" s="1">
        <v>0</v>
      </c>
      <c r="I34" s="1">
        <v>1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5.2631578947368418E-2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0.43401983218916856</v>
      </c>
      <c r="X34" s="10">
        <f t="shared" si="24"/>
        <v>0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0.43401983218916856</v>
      </c>
      <c r="AC34" s="45">
        <f t="shared" si="11"/>
        <v>19</v>
      </c>
      <c r="AD34" s="10" t="str">
        <f t="shared" si="12"/>
        <v>3</v>
      </c>
      <c r="AE34" s="10">
        <f t="shared" si="30"/>
        <v>4.1545385202135771E-2</v>
      </c>
      <c r="AF34" s="10">
        <f t="shared" si="30"/>
        <v>0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1</v>
      </c>
      <c r="AT34" s="4">
        <f t="shared" si="31"/>
        <v>1</v>
      </c>
      <c r="AU34" s="4">
        <f t="shared" si="31"/>
        <v>1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4.9478260869565212</v>
      </c>
      <c r="BA34" s="14">
        <f>_xlfn.IFNA(VLOOKUP(AZ34, W31:AI34,8,0), _xlfn.IFNA(VLOOKUP(AZ34, X31:AI34,8,0), _xlfn.IFNA(VLOOKUP(AZ34, Y31:AI34,8,0), _xlfn.IFNA(VLOOKUP(AZ34, Z31:AI34,8,0), VLOOKUP(AZ34, AA31:AI34,8,0)))))</f>
        <v>0.1715685195376995</v>
      </c>
      <c r="BB34" s="1" t="s">
        <v>38</v>
      </c>
      <c r="BC34" s="14">
        <f>MAX(AE31:AI34)</f>
        <v>0.45902608695652175</v>
      </c>
      <c r="BE34" s="1" t="s">
        <v>38</v>
      </c>
      <c r="BF34" s="4">
        <f>MAX($W31:$AA31)</f>
        <v>4.9478260869565212</v>
      </c>
      <c r="BG34" s="14">
        <f>_xlfn.IFNA(VLOOKUP($BF34, $W31:$AI31,8,0), _xlfn.IFNA(VLOOKUP($BF34, $X31:$AI31,8,0), _xlfn.IFNA(VLOOKUP($BF34, $Y31:$AI31,8,0), _xlfn.IFNA(VLOOKUP($BF34, $Z31:$AI31,8,0), VLOOKUP($BF34, $AA31:$AI31,8,0)))))</f>
        <v>0.1715685195376995</v>
      </c>
      <c r="BI34" s="1" t="s">
        <v>38</v>
      </c>
      <c r="BJ34" s="4">
        <f>MAX($W32:$AA32)</f>
        <v>2.7487922705314007</v>
      </c>
      <c r="BK34" s="5">
        <f>_xlfn.IFNA(VLOOKUP($BJ34, $W32:$AI32,8,0), _xlfn.IFNA(VLOOKUP($BJ34, $X32:$AI32,8,0), _xlfn.IFNA(VLOOKUP($BJ34, $Y32:$AI32,8,0), _xlfn.IFNA(VLOOKUP($BJ34, $Z32:$AI32,8,0), VLOOKUP($BJ34, $AA32:$AI32,8,0)))))</f>
        <v>4.9708439897698214E-2</v>
      </c>
      <c r="BM34" s="1" t="s">
        <v>38</v>
      </c>
      <c r="BN34" s="13">
        <f>MAX($W33:$AA33)</f>
        <v>4.1231884057971016</v>
      </c>
      <c r="BO34" s="14">
        <f>_xlfn.IFNA(VLOOKUP($BN34, $W33:$AI33,8,0), _xlfn.IFNA(VLOOKUP($BN34, $X33:$AI33,8,0), _xlfn.IFNA(VLOOKUP($BN34, $Y33:$AI33,8,0), _xlfn.IFNA(VLOOKUP($BN34, $Z33:$AI33,8,0), VLOOKUP($BN34, $AA33:$AI33,8,0)))))</f>
        <v>0.13464176362522964</v>
      </c>
      <c r="BQ34" s="1" t="s">
        <v>38</v>
      </c>
      <c r="BR34" s="13">
        <f>MAX($W34:$AA34)</f>
        <v>0.43401983218916856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54</v>
      </c>
      <c r="D35">
        <v>0</v>
      </c>
      <c r="E35">
        <v>0</v>
      </c>
      <c r="F35">
        <v>0</v>
      </c>
      <c r="G35">
        <v>0</v>
      </c>
      <c r="I35">
        <v>5</v>
      </c>
      <c r="J35">
        <v>0</v>
      </c>
      <c r="K35">
        <v>0</v>
      </c>
      <c r="L35">
        <v>0</v>
      </c>
      <c r="M35">
        <v>0</v>
      </c>
      <c r="O35" s="28">
        <f t="shared" ref="O35:O53" si="32">IF(I35&gt;0, I35/C35, 0)</f>
        <v>9.2592592592592587E-2</v>
      </c>
      <c r="P35" s="28">
        <f t="shared" ref="P35:P53" si="33">IF(J35&gt;0, J35/D35, 0)</f>
        <v>0</v>
      </c>
      <c r="Q35" s="28">
        <f t="shared" ref="Q35:Q53" si="34">IF(K35&gt;0, K35/E35, 0)</f>
        <v>0</v>
      </c>
      <c r="R35" s="28">
        <f t="shared" ref="R35:R53" si="35">IF(L35&gt;0, L35/F35, 0)</f>
        <v>0</v>
      </c>
      <c r="S35" s="28">
        <f t="shared" ref="S35:S53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0.99406009783368277</v>
      </c>
      <c r="X35" s="29">
        <f t="shared" si="24"/>
        <v>0</v>
      </c>
      <c r="Y35" s="29">
        <f t="shared" si="25"/>
        <v>0</v>
      </c>
      <c r="Z35" s="29">
        <f t="shared" si="19"/>
        <v>0</v>
      </c>
      <c r="AA35" s="29">
        <f t="shared" si="20"/>
        <v>0</v>
      </c>
      <c r="AB35" s="29">
        <f t="shared" ref="AB35:AB53" si="37">MAX(W35:AA35)</f>
        <v>0.99406009783368277</v>
      </c>
      <c r="AC35" s="41">
        <f t="shared" si="11"/>
        <v>54</v>
      </c>
      <c r="AD35" s="29" t="str">
        <f t="shared" si="12"/>
        <v>3</v>
      </c>
      <c r="AE35" s="29">
        <f t="shared" ref="AE35:AI38" si="38">IF(C35&gt;0,((I35*((3*53)+C35))/(4*C35*53))*(1-(C35-I35)/(569-53)),0)</f>
        <v>8.4195167633627485E-2</v>
      </c>
      <c r="AF35" s="29">
        <f t="shared" si="38"/>
        <v>0</v>
      </c>
      <c r="AG35" s="29">
        <f t="shared" si="38"/>
        <v>0</v>
      </c>
      <c r="AH35" s="29">
        <f t="shared" si="38"/>
        <v>0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1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2"/>
        <v>7.061068702290077E-2</v>
      </c>
      <c r="P36" s="28">
        <f t="shared" si="33"/>
        <v>9.8360655737704916E-2</v>
      </c>
      <c r="Q36" s="28">
        <f t="shared" si="34"/>
        <v>1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0.75806567766095356</v>
      </c>
      <c r="X36" s="29">
        <f t="shared" si="24"/>
        <v>1.055985153108568</v>
      </c>
      <c r="Y36" s="29">
        <f t="shared" si="25"/>
        <v>10.735849056603774</v>
      </c>
      <c r="Z36" s="29">
        <f t="shared" si="19"/>
        <v>0</v>
      </c>
      <c r="AA36" s="29">
        <f t="shared" si="20"/>
        <v>0</v>
      </c>
      <c r="AB36" s="29">
        <f t="shared" si="37"/>
        <v>10.735849056603774</v>
      </c>
      <c r="AC36" s="41">
        <f t="shared" si="11"/>
        <v>1</v>
      </c>
      <c r="AD36" s="29" t="str">
        <f t="shared" si="12"/>
        <v>5</v>
      </c>
      <c r="AE36" s="29">
        <f t="shared" si="38"/>
        <v>1.2785083716017579E-2</v>
      </c>
      <c r="AF36" s="29">
        <f t="shared" si="38"/>
        <v>0.10258130183643964</v>
      </c>
      <c r="AG36" s="29">
        <f t="shared" si="38"/>
        <v>0.75471698113207553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0</v>
      </c>
      <c r="AU36" s="4">
        <f t="shared" si="31"/>
        <v>1</v>
      </c>
      <c r="AV36" s="4">
        <f t="shared" si="31"/>
        <v>0</v>
      </c>
      <c r="AW36" s="22">
        <f t="shared" si="31"/>
        <v>0</v>
      </c>
      <c r="AX36" s="4"/>
      <c r="AY36" t="s">
        <v>42</v>
      </c>
      <c r="AZ36">
        <f>COUNTIF(AZ27:AZ34, "&gt;1.5")</f>
        <v>7</v>
      </c>
      <c r="BE36" t="s">
        <v>42</v>
      </c>
      <c r="BF36">
        <f>COUNTIF(BF27:BF34, "&gt;1.5")</f>
        <v>6</v>
      </c>
      <c r="BI36" t="s">
        <v>42</v>
      </c>
      <c r="BJ36">
        <f>COUNTIF(BJ27:BJ34, "&gt;1.5")</f>
        <v>3</v>
      </c>
      <c r="BM36" t="s">
        <v>42</v>
      </c>
      <c r="BN36">
        <f>COUNTIF(BN27:BN34, "&gt;1.5")</f>
        <v>4</v>
      </c>
      <c r="BQ36" t="s">
        <v>42</v>
      </c>
      <c r="BR36">
        <f>COUNTIF(BR27:BR34, "&gt;1.5")</f>
        <v>2</v>
      </c>
    </row>
    <row r="37" spans="1:71" x14ac:dyDescent="0.3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2"/>
        <v>9.4474153297682703E-2</v>
      </c>
      <c r="P37" s="28">
        <f t="shared" si="33"/>
        <v>9.7457627118644072E-2</v>
      </c>
      <c r="Q37" s="28">
        <f t="shared" si="34"/>
        <v>0.11510791366906475</v>
      </c>
      <c r="R37" s="28">
        <f t="shared" si="35"/>
        <v>0.4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1.0142602495543671</v>
      </c>
      <c r="X37" s="29">
        <f t="shared" si="24"/>
        <v>1.0462903741605374</v>
      </c>
      <c r="Y37" s="29">
        <f t="shared" si="25"/>
        <v>1.2357811863716575</v>
      </c>
      <c r="Z37" s="29">
        <f t="shared" si="19"/>
        <v>4.2943396226415098</v>
      </c>
      <c r="AA37" s="29">
        <f t="shared" si="20"/>
        <v>0</v>
      </c>
      <c r="AB37" s="29">
        <f t="shared" si="37"/>
        <v>4.2943396226415098</v>
      </c>
      <c r="AC37" s="41">
        <f t="shared" si="11"/>
        <v>10</v>
      </c>
      <c r="AD37" s="29" t="str">
        <f t="shared" si="12"/>
        <v>6</v>
      </c>
      <c r="AE37" s="29">
        <f t="shared" si="38"/>
        <v>4.9745056585001951E-3</v>
      </c>
      <c r="AF37" s="29">
        <f t="shared" si="38"/>
        <v>5.0594363793218841E-2</v>
      </c>
      <c r="AG37" s="29">
        <f t="shared" si="38"/>
        <v>0.12323340099311512</v>
      </c>
      <c r="AH37" s="29">
        <f t="shared" si="38"/>
        <v>0.31516015796401931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6</v>
      </c>
      <c r="BE37" t="s">
        <v>43</v>
      </c>
      <c r="BF37">
        <f>COUNTIF(BF27:BF34, "&gt;2")</f>
        <v>5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4</v>
      </c>
      <c r="BQ37" t="s">
        <v>43</v>
      </c>
      <c r="BR37">
        <f>COUNTIF(BR27:BR34, "&gt;2")</f>
        <v>2</v>
      </c>
    </row>
    <row r="38" spans="1:71" x14ac:dyDescent="0.3">
      <c r="A38" s="32" t="s">
        <v>56</v>
      </c>
      <c r="B38" s="1" t="s">
        <v>30</v>
      </c>
      <c r="C38" s="1">
        <v>19</v>
      </c>
      <c r="D38" s="1">
        <v>3</v>
      </c>
      <c r="E38" s="1">
        <v>0</v>
      </c>
      <c r="F38" s="1">
        <v>0</v>
      </c>
      <c r="G38" s="1">
        <v>0</v>
      </c>
      <c r="H38" s="1"/>
      <c r="I38" s="1">
        <v>2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0.10526315789473684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1.1300893743793445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1.1300893743793445</v>
      </c>
      <c r="AC38" s="42">
        <f t="shared" si="11"/>
        <v>19</v>
      </c>
      <c r="AD38" s="31" t="str">
        <f t="shared" si="12"/>
        <v>3</v>
      </c>
      <c r="AE38" s="31">
        <f t="shared" si="38"/>
        <v>8.5469542658753062E-2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2"/>
        <v>9.7517730496453903E-2</v>
      </c>
      <c r="P39" s="28">
        <f t="shared" si="33"/>
        <v>8.2452431289640596E-2</v>
      </c>
      <c r="Q39" s="28">
        <f t="shared" si="34"/>
        <v>9.0909090909090912E-2</v>
      </c>
      <c r="R39" s="28">
        <f t="shared" si="35"/>
        <v>0.2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0.97346646758740829</v>
      </c>
      <c r="X39" s="29">
        <f t="shared" si="24"/>
        <v>0.82307777901413159</v>
      </c>
      <c r="Y39" s="29">
        <f t="shared" si="25"/>
        <v>0.90749601275917069</v>
      </c>
      <c r="Z39" s="29">
        <f t="shared" si="19"/>
        <v>1.9964912280701756</v>
      </c>
      <c r="AA39" s="29">
        <f t="shared" si="20"/>
        <v>0</v>
      </c>
      <c r="AB39" s="29">
        <f t="shared" si="37"/>
        <v>1.9964912280701756</v>
      </c>
      <c r="AC39" s="41">
        <f t="shared" si="11"/>
        <v>10</v>
      </c>
      <c r="AD39" s="29" t="str">
        <f t="shared" si="12"/>
        <v>6</v>
      </c>
      <c r="AE39" s="29">
        <f t="shared" ref="AE39:AI41" si="39">IF(C39&gt;0,((I39*((3*57)+C39))/(4*C39*57))*(1-(C39-I39)/(569-57)),0)</f>
        <v>1.841990437779955E-3</v>
      </c>
      <c r="AF39" s="29">
        <f t="shared" si="39"/>
        <v>3.5479633776566155E-2</v>
      </c>
      <c r="AG39" s="29">
        <f t="shared" si="39"/>
        <v>8.8731683612440201E-2</v>
      </c>
      <c r="AH39" s="29">
        <f t="shared" si="39"/>
        <v>0.15629111842105262</v>
      </c>
      <c r="AI39" s="29">
        <f t="shared" si="39"/>
        <v>0</v>
      </c>
      <c r="AY39" s="1" t="s">
        <v>45</v>
      </c>
      <c r="AZ39" s="1"/>
    </row>
    <row r="40" spans="1:71" x14ac:dyDescent="0.3">
      <c r="A40" s="32" t="s">
        <v>57</v>
      </c>
      <c r="B40" t="s">
        <v>28</v>
      </c>
      <c r="C40">
        <v>561</v>
      </c>
      <c r="D40">
        <v>272</v>
      </c>
      <c r="E40">
        <v>1</v>
      </c>
      <c r="F40">
        <v>0</v>
      </c>
      <c r="G40">
        <v>0</v>
      </c>
      <c r="I40">
        <v>54</v>
      </c>
      <c r="J40">
        <v>17</v>
      </c>
      <c r="K40">
        <v>0</v>
      </c>
      <c r="L40">
        <v>0</v>
      </c>
      <c r="M40">
        <v>0</v>
      </c>
      <c r="O40" s="28">
        <f t="shared" si="32"/>
        <v>9.6256684491978606E-2</v>
      </c>
      <c r="P40" s="28">
        <f t="shared" si="33"/>
        <v>6.25E-2</v>
      </c>
      <c r="Q40" s="28">
        <f t="shared" si="34"/>
        <v>0</v>
      </c>
      <c r="R40" s="28">
        <f t="shared" si="35"/>
        <v>0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0.9608781311567689</v>
      </c>
      <c r="X40" s="29">
        <f t="shared" si="24"/>
        <v>0.62390350877192979</v>
      </c>
      <c r="Y40" s="29">
        <f t="shared" si="25"/>
        <v>0</v>
      </c>
      <c r="Z40" s="29">
        <f t="shared" si="19"/>
        <v>0</v>
      </c>
      <c r="AA40" s="29">
        <f t="shared" si="20"/>
        <v>0</v>
      </c>
      <c r="AB40" s="29">
        <f t="shared" si="37"/>
        <v>0.9608781311567689</v>
      </c>
      <c r="AC40" s="41">
        <f t="shared" si="11"/>
        <v>561</v>
      </c>
      <c r="AD40" s="29" t="str">
        <f t="shared" si="12"/>
        <v>3</v>
      </c>
      <c r="AE40" s="29">
        <f t="shared" si="39"/>
        <v>3.0179161975795107E-3</v>
      </c>
      <c r="AF40" s="29">
        <f t="shared" si="39"/>
        <v>6.095538222998903E-2</v>
      </c>
      <c r="AG40" s="29">
        <f t="shared" si="39"/>
        <v>0</v>
      </c>
      <c r="AH40" s="29">
        <f t="shared" si="39"/>
        <v>0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</row>
    <row r="41" spans="1:71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2"/>
        <v>9.7472924187725629E-2</v>
      </c>
      <c r="P41" s="28">
        <f t="shared" si="33"/>
        <v>9.585492227979274E-2</v>
      </c>
      <c r="Q41" s="28">
        <f t="shared" si="34"/>
        <v>8.771929824561403E-2</v>
      </c>
      <c r="R41" s="28">
        <f t="shared" si="35"/>
        <v>0.5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0.97301919057571729</v>
      </c>
      <c r="X41" s="29">
        <f t="shared" si="24"/>
        <v>0.95686755749477315</v>
      </c>
      <c r="Y41" s="29">
        <f t="shared" si="25"/>
        <v>0.87565404739919972</v>
      </c>
      <c r="Z41" s="29">
        <f t="shared" si="19"/>
        <v>4.9912280701754383</v>
      </c>
      <c r="AA41" s="29">
        <f t="shared" si="20"/>
        <v>0</v>
      </c>
      <c r="AB41" s="29">
        <f t="shared" si="37"/>
        <v>4.9912280701754383</v>
      </c>
      <c r="AC41" s="41">
        <f t="shared" si="11"/>
        <v>2</v>
      </c>
      <c r="AD41" s="29" t="str">
        <f t="shared" si="12"/>
        <v>6</v>
      </c>
      <c r="AE41" s="29">
        <f t="shared" si="39"/>
        <v>7.2643780875926278E-3</v>
      </c>
      <c r="AF41" s="29">
        <f t="shared" si="39"/>
        <v>7.4550817645839013E-2</v>
      </c>
      <c r="AG41" s="29">
        <f t="shared" si="39"/>
        <v>7.8810307017543851E-2</v>
      </c>
      <c r="AH41" s="29">
        <f t="shared" si="39"/>
        <v>0.37864497669956143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dU(class)</v>
      </c>
    </row>
    <row r="42" spans="1:71" x14ac:dyDescent="0.3">
      <c r="A42" s="32" t="s">
        <v>57</v>
      </c>
      <c r="B42" s="1" t="s">
        <v>30</v>
      </c>
      <c r="C42" s="36">
        <v>568</v>
      </c>
      <c r="D42" s="36">
        <v>525</v>
      </c>
      <c r="E42" s="36">
        <v>179</v>
      </c>
      <c r="F42" s="36">
        <v>6</v>
      </c>
      <c r="G42" s="36">
        <v>0</v>
      </c>
      <c r="H42" s="1"/>
      <c r="I42" s="36">
        <v>39</v>
      </c>
      <c r="J42" s="36">
        <v>38</v>
      </c>
      <c r="K42" s="36">
        <v>6</v>
      </c>
      <c r="L42" s="36">
        <v>0</v>
      </c>
      <c r="M42" s="36">
        <v>0</v>
      </c>
      <c r="N42" s="1"/>
      <c r="O42" s="9">
        <f t="shared" si="32"/>
        <v>6.8661971830985921E-2</v>
      </c>
      <c r="P42" s="9">
        <f t="shared" si="33"/>
        <v>7.2380952380952379E-2</v>
      </c>
      <c r="Q42" s="9">
        <f t="shared" si="34"/>
        <v>3.3519553072625698E-2</v>
      </c>
      <c r="R42" s="9">
        <f t="shared" si="35"/>
        <v>0</v>
      </c>
      <c r="S42" s="9">
        <f t="shared" si="36"/>
        <v>0</v>
      </c>
      <c r="T42" s="9"/>
      <c r="U42" s="9">
        <f>39/569</f>
        <v>6.8541300527240778E-2</v>
      </c>
      <c r="V42" s="9"/>
      <c r="W42" s="10">
        <f t="shared" si="23"/>
        <v>1.0017605633802817</v>
      </c>
      <c r="X42" s="10">
        <f t="shared" si="24"/>
        <v>1.0560195360195359</v>
      </c>
      <c r="Y42" s="10">
        <f t="shared" si="25"/>
        <v>0.48904168457241076</v>
      </c>
      <c r="Z42" s="10">
        <f t="shared" si="19"/>
        <v>0</v>
      </c>
      <c r="AA42" s="10">
        <f t="shared" si="20"/>
        <v>0</v>
      </c>
      <c r="AB42" s="10">
        <f t="shared" si="37"/>
        <v>1.0560195360195359</v>
      </c>
      <c r="AC42" s="45">
        <f t="shared" si="11"/>
        <v>525</v>
      </c>
      <c r="AD42" s="10" t="str">
        <f t="shared" si="12"/>
        <v>4</v>
      </c>
      <c r="AE42" s="10">
        <f t="shared" ref="AE42:AI45" si="40">IF(C42&gt;0,((I42*((3*39)+C42))/(4*C42*39))*(1-(C42-I42)/(569-39)),0)</f>
        <v>5.6886128089290446E-4</v>
      </c>
      <c r="AF42" s="10">
        <f t="shared" si="40"/>
        <v>2.4167254129518277E-2</v>
      </c>
      <c r="AG42" s="10">
        <f t="shared" si="40"/>
        <v>4.2840810501820308E-2</v>
      </c>
      <c r="AH42" s="10">
        <f t="shared" si="40"/>
        <v>0</v>
      </c>
      <c r="AI42" s="10">
        <f t="shared" si="40"/>
        <v>0</v>
      </c>
      <c r="AY42" t="s">
        <v>32</v>
      </c>
      <c r="AZ42" t="str">
        <f>IF(COUNTIF(W11:AA11,AZ29), B11, IF(COUNTIF(W12:AA12,AZ29), B12, IF(COUNTIF(W13:AA13,AZ29), B13, B14)))</f>
        <v>dE(class)</v>
      </c>
    </row>
    <row r="43" spans="1:71" x14ac:dyDescent="0.3">
      <c r="A43" s="32" t="s">
        <v>35</v>
      </c>
      <c r="B43" t="s">
        <v>27</v>
      </c>
      <c r="C43" s="25">
        <v>566</v>
      </c>
      <c r="D43" s="25">
        <v>380</v>
      </c>
      <c r="E43" s="25">
        <v>66</v>
      </c>
      <c r="F43" s="25">
        <v>2</v>
      </c>
      <c r="G43" s="25">
        <v>0</v>
      </c>
      <c r="I43" s="25">
        <v>39</v>
      </c>
      <c r="J43" s="25">
        <v>24</v>
      </c>
      <c r="K43" s="25">
        <v>6</v>
      </c>
      <c r="L43" s="25">
        <v>0</v>
      </c>
      <c r="M43" s="25">
        <v>0</v>
      </c>
      <c r="O43" s="2">
        <f t="shared" si="32"/>
        <v>6.8904593639575976E-2</v>
      </c>
      <c r="P43" s="2">
        <f t="shared" si="33"/>
        <v>6.3157894736842107E-2</v>
      </c>
      <c r="Q43" s="2">
        <f t="shared" si="34"/>
        <v>9.0909090909090912E-2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1.0053003533568905</v>
      </c>
      <c r="X43" s="3">
        <f t="shared" si="24"/>
        <v>0.92145748987854248</v>
      </c>
      <c r="Y43" s="3">
        <f t="shared" si="25"/>
        <v>1.3263403263403262</v>
      </c>
      <c r="Z43" s="3">
        <f t="shared" si="19"/>
        <v>0</v>
      </c>
      <c r="AA43" s="3">
        <f t="shared" si="20"/>
        <v>0</v>
      </c>
      <c r="AB43" s="3">
        <f t="shared" si="37"/>
        <v>1.3263403263403262</v>
      </c>
      <c r="AC43" s="44">
        <f t="shared" si="11"/>
        <v>66</v>
      </c>
      <c r="AD43" s="3" t="str">
        <f t="shared" si="12"/>
        <v>5</v>
      </c>
      <c r="AE43" s="3">
        <f t="shared" si="40"/>
        <v>1.7076138409227277E-3</v>
      </c>
      <c r="AF43" s="3">
        <f t="shared" si="40"/>
        <v>6.6059124589412571E-2</v>
      </c>
      <c r="AG43" s="3">
        <f t="shared" si="40"/>
        <v>9.4570523815806828E-2</v>
      </c>
      <c r="AH43" s="3">
        <f t="shared" si="40"/>
        <v>0</v>
      </c>
      <c r="AI43" s="3">
        <f t="shared" si="40"/>
        <v>0</v>
      </c>
      <c r="AY43" t="s">
        <v>33</v>
      </c>
      <c r="AZ43" t="str">
        <f>IF(COUNTIF(W15:AA15,AZ30), B15, IF(COUNTIF(W16:AA16,AZ30), B16, IF(COUNTIF(W17:AA17,AZ30), B17, B18)))</f>
        <v>dE(class)</v>
      </c>
    </row>
    <row r="44" spans="1:71" x14ac:dyDescent="0.3">
      <c r="A44" s="32" t="s">
        <v>35</v>
      </c>
      <c r="B44" t="s">
        <v>28</v>
      </c>
      <c r="C44" s="25">
        <v>566</v>
      </c>
      <c r="D44" s="25">
        <v>459</v>
      </c>
      <c r="E44" s="25">
        <v>68</v>
      </c>
      <c r="F44" s="25">
        <v>3</v>
      </c>
      <c r="G44" s="25">
        <v>0</v>
      </c>
      <c r="I44" s="25">
        <v>39</v>
      </c>
      <c r="J44" s="25">
        <v>34</v>
      </c>
      <c r="K44" s="25">
        <v>9</v>
      </c>
      <c r="L44" s="25">
        <v>2</v>
      </c>
      <c r="M44" s="25">
        <v>0</v>
      </c>
      <c r="O44" s="2">
        <f t="shared" si="32"/>
        <v>6.8904593639575976E-2</v>
      </c>
      <c r="P44" s="2">
        <f t="shared" si="33"/>
        <v>7.407407407407407E-2</v>
      </c>
      <c r="Q44" s="2">
        <f t="shared" si="34"/>
        <v>0.13235294117647059</v>
      </c>
      <c r="R44" s="2">
        <f t="shared" si="35"/>
        <v>0.66666666666666663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1.0053003533568905</v>
      </c>
      <c r="X44" s="3">
        <f t="shared" si="24"/>
        <v>1.0807217473884139</v>
      </c>
      <c r="Y44" s="3">
        <f t="shared" si="25"/>
        <v>1.930995475113122</v>
      </c>
      <c r="Z44" s="3">
        <f t="shared" si="19"/>
        <v>9.7264957264957257</v>
      </c>
      <c r="AA44" s="3">
        <f t="shared" si="20"/>
        <v>0</v>
      </c>
      <c r="AB44" s="3">
        <f t="shared" si="37"/>
        <v>9.7264957264957257</v>
      </c>
      <c r="AC44" s="44">
        <f t="shared" si="11"/>
        <v>3</v>
      </c>
      <c r="AD44" s="3" t="str">
        <f t="shared" si="12"/>
        <v>6</v>
      </c>
      <c r="AE44" s="3">
        <f t="shared" si="40"/>
        <v>1.7076138409227277E-3</v>
      </c>
      <c r="AF44" s="3">
        <f t="shared" si="40"/>
        <v>5.4184808901790026E-2</v>
      </c>
      <c r="AG44" s="3">
        <f t="shared" si="40"/>
        <v>0.13948444036540597</v>
      </c>
      <c r="AH44" s="3">
        <f t="shared" si="40"/>
        <v>0.51185292694726647</v>
      </c>
      <c r="AI44" s="3">
        <f t="shared" si="40"/>
        <v>0</v>
      </c>
      <c r="AY44" t="s">
        <v>34</v>
      </c>
      <c r="AZ44" t="str">
        <f>IF(COUNTIF(W19:AA19,AZ31), B19, IF(COUNTIF(W20:AA20,AZ31), B20, IF(COUNTIF(W21:AA21,AZ31), B21, B22)))</f>
        <v>dU</v>
      </c>
    </row>
    <row r="45" spans="1:71" x14ac:dyDescent="0.3">
      <c r="A45" s="32" t="s">
        <v>35</v>
      </c>
      <c r="B45" t="s">
        <v>29</v>
      </c>
      <c r="C45" s="35">
        <v>556</v>
      </c>
      <c r="D45" s="35">
        <v>358</v>
      </c>
      <c r="E45" s="35">
        <v>2</v>
      </c>
      <c r="F45" s="35">
        <v>0</v>
      </c>
      <c r="G45" s="35">
        <v>0</v>
      </c>
      <c r="H45" s="35"/>
      <c r="I45" s="35">
        <v>38</v>
      </c>
      <c r="J45" s="35">
        <v>31</v>
      </c>
      <c r="K45" s="35">
        <v>0</v>
      </c>
      <c r="L45" s="35">
        <v>0</v>
      </c>
      <c r="M45" s="35">
        <v>0</v>
      </c>
      <c r="N45" s="35"/>
      <c r="O45" s="37">
        <f t="shared" si="32"/>
        <v>6.83453237410072E-2</v>
      </c>
      <c r="P45" s="37">
        <f t="shared" si="33"/>
        <v>8.6592178770949726E-2</v>
      </c>
      <c r="Q45" s="37">
        <f t="shared" si="34"/>
        <v>0</v>
      </c>
      <c r="R45" s="37">
        <f t="shared" si="35"/>
        <v>0</v>
      </c>
      <c r="S45" s="37">
        <f t="shared" si="36"/>
        <v>0</v>
      </c>
      <c r="T45" s="37"/>
      <c r="U45" s="37">
        <f>39/569</f>
        <v>6.8541300527240778E-2</v>
      </c>
      <c r="V45" s="37"/>
      <c r="W45" s="27">
        <f t="shared" si="23"/>
        <v>0.99714074893931004</v>
      </c>
      <c r="X45" s="27">
        <f t="shared" si="24"/>
        <v>1.2633576851453947</v>
      </c>
      <c r="Y45" s="27">
        <f t="shared" si="25"/>
        <v>0</v>
      </c>
      <c r="Z45" s="27">
        <f t="shared" si="19"/>
        <v>0</v>
      </c>
      <c r="AA45" s="27">
        <f t="shared" si="20"/>
        <v>0</v>
      </c>
      <c r="AB45" s="27">
        <f t="shared" si="37"/>
        <v>1.2633576851453947</v>
      </c>
      <c r="AC45" s="43">
        <f t="shared" si="11"/>
        <v>358</v>
      </c>
      <c r="AD45" s="27" t="str">
        <f t="shared" si="12"/>
        <v>4</v>
      </c>
      <c r="AE45" s="27">
        <f t="shared" si="40"/>
        <v>6.6758204466905412E-3</v>
      </c>
      <c r="AF45" s="27">
        <f t="shared" si="40"/>
        <v>0.10098755246720884</v>
      </c>
      <c r="AG45" s="27">
        <f t="shared" si="40"/>
        <v>0</v>
      </c>
      <c r="AH45" s="27">
        <f t="shared" si="40"/>
        <v>0</v>
      </c>
      <c r="AI45" s="27">
        <f t="shared" si="40"/>
        <v>0</v>
      </c>
      <c r="AY45" t="s">
        <v>35</v>
      </c>
      <c r="AZ45" t="str">
        <f>IF(COUNTIF(W23:AA23,AZ32), B23, IF(COUNTIF(W24:AA24,AZ32), B24, IF(COUNTIF(W25:AA25,AZ32), B25, B26)))</f>
        <v>dE(class)</v>
      </c>
    </row>
    <row r="46" spans="1:71" x14ac:dyDescent="0.3">
      <c r="A46" s="32" t="s">
        <v>37</v>
      </c>
      <c r="B46" s="1" t="s">
        <v>30</v>
      </c>
      <c r="C46" s="36">
        <v>568</v>
      </c>
      <c r="D46" s="36">
        <v>528</v>
      </c>
      <c r="E46" s="36">
        <v>223</v>
      </c>
      <c r="F46" s="36">
        <v>20</v>
      </c>
      <c r="G46" s="36">
        <v>0</v>
      </c>
      <c r="H46" s="1"/>
      <c r="I46" s="36">
        <v>56</v>
      </c>
      <c r="J46" s="36">
        <v>51</v>
      </c>
      <c r="K46" s="36">
        <v>37</v>
      </c>
      <c r="L46" s="36">
        <v>5</v>
      </c>
      <c r="M46" s="36">
        <v>0</v>
      </c>
      <c r="N46" s="1"/>
      <c r="O46" s="9">
        <f t="shared" si="32"/>
        <v>9.8591549295774641E-2</v>
      </c>
      <c r="P46" s="9">
        <f t="shared" si="33"/>
        <v>9.6590909090909088E-2</v>
      </c>
      <c r="Q46" s="9">
        <f t="shared" si="34"/>
        <v>0.16591928251121077</v>
      </c>
      <c r="R46" s="9">
        <f t="shared" si="35"/>
        <v>0.25</v>
      </c>
      <c r="S46" s="9">
        <f t="shared" si="36"/>
        <v>0</v>
      </c>
      <c r="T46" s="9"/>
      <c r="U46" s="9">
        <f>56/569</f>
        <v>9.8418277680140595E-2</v>
      </c>
      <c r="V46" s="9"/>
      <c r="W46" s="10">
        <f t="shared" si="23"/>
        <v>1.0017605633802817</v>
      </c>
      <c r="X46" s="10">
        <f t="shared" si="24"/>
        <v>0.98143262987012991</v>
      </c>
      <c r="Y46" s="10">
        <f t="shared" si="25"/>
        <v>1.6858584240871237</v>
      </c>
      <c r="Z46" s="10">
        <f t="shared" si="19"/>
        <v>2.5401785714285716</v>
      </c>
      <c r="AA46" s="10">
        <f t="shared" si="20"/>
        <v>0</v>
      </c>
      <c r="AB46" s="10">
        <f t="shared" si="37"/>
        <v>2.5401785714285716</v>
      </c>
      <c r="AC46" s="45">
        <f t="shared" si="11"/>
        <v>20</v>
      </c>
      <c r="AD46" s="10" t="str">
        <f t="shared" si="12"/>
        <v>6</v>
      </c>
      <c r="AE46" s="10">
        <f t="shared" ref="AE46:AI49" si="41">IF(C46&gt;0,((I46*((3*56)+C46))/(4*C46*56))*(1-(C46-I46)/(569-56)),0)</f>
        <v>6.3146912665076069E-4</v>
      </c>
      <c r="AF46" s="10">
        <f t="shared" si="41"/>
        <v>2.1061175666438822E-2</v>
      </c>
      <c r="AG46" s="10">
        <f t="shared" si="41"/>
        <v>0.18461032532751909</v>
      </c>
      <c r="AH46" s="10">
        <f t="shared" si="41"/>
        <v>0.20368629908103594</v>
      </c>
      <c r="AI46" s="10">
        <f t="shared" si="41"/>
        <v>0</v>
      </c>
      <c r="AY46" t="s">
        <v>37</v>
      </c>
      <c r="AZ46" t="str">
        <f>IF(COUNTIF(W27:AA27,AZ33), B27, IF(COUNTIF(W28:AA28,AZ33), B28, IF(COUNTIF(W29:AA29,AZ33), B29, B30)))</f>
        <v>dU</v>
      </c>
    </row>
    <row r="47" spans="1:71" x14ac:dyDescent="0.3">
      <c r="A47" s="32" t="s">
        <v>37</v>
      </c>
      <c r="B47" t="s">
        <v>27</v>
      </c>
      <c r="C47" s="25">
        <v>17</v>
      </c>
      <c r="D47" s="25">
        <v>0</v>
      </c>
      <c r="E47" s="25">
        <v>0</v>
      </c>
      <c r="F47" s="25">
        <v>0</v>
      </c>
      <c r="G47" s="25">
        <v>0</v>
      </c>
      <c r="I47" s="25">
        <v>4</v>
      </c>
      <c r="J47" s="25">
        <v>0</v>
      </c>
      <c r="K47" s="25">
        <v>0</v>
      </c>
      <c r="L47" s="25">
        <v>0</v>
      </c>
      <c r="M47" s="25">
        <v>0</v>
      </c>
      <c r="O47" s="2">
        <f t="shared" si="32"/>
        <v>0.23529411764705882</v>
      </c>
      <c r="P47" s="2">
        <f t="shared" si="33"/>
        <v>0</v>
      </c>
      <c r="Q47" s="2">
        <f t="shared" si="34"/>
        <v>0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2.3907563025210083</v>
      </c>
      <c r="X47" s="3">
        <f t="shared" si="24"/>
        <v>0</v>
      </c>
      <c r="Y47" s="3">
        <f t="shared" si="25"/>
        <v>0</v>
      </c>
      <c r="Z47" s="3">
        <f t="shared" si="19"/>
        <v>0</v>
      </c>
      <c r="AA47" s="3">
        <f t="shared" si="20"/>
        <v>0</v>
      </c>
      <c r="AB47" s="3">
        <f t="shared" si="37"/>
        <v>2.3907563025210083</v>
      </c>
      <c r="AC47" s="44">
        <f t="shared" si="11"/>
        <v>17</v>
      </c>
      <c r="AD47" s="3" t="str">
        <f t="shared" si="12"/>
        <v>3</v>
      </c>
      <c r="AE47" s="3">
        <f t="shared" si="41"/>
        <v>0.18940324667878847</v>
      </c>
      <c r="AF47" s="3">
        <f t="shared" si="41"/>
        <v>0</v>
      </c>
      <c r="AG47" s="3">
        <f t="shared" si="41"/>
        <v>0</v>
      </c>
      <c r="AH47" s="3">
        <f t="shared" si="41"/>
        <v>0</v>
      </c>
      <c r="AI47" s="3">
        <f t="shared" si="41"/>
        <v>0</v>
      </c>
      <c r="AY47" t="s">
        <v>38</v>
      </c>
      <c r="AZ47" t="str">
        <f>IF(COUNTIF(W31:AA31,AZ34), B31, IF(COUNTIF(W32:AA32,AZ34), B32, IF(COUNTIF(W33:AA33,AZ34), B33, B34)))</f>
        <v>dE(class)</v>
      </c>
    </row>
    <row r="48" spans="1:71" x14ac:dyDescent="0.3">
      <c r="A48" s="32" t="s">
        <v>37</v>
      </c>
      <c r="B48" t="s">
        <v>28</v>
      </c>
      <c r="C48" s="25">
        <v>529</v>
      </c>
      <c r="D48" s="25">
        <v>32</v>
      </c>
      <c r="E48" s="25">
        <v>1</v>
      </c>
      <c r="F48" s="25">
        <v>0</v>
      </c>
      <c r="G48" s="25">
        <v>0</v>
      </c>
      <c r="I48" s="25">
        <v>55</v>
      </c>
      <c r="J48" s="25">
        <v>3</v>
      </c>
      <c r="K48" s="25">
        <v>0</v>
      </c>
      <c r="L48" s="25">
        <v>0</v>
      </c>
      <c r="M48" s="25">
        <v>0</v>
      </c>
      <c r="O48" s="2">
        <f t="shared" si="32"/>
        <v>0.10396975425330812</v>
      </c>
      <c r="P48" s="2">
        <f t="shared" si="33"/>
        <v>9.375E-2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1.0564069673237915</v>
      </c>
      <c r="X48" s="3">
        <f t="shared" si="24"/>
        <v>0.9525669642857143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27">
        <f t="shared" si="37"/>
        <v>1.0564069673237915</v>
      </c>
      <c r="AC48" s="43">
        <f t="shared" si="11"/>
        <v>529</v>
      </c>
      <c r="AD48" s="27" t="str">
        <f t="shared" si="12"/>
        <v>3</v>
      </c>
      <c r="AE48" s="3">
        <f t="shared" si="41"/>
        <v>2.4594557834409607E-2</v>
      </c>
      <c r="AF48" s="3">
        <f t="shared" si="41"/>
        <v>7.8973475355054293E-2</v>
      </c>
      <c r="AG48" s="3">
        <f t="shared" si="41"/>
        <v>0</v>
      </c>
      <c r="AH48" s="3">
        <f t="shared" si="41"/>
        <v>0</v>
      </c>
      <c r="AI48" s="3">
        <f t="shared" si="41"/>
        <v>0</v>
      </c>
    </row>
    <row r="49" spans="1:53" x14ac:dyDescent="0.3">
      <c r="A49" s="32" t="s">
        <v>37</v>
      </c>
      <c r="B49" t="s">
        <v>29</v>
      </c>
      <c r="C49" s="35">
        <v>45</v>
      </c>
      <c r="D49" s="35">
        <v>18</v>
      </c>
      <c r="E49" s="35">
        <v>3</v>
      </c>
      <c r="F49" s="35">
        <v>0</v>
      </c>
      <c r="G49" s="35">
        <v>0</v>
      </c>
      <c r="H49" s="35"/>
      <c r="I49" s="35">
        <v>3</v>
      </c>
      <c r="J49" s="35">
        <v>1</v>
      </c>
      <c r="K49" s="35">
        <v>0</v>
      </c>
      <c r="L49" s="35">
        <v>0</v>
      </c>
      <c r="M49" s="35">
        <v>0</v>
      </c>
      <c r="N49" s="35"/>
      <c r="O49" s="37">
        <f t="shared" si="32"/>
        <v>6.6666666666666666E-2</v>
      </c>
      <c r="P49" s="37">
        <f t="shared" si="33"/>
        <v>5.5555555555555552E-2</v>
      </c>
      <c r="Q49" s="37">
        <f t="shared" si="34"/>
        <v>0</v>
      </c>
      <c r="R49" s="37">
        <f t="shared" si="35"/>
        <v>0</v>
      </c>
      <c r="S49" s="37">
        <f t="shared" si="36"/>
        <v>0</v>
      </c>
      <c r="T49" s="37"/>
      <c r="U49" s="37">
        <f>56/569</f>
        <v>9.8418277680140595E-2</v>
      </c>
      <c r="V49" s="37"/>
      <c r="W49" s="27">
        <f t="shared" si="23"/>
        <v>0.67738095238095242</v>
      </c>
      <c r="X49" s="27">
        <f t="shared" si="24"/>
        <v>0.56448412698412698</v>
      </c>
      <c r="Y49" s="27">
        <f t="shared" si="25"/>
        <v>0</v>
      </c>
      <c r="Z49" s="27">
        <f t="shared" si="19"/>
        <v>0</v>
      </c>
      <c r="AA49" s="27">
        <f t="shared" si="20"/>
        <v>0</v>
      </c>
      <c r="AB49" s="27">
        <f t="shared" si="37"/>
        <v>0.67738095238095242</v>
      </c>
      <c r="AC49" s="43">
        <f t="shared" si="11"/>
        <v>45</v>
      </c>
      <c r="AD49" s="27" t="str">
        <f t="shared" si="12"/>
        <v>3</v>
      </c>
      <c r="AE49" s="27">
        <f t="shared" si="41"/>
        <v>5.8202798663324978E-2</v>
      </c>
      <c r="AF49" s="27">
        <f t="shared" si="41"/>
        <v>4.4602246356632319E-2</v>
      </c>
      <c r="AG49" s="27">
        <f t="shared" si="41"/>
        <v>0</v>
      </c>
      <c r="AH49" s="27">
        <f t="shared" si="41"/>
        <v>0</v>
      </c>
      <c r="AI49" s="27">
        <f t="shared" si="41"/>
        <v>0</v>
      </c>
      <c r="AY49" t="s">
        <v>46</v>
      </c>
      <c r="AZ49" t="s">
        <v>47</v>
      </c>
    </row>
    <row r="50" spans="1:53" x14ac:dyDescent="0.3">
      <c r="A50" s="32" t="s">
        <v>38</v>
      </c>
      <c r="B50" s="1" t="s">
        <v>30</v>
      </c>
      <c r="C50" s="36">
        <v>568</v>
      </c>
      <c r="D50" s="36">
        <v>546</v>
      </c>
      <c r="E50" s="36">
        <v>251</v>
      </c>
      <c r="F50" s="36">
        <v>5</v>
      </c>
      <c r="G50" s="36">
        <v>0</v>
      </c>
      <c r="H50" s="1"/>
      <c r="I50" s="36">
        <v>53</v>
      </c>
      <c r="J50" s="36">
        <v>52</v>
      </c>
      <c r="K50" s="36">
        <v>36</v>
      </c>
      <c r="L50" s="36">
        <v>0</v>
      </c>
      <c r="M50" s="36">
        <v>0</v>
      </c>
      <c r="N50" s="1"/>
      <c r="O50" s="9">
        <f t="shared" si="32"/>
        <v>9.3309859154929578E-2</v>
      </c>
      <c r="P50" s="9">
        <f t="shared" si="33"/>
        <v>9.5238095238095233E-2</v>
      </c>
      <c r="Q50" s="9">
        <f t="shared" si="34"/>
        <v>0.14342629482071714</v>
      </c>
      <c r="R50" s="9">
        <f t="shared" si="35"/>
        <v>0</v>
      </c>
      <c r="S50" s="9">
        <f t="shared" si="36"/>
        <v>0</v>
      </c>
      <c r="T50" s="9"/>
      <c r="U50" s="9">
        <f>53/569</f>
        <v>9.3145869947275917E-2</v>
      </c>
      <c r="V50" s="9"/>
      <c r="W50" s="10">
        <f t="shared" si="23"/>
        <v>1.0017605633802817</v>
      </c>
      <c r="X50" s="10">
        <f t="shared" si="24"/>
        <v>1.0224618149146452</v>
      </c>
      <c r="Y50" s="10">
        <f t="shared" si="25"/>
        <v>1.5398030519431709</v>
      </c>
      <c r="Z50" s="10">
        <f t="shared" si="19"/>
        <v>0</v>
      </c>
      <c r="AA50" s="10">
        <f t="shared" si="20"/>
        <v>0</v>
      </c>
      <c r="AB50" s="10">
        <f t="shared" si="37"/>
        <v>1.5398030519431709</v>
      </c>
      <c r="AC50" s="45">
        <f t="shared" si="11"/>
        <v>251</v>
      </c>
      <c r="AD50" s="10" t="str">
        <f t="shared" si="12"/>
        <v>5</v>
      </c>
      <c r="AE50" s="10">
        <f t="shared" ref="AE50:AI53" si="42">IF(C50&gt;0,((I50*((3*53)+C50))/(4*C50*53))*(1-(C50-I50)/(569-53)),0)</f>
        <v>6.2012091931433672E-4</v>
      </c>
      <c r="AF50" s="10">
        <f t="shared" si="42"/>
        <v>1.3503207338222686E-2</v>
      </c>
      <c r="AG50" s="10">
        <f t="shared" si="42"/>
        <v>0.16180560775764863</v>
      </c>
      <c r="AH50" s="10">
        <f t="shared" si="42"/>
        <v>0</v>
      </c>
      <c r="AI50" s="10">
        <f t="shared" si="42"/>
        <v>0</v>
      </c>
      <c r="AY50" t="s">
        <v>27</v>
      </c>
      <c r="AZ50">
        <f>COUNTIF(AZ$40:AZ$47, AY50)</f>
        <v>4</v>
      </c>
    </row>
    <row r="51" spans="1:53" x14ac:dyDescent="0.3">
      <c r="A51" s="32" t="s">
        <v>38</v>
      </c>
      <c r="B51" t="s">
        <v>27</v>
      </c>
      <c r="C51" s="25">
        <v>509</v>
      </c>
      <c r="D51" s="25">
        <v>47</v>
      </c>
      <c r="E51" s="25">
        <v>1</v>
      </c>
      <c r="F51" s="25">
        <v>0</v>
      </c>
      <c r="G51" s="25">
        <v>0</v>
      </c>
      <c r="I51" s="25">
        <v>52</v>
      </c>
      <c r="J51" s="25">
        <v>4</v>
      </c>
      <c r="K51" s="25">
        <v>0</v>
      </c>
      <c r="L51" s="25">
        <v>0</v>
      </c>
      <c r="M51" s="25">
        <v>0</v>
      </c>
      <c r="O51" s="2">
        <f t="shared" si="32"/>
        <v>0.10216110019646366</v>
      </c>
      <c r="P51" s="2">
        <f t="shared" si="33"/>
        <v>8.5106382978723402E-2</v>
      </c>
      <c r="Q51" s="2">
        <f t="shared" si="34"/>
        <v>0</v>
      </c>
      <c r="R51" s="2">
        <f t="shared" si="35"/>
        <v>0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1.0967861511658079</v>
      </c>
      <c r="X51" s="3">
        <f t="shared" si="24"/>
        <v>0.91368928141308714</v>
      </c>
      <c r="Y51" s="3">
        <f t="shared" si="25"/>
        <v>0</v>
      </c>
      <c r="Z51" s="3">
        <f t="shared" si="19"/>
        <v>0</v>
      </c>
      <c r="AA51" s="3">
        <f t="shared" si="20"/>
        <v>0</v>
      </c>
      <c r="AB51" s="3">
        <f t="shared" si="37"/>
        <v>1.0967861511658079</v>
      </c>
      <c r="AC51" s="44">
        <f t="shared" si="11"/>
        <v>509</v>
      </c>
      <c r="AD51" s="3" t="str">
        <f t="shared" si="12"/>
        <v>3</v>
      </c>
      <c r="AE51" s="3">
        <f t="shared" si="42"/>
        <v>3.6806834877715237E-2</v>
      </c>
      <c r="AF51" s="3">
        <f t="shared" si="42"/>
        <v>7.5806235782149067E-2</v>
      </c>
      <c r="AG51" s="3">
        <f t="shared" si="42"/>
        <v>0</v>
      </c>
      <c r="AH51" s="3">
        <f t="shared" si="42"/>
        <v>0</v>
      </c>
      <c r="AI51" s="3">
        <f t="shared" si="42"/>
        <v>0</v>
      </c>
      <c r="AY51" t="s">
        <v>28</v>
      </c>
      <c r="AZ51">
        <f t="shared" ref="AZ51:AZ53" si="43">COUNTIF(AZ$40:AZ$47, AY51)</f>
        <v>0</v>
      </c>
    </row>
    <row r="52" spans="1:53" x14ac:dyDescent="0.3">
      <c r="A52" s="32" t="s">
        <v>38</v>
      </c>
      <c r="B52" t="s">
        <v>28</v>
      </c>
      <c r="C52" s="25">
        <v>568</v>
      </c>
      <c r="D52" s="25">
        <v>558</v>
      </c>
      <c r="E52" s="25">
        <v>417</v>
      </c>
      <c r="F52" s="25">
        <v>67</v>
      </c>
      <c r="G52" s="25">
        <v>0</v>
      </c>
      <c r="I52" s="25">
        <v>53</v>
      </c>
      <c r="J52" s="25">
        <v>53</v>
      </c>
      <c r="K52" s="25">
        <v>37</v>
      </c>
      <c r="L52" s="25">
        <v>1</v>
      </c>
      <c r="M52" s="25">
        <v>0</v>
      </c>
      <c r="O52" s="2">
        <f t="shared" si="32"/>
        <v>9.3309859154929578E-2</v>
      </c>
      <c r="P52" s="2">
        <f t="shared" si="33"/>
        <v>9.4982078853046589E-2</v>
      </c>
      <c r="Q52" s="2">
        <f t="shared" si="34"/>
        <v>8.8729016786570747E-2</v>
      </c>
      <c r="R52" s="2">
        <f t="shared" si="35"/>
        <v>1.4925373134328358E-2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1.0017605633802817</v>
      </c>
      <c r="X52" s="3">
        <f t="shared" si="24"/>
        <v>1.0197132616487454</v>
      </c>
      <c r="Y52" s="3">
        <f t="shared" si="25"/>
        <v>0.95258133116148602</v>
      </c>
      <c r="Z52" s="3">
        <f t="shared" si="19"/>
        <v>0.16023655308363841</v>
      </c>
      <c r="AA52" s="3">
        <f t="shared" si="20"/>
        <v>0</v>
      </c>
      <c r="AB52" s="3">
        <f t="shared" si="37"/>
        <v>1.0197132616487454</v>
      </c>
      <c r="AC52" s="44">
        <f t="shared" si="11"/>
        <v>558</v>
      </c>
      <c r="AD52" s="3" t="str">
        <f t="shared" si="12"/>
        <v>4</v>
      </c>
      <c r="AE52" s="3">
        <f t="shared" si="42"/>
        <v>6.2012091931433672E-4</v>
      </c>
      <c r="AF52" s="3">
        <f t="shared" si="42"/>
        <v>6.8480661832124815E-3</v>
      </c>
      <c r="AG52" s="3">
        <f t="shared" si="42"/>
        <v>6.3539164280686025E-2</v>
      </c>
      <c r="AH52" s="3">
        <f t="shared" si="42"/>
        <v>1.3875881671065472E-2</v>
      </c>
      <c r="AI52" s="3">
        <f t="shared" si="42"/>
        <v>0</v>
      </c>
      <c r="AY52" t="s">
        <v>29</v>
      </c>
      <c r="AZ52">
        <f t="shared" si="43"/>
        <v>1</v>
      </c>
    </row>
    <row r="53" spans="1:53" x14ac:dyDescent="0.3">
      <c r="A53" s="32" t="s">
        <v>38</v>
      </c>
      <c r="B53" t="s">
        <v>29</v>
      </c>
      <c r="C53" s="35">
        <v>44</v>
      </c>
      <c r="D53" s="35">
        <v>13</v>
      </c>
      <c r="E53" s="35">
        <v>1</v>
      </c>
      <c r="F53" s="35">
        <v>0</v>
      </c>
      <c r="G53" s="35">
        <v>0</v>
      </c>
      <c r="H53" s="35"/>
      <c r="I53" s="35">
        <v>1</v>
      </c>
      <c r="J53" s="35">
        <v>0</v>
      </c>
      <c r="K53" s="35">
        <v>0</v>
      </c>
      <c r="L53" s="35">
        <v>0</v>
      </c>
      <c r="M53" s="35">
        <v>0</v>
      </c>
      <c r="N53" s="35"/>
      <c r="O53" s="37">
        <f t="shared" si="32"/>
        <v>2.2727272727272728E-2</v>
      </c>
      <c r="P53" s="37">
        <f t="shared" si="33"/>
        <v>0</v>
      </c>
      <c r="Q53" s="37">
        <f t="shared" si="34"/>
        <v>0</v>
      </c>
      <c r="R53" s="37">
        <f t="shared" si="35"/>
        <v>0</v>
      </c>
      <c r="S53" s="37">
        <f t="shared" si="36"/>
        <v>0</v>
      </c>
      <c r="T53" s="37"/>
      <c r="U53" s="37">
        <f>53/569</f>
        <v>9.3145869947275917E-2</v>
      </c>
      <c r="V53" s="37"/>
      <c r="W53" s="27">
        <f t="shared" si="23"/>
        <v>0.24399656946826762</v>
      </c>
      <c r="X53" s="27">
        <f t="shared" si="24"/>
        <v>0</v>
      </c>
      <c r="Y53" s="27">
        <f t="shared" si="25"/>
        <v>0</v>
      </c>
      <c r="Z53" s="27">
        <f t="shared" si="19"/>
        <v>0</v>
      </c>
      <c r="AA53" s="27">
        <f t="shared" si="20"/>
        <v>0</v>
      </c>
      <c r="AB53" s="27">
        <f t="shared" si="37"/>
        <v>0.24399656946826762</v>
      </c>
      <c r="AC53" s="43">
        <f t="shared" si="11"/>
        <v>44</v>
      </c>
      <c r="AD53" s="27" t="str">
        <f t="shared" si="12"/>
        <v>3</v>
      </c>
      <c r="AE53" s="27">
        <f t="shared" si="42"/>
        <v>1.9948899371069181E-2</v>
      </c>
      <c r="AF53" s="27">
        <f t="shared" si="42"/>
        <v>0</v>
      </c>
      <c r="AG53" s="27">
        <f t="shared" si="42"/>
        <v>0</v>
      </c>
      <c r="AH53" s="27">
        <f t="shared" si="42"/>
        <v>0</v>
      </c>
      <c r="AI53" s="27">
        <f t="shared" si="42"/>
        <v>0</v>
      </c>
      <c r="AY53" t="s">
        <v>30</v>
      </c>
      <c r="AZ53">
        <f t="shared" si="43"/>
        <v>3</v>
      </c>
    </row>
    <row r="54" spans="1:53" x14ac:dyDescent="0.3">
      <c r="A54" s="33" t="s">
        <v>57</v>
      </c>
      <c r="B54" s="1" t="s">
        <v>30</v>
      </c>
      <c r="C54" s="1">
        <v>20</v>
      </c>
      <c r="D54" s="1">
        <v>3</v>
      </c>
      <c r="E54" s="1">
        <v>1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30">
        <f t="shared" ref="O54:S54" si="44">IF(I54&gt;0, I54/C54, 0)</f>
        <v>0</v>
      </c>
      <c r="P54" s="30">
        <f t="shared" si="44"/>
        <v>0</v>
      </c>
      <c r="Q54" s="30">
        <f t="shared" si="44"/>
        <v>0</v>
      </c>
      <c r="R54" s="30">
        <f t="shared" si="44"/>
        <v>0</v>
      </c>
      <c r="S54" s="30">
        <f t="shared" si="44"/>
        <v>0</v>
      </c>
      <c r="T54" s="30"/>
      <c r="U54" s="30">
        <f t="shared" ref="U54" si="45">57/569</f>
        <v>0.10017574692442882</v>
      </c>
      <c r="V54" s="30"/>
      <c r="W54" s="31">
        <f t="shared" ref="W54:AA54" si="46">O54/$U54</f>
        <v>0</v>
      </c>
      <c r="X54" s="31">
        <f t="shared" si="46"/>
        <v>0</v>
      </c>
      <c r="Y54" s="31">
        <f t="shared" si="46"/>
        <v>0</v>
      </c>
      <c r="Z54" s="31">
        <f t="shared" si="46"/>
        <v>0</v>
      </c>
      <c r="AA54" s="31">
        <f t="shared" si="46"/>
        <v>0</v>
      </c>
      <c r="AB54" s="31">
        <f t="shared" ref="AB54" si="47">MAX(W54:AA54)</f>
        <v>0</v>
      </c>
      <c r="AC54" s="42">
        <f t="shared" si="11"/>
        <v>20</v>
      </c>
      <c r="AD54" s="31" t="str">
        <f t="shared" si="12"/>
        <v>3</v>
      </c>
      <c r="AE54" s="31">
        <f>IF(C54&gt;0,((I54*((3*57)+C54))/(4*C54*57))*(1-(C54-I54)/(569-57)),0)</f>
        <v>0</v>
      </c>
      <c r="AF54" s="31">
        <f t="shared" ref="AF54:AI54" si="48">IF(D54&gt;0,((J54*((3*57)+D54))/(4*D54*57))*(1-(D54-J54)/(569-57)),0)</f>
        <v>0</v>
      </c>
      <c r="AG54" s="31">
        <f t="shared" si="48"/>
        <v>0</v>
      </c>
      <c r="AH54" s="31">
        <f t="shared" si="48"/>
        <v>0</v>
      </c>
      <c r="AI54" s="31">
        <f t="shared" si="48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6</v>
      </c>
      <c r="BA56">
        <f>SUM(COUNTIF(AB3, "&gt;2"), COUNTIF(AB7, "&gt;2"), COUNTIF(AB11, "&gt;2"), COUNTIF(AB15, "&gt;2"), COUNTIF(AB19, "&gt;2"), COUNTIF(AB23, "&gt;2"), COUNTIF(AB27, "&gt;2"), COUNTIF(AB31, "&gt;2"))</f>
        <v>5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3</v>
      </c>
      <c r="BA57">
        <f t="shared" ref="BA57:BA59" si="49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50">SUM(COUNTIF(AB5, "&gt;1.5"), COUNTIF(AB9, "&gt;1.5"), COUNTIF(AB13, "&gt;1.5"), COUNTIF(AB17, "&gt;1.5"), COUNTIF(AB21, "&gt;1.5"), COUNTIF(AB25, "&gt;1.5"), COUNTIF(AB29, "&gt;1.5"), COUNTIF(AB33, "&gt;1.5"))</f>
        <v>4</v>
      </c>
      <c r="BA58">
        <f t="shared" si="49"/>
        <v>4</v>
      </c>
    </row>
    <row r="59" spans="1:53" x14ac:dyDescent="0.3">
      <c r="AY59" t="s">
        <v>30</v>
      </c>
      <c r="AZ59">
        <f t="shared" si="50"/>
        <v>2</v>
      </c>
      <c r="BA59">
        <f t="shared" si="49"/>
        <v>2</v>
      </c>
    </row>
  </sheetData>
  <sortState xmlns:xlrd2="http://schemas.microsoft.com/office/spreadsheetml/2017/richdata2" ref="A3:AI53">
    <sortCondition ref="A3:A53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30D3-F768-4A48-B422-40BCAA9210AB}">
  <sheetPr codeName="Sheet3"/>
  <dimension ref="A1:BS59"/>
  <sheetViews>
    <sheetView topLeftCell="N1" zoomScale="55" zoomScaleNormal="55" workbookViewId="0">
      <selection activeCell="AD3" sqref="AD3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563</v>
      </c>
      <c r="D3">
        <v>170</v>
      </c>
      <c r="E3">
        <v>11</v>
      </c>
      <c r="F3">
        <v>0</v>
      </c>
      <c r="G3">
        <v>0</v>
      </c>
      <c r="I3">
        <v>65</v>
      </c>
      <c r="J3">
        <v>36</v>
      </c>
      <c r="K3">
        <v>0</v>
      </c>
      <c r="L3">
        <v>0</v>
      </c>
      <c r="M3">
        <v>0</v>
      </c>
      <c r="O3" s="28">
        <f t="shared" ref="O3:O34" si="0">IF(I3&gt;0, I3/C3, 0)</f>
        <v>0.11545293072824156</v>
      </c>
      <c r="P3" s="28">
        <f t="shared" ref="P3:P34" si="1">IF(J3&gt;0, J3/D3, 0)</f>
        <v>0.21176470588235294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1.0106571936056838</v>
      </c>
      <c r="X3" s="29">
        <f t="shared" si="5"/>
        <v>1.8537556561085973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1.8537556561085973</v>
      </c>
      <c r="AC3" s="41">
        <f>INDEX(C3:AA3, 1, MATCH(AB3, W3:AA3, 0))</f>
        <v>170</v>
      </c>
      <c r="AD3" s="29" t="str">
        <f>LEFT(INDEX(C$2:G$2, 1, MATCH(AB3, W3:AA3, 0)),1)</f>
        <v>4</v>
      </c>
      <c r="AE3" s="29">
        <f t="shared" ref="AE3:AI6" si="7">IF(C3&gt;0,((I3*((3*65)+C3))/(4*C3*65))*(1-(C3-I3)/(569-65)),0)</f>
        <v>4.0070202148354758E-3</v>
      </c>
      <c r="AF3" s="29">
        <f t="shared" si="7"/>
        <v>0.21824499030381386</v>
      </c>
      <c r="AG3" s="29">
        <f t="shared" si="7"/>
        <v>0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0.1083545850855276</v>
      </c>
      <c r="AM3" s="2">
        <f t="shared" si="8"/>
        <v>0.12007892780202517</v>
      </c>
      <c r="AN3" s="2">
        <f t="shared" si="8"/>
        <v>0.28284736834571511</v>
      </c>
      <c r="AO3" s="2">
        <f t="shared" si="8"/>
        <v>5.5555555555555552E-2</v>
      </c>
      <c r="AP3" s="2">
        <f t="shared" si="8"/>
        <v>0</v>
      </c>
      <c r="AR3" t="s">
        <v>27</v>
      </c>
      <c r="AS3" s="4">
        <f>AVERAGE(W3,W7,W11,W15,W19,W23,W27,W31)</f>
        <v>0.99316048735512763</v>
      </c>
      <c r="AT3" s="4">
        <f>AVERAGE(X3,X7,X11,X15,X19,X23,X27,X31)</f>
        <v>1.1729615052141822</v>
      </c>
      <c r="AU3" s="4">
        <f>AVERAGE(Y3,Y7,Y11,Y15,Y19,Y23,Y27,Y31)</f>
        <v>2.3987931700860661</v>
      </c>
      <c r="AV3" s="4">
        <f>AVERAGE(Z3,Z7,Z11,Z15,Z19,Z23,Z27,Z31)</f>
        <v>0.2756782945736434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8.2964960107315376E-3</v>
      </c>
      <c r="AZ3" s="4">
        <f t="shared" si="9"/>
        <v>9.9816304373965811E-2</v>
      </c>
      <c r="BA3" s="4">
        <f t="shared" si="9"/>
        <v>0.17733415449085099</v>
      </c>
      <c r="BB3" s="4">
        <f t="shared" si="9"/>
        <v>3.148246786075401E-2</v>
      </c>
      <c r="BC3" s="4">
        <f t="shared" si="9"/>
        <v>0</v>
      </c>
      <c r="BE3" s="5">
        <f>MAX(AE3,AE7,AE11,AE15,AE19,AE23,AE27,AE31)</f>
        <v>3.8774534576399171E-2</v>
      </c>
      <c r="BF3" s="5">
        <f t="shared" ref="BF3:BI6" si="10">MAX(AF3,AF7,AF11,AF15,AF19,AF23,AF27,AF31)</f>
        <v>0.21824499030381386</v>
      </c>
      <c r="BG3" s="5">
        <f t="shared" si="10"/>
        <v>0.62207091696878591</v>
      </c>
      <c r="BH3" s="5">
        <f t="shared" si="10"/>
        <v>0.25185974288603208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501</v>
      </c>
      <c r="D4">
        <v>39</v>
      </c>
      <c r="E4">
        <v>2</v>
      </c>
      <c r="F4">
        <v>0</v>
      </c>
      <c r="G4">
        <v>0</v>
      </c>
      <c r="I4">
        <v>63</v>
      </c>
      <c r="J4">
        <v>9</v>
      </c>
      <c r="K4">
        <v>0</v>
      </c>
      <c r="L4">
        <v>0</v>
      </c>
      <c r="M4">
        <v>0</v>
      </c>
      <c r="O4" s="28">
        <f t="shared" si="0"/>
        <v>0.12574850299401197</v>
      </c>
      <c r="P4" s="28">
        <f t="shared" si="1"/>
        <v>0.23076923076923078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1.1007830492860433</v>
      </c>
      <c r="X4" s="29">
        <f t="shared" si="5"/>
        <v>2.0201183431952665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2.0201183431952665</v>
      </c>
      <c r="AC4" s="41">
        <f t="shared" ref="AC4:AC54" si="11">INDEX(C4:AA4, 1, MATCH(AB4, W4:AA4, 0))</f>
        <v>39</v>
      </c>
      <c r="AD4" s="29" t="str">
        <f t="shared" ref="AD4:AD54" si="12">LEFT(INDEX(C$2:G$2, 1, MATCH(AB4, W4:AA4, 0)),1)</f>
        <v>4</v>
      </c>
      <c r="AE4" s="29">
        <f t="shared" si="7"/>
        <v>4.4081068631966834E-2</v>
      </c>
      <c r="AF4" s="29">
        <f t="shared" si="7"/>
        <v>0.19532967032967033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0.10197481498064986</v>
      </c>
      <c r="AM4" s="6">
        <f t="shared" si="8"/>
        <v>0.1064409314633329</v>
      </c>
      <c r="AN4" s="6">
        <f t="shared" si="8"/>
        <v>5.5555555555555552E-2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1.0261945625489148</v>
      </c>
      <c r="AT4" s="7">
        <f t="shared" ref="AT4:AW6" si="14">AVERAGE(X4,X8,X12,X16,X20,X24,X28,X32)</f>
        <v>1.226082686095787</v>
      </c>
      <c r="AU4" s="7">
        <f t="shared" si="14"/>
        <v>0.35329178213366086</v>
      </c>
      <c r="AV4" s="7">
        <f t="shared" si="14"/>
        <v>0</v>
      </c>
      <c r="AW4" s="7">
        <f t="shared" si="14"/>
        <v>0</v>
      </c>
      <c r="AX4" s="4"/>
      <c r="AY4" s="7">
        <f t="shared" si="9"/>
        <v>4.6113776333157462E-2</v>
      </c>
      <c r="AZ4" s="7">
        <f t="shared" si="9"/>
        <v>0.10570063032559802</v>
      </c>
      <c r="BA4" s="7">
        <f t="shared" si="9"/>
        <v>3.7470005144327412E-2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0.10608201031809374</v>
      </c>
      <c r="BF4" s="5">
        <f t="shared" si="10"/>
        <v>0.37952401070271791</v>
      </c>
      <c r="BG4" s="8">
        <f t="shared" si="10"/>
        <v>0.25185974288603208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558</v>
      </c>
      <c r="D5">
        <v>125</v>
      </c>
      <c r="E5">
        <v>7</v>
      </c>
      <c r="F5">
        <v>0</v>
      </c>
      <c r="G5">
        <v>0</v>
      </c>
      <c r="I5">
        <v>64</v>
      </c>
      <c r="J5">
        <v>17</v>
      </c>
      <c r="K5">
        <v>0</v>
      </c>
      <c r="L5">
        <v>0</v>
      </c>
      <c r="M5">
        <v>0</v>
      </c>
      <c r="O5" s="28">
        <f t="shared" si="0"/>
        <v>0.11469534050179211</v>
      </c>
      <c r="P5" s="28">
        <f t="shared" si="1"/>
        <v>0.13600000000000001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1.0040253653156879</v>
      </c>
      <c r="X5" s="29">
        <f t="shared" si="5"/>
        <v>1.190523076923077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1.190523076923077</v>
      </c>
      <c r="AC5" s="41">
        <f t="shared" si="11"/>
        <v>125</v>
      </c>
      <c r="AD5" s="29" t="str">
        <f t="shared" si="12"/>
        <v>4</v>
      </c>
      <c r="AE5" s="29">
        <f t="shared" si="7"/>
        <v>6.590780784329185E-3</v>
      </c>
      <c r="AF5" s="29">
        <f t="shared" si="7"/>
        <v>0.13151648351648351</v>
      </c>
      <c r="AG5" s="29">
        <f t="shared" si="7"/>
        <v>0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0.10736653410234165</v>
      </c>
      <c r="AM5" s="6">
        <f t="shared" si="8"/>
        <v>9.4372740002816077E-2</v>
      </c>
      <c r="AN5" s="6">
        <f t="shared" si="8"/>
        <v>7.9342273307790548E-2</v>
      </c>
      <c r="AO5" s="6">
        <f t="shared" si="8"/>
        <v>7.9365079365079361E-2</v>
      </c>
      <c r="AP5" s="6">
        <f t="shared" si="8"/>
        <v>0</v>
      </c>
      <c r="AR5" t="s">
        <v>29</v>
      </c>
      <c r="AS5" s="7">
        <f t="shared" si="13"/>
        <v>0.99671980680244843</v>
      </c>
      <c r="AT5" s="7">
        <f t="shared" si="14"/>
        <v>0.88865544056914691</v>
      </c>
      <c r="AU5" s="7">
        <f t="shared" si="14"/>
        <v>0.51202834568665279</v>
      </c>
      <c r="AV5" s="7">
        <f t="shared" si="14"/>
        <v>0.59320061600221485</v>
      </c>
      <c r="AW5" s="7">
        <f t="shared" si="14"/>
        <v>0</v>
      </c>
      <c r="AX5" s="4"/>
      <c r="AY5" s="7">
        <f t="shared" si="9"/>
        <v>7.3191279367520127E-3</v>
      </c>
      <c r="AZ5" s="7">
        <f t="shared" si="9"/>
        <v>8.3815631574397156E-2</v>
      </c>
      <c r="BA5" s="7">
        <f t="shared" si="9"/>
        <v>5.0431689639406724E-2</v>
      </c>
      <c r="BB5" s="7">
        <f t="shared" si="9"/>
        <v>4.5691335328830629E-2</v>
      </c>
      <c r="BC5" s="7">
        <f t="shared" si="9"/>
        <v>0</v>
      </c>
      <c r="BE5" s="5">
        <f t="shared" si="15"/>
        <v>1.620207612873259E-2</v>
      </c>
      <c r="BF5" s="5">
        <f t="shared" si="10"/>
        <v>0.13151648351648351</v>
      </c>
      <c r="BG5" s="8">
        <f t="shared" si="10"/>
        <v>0.19714492753623189</v>
      </c>
      <c r="BH5" s="8">
        <f t="shared" si="10"/>
        <v>0.25185974288603208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42">
        <f t="shared" si="11"/>
        <v>1</v>
      </c>
      <c r="AD6" s="31" t="str">
        <f t="shared" si="12"/>
        <v>4</v>
      </c>
      <c r="AE6" s="31">
        <f t="shared" si="7"/>
        <v>4.9211595695970695E-2</v>
      </c>
      <c r="AF6" s="31">
        <f t="shared" si="7"/>
        <v>0.75384615384615383</v>
      </c>
      <c r="AG6" s="31">
        <f t="shared" si="7"/>
        <v>0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8.2599343125658919E-2</v>
      </c>
      <c r="AM6" s="11">
        <f t="shared" si="8"/>
        <v>2.691268486916951E-2</v>
      </c>
      <c r="AN6" s="11">
        <f t="shared" si="8"/>
        <v>4.1666666666666664E-2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0.9557515800332822</v>
      </c>
      <c r="AT6" s="12">
        <f t="shared" si="14"/>
        <v>1.4014730634049262</v>
      </c>
      <c r="AU6" s="12">
        <f t="shared" si="14"/>
        <v>0.47362450635866027</v>
      </c>
      <c r="AV6" s="12">
        <f t="shared" si="14"/>
        <v>0.81752873563218387</v>
      </c>
      <c r="AW6" s="12">
        <f t="shared" si="14"/>
        <v>0</v>
      </c>
      <c r="AX6" s="13"/>
      <c r="AY6" s="12">
        <f t="shared" si="9"/>
        <v>5.0990178267141265E-2</v>
      </c>
      <c r="AZ6" s="12">
        <f t="shared" si="9"/>
        <v>0.11802341795324184</v>
      </c>
      <c r="BA6" s="12">
        <f t="shared" si="9"/>
        <v>3.3611928427372109E-2</v>
      </c>
      <c r="BB6" s="12">
        <f t="shared" si="9"/>
        <v>3.2207854406130269E-2</v>
      </c>
      <c r="BC6" s="12">
        <f t="shared" si="9"/>
        <v>0</v>
      </c>
      <c r="BE6" s="14">
        <f t="shared" si="15"/>
        <v>0.17584962756052142</v>
      </c>
      <c r="BF6" s="14">
        <f t="shared" si="10"/>
        <v>0.75384615384615383</v>
      </c>
      <c r="BG6" s="15">
        <f t="shared" si="10"/>
        <v>0.1912876637141343</v>
      </c>
      <c r="BH6" s="15">
        <f t="shared" si="10"/>
        <v>0.25766283524904215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566</v>
      </c>
      <c r="D7">
        <v>481</v>
      </c>
      <c r="E7">
        <v>87</v>
      </c>
      <c r="F7">
        <v>3</v>
      </c>
      <c r="G7">
        <v>0</v>
      </c>
      <c r="I7">
        <v>86</v>
      </c>
      <c r="J7">
        <v>69</v>
      </c>
      <c r="K7">
        <v>12</v>
      </c>
      <c r="L7">
        <v>1</v>
      </c>
      <c r="M7">
        <v>0</v>
      </c>
      <c r="O7" s="2">
        <f t="shared" si="0"/>
        <v>0.1519434628975265</v>
      </c>
      <c r="P7" s="2">
        <f t="shared" si="1"/>
        <v>0.14345114345114346</v>
      </c>
      <c r="Q7" s="2">
        <f t="shared" si="2"/>
        <v>0.13793103448275862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1.0053003533568905</v>
      </c>
      <c r="X7" s="3">
        <f t="shared" si="5"/>
        <v>0.94911279795000736</v>
      </c>
      <c r="Y7" s="3">
        <f t="shared" si="5"/>
        <v>0.91259021651964722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44">
        <f t="shared" si="11"/>
        <v>3</v>
      </c>
      <c r="AD7" s="3" t="str">
        <f t="shared" si="12"/>
        <v>6</v>
      </c>
      <c r="AE7" s="3">
        <f t="shared" ref="AE7:AI14" si="17">IF(C7&gt;0,((I7*((3*86)+C7))/(4*C7*86))*(1-(C7-I7)/(569-86)),0)</f>
        <v>2.2606061936220221E-3</v>
      </c>
      <c r="AF7" s="3">
        <f t="shared" si="17"/>
        <v>4.5300315649152864E-2</v>
      </c>
      <c r="AG7" s="3">
        <f t="shared" si="17"/>
        <v>0.11685187306678886</v>
      </c>
      <c r="AH7" s="3">
        <f t="shared" si="17"/>
        <v>0.25185974288603208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267</v>
      </c>
      <c r="D8">
        <v>13</v>
      </c>
      <c r="E8">
        <v>0</v>
      </c>
      <c r="F8">
        <v>0</v>
      </c>
      <c r="G8">
        <v>0</v>
      </c>
      <c r="I8">
        <v>26</v>
      </c>
      <c r="J8">
        <v>1</v>
      </c>
      <c r="K8">
        <v>0</v>
      </c>
      <c r="L8">
        <v>0</v>
      </c>
      <c r="M8">
        <v>0</v>
      </c>
      <c r="O8" s="2">
        <f t="shared" si="0"/>
        <v>9.7378277153558054E-2</v>
      </c>
      <c r="P8" s="2">
        <f t="shared" si="1"/>
        <v>7.6923076923076927E-2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0.6442818569810993</v>
      </c>
      <c r="X8" s="3">
        <f t="shared" si="5"/>
        <v>0.50894454382826482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0.6442818569810993</v>
      </c>
      <c r="AC8" s="44">
        <f t="shared" si="11"/>
        <v>267</v>
      </c>
      <c r="AD8" s="3" t="str">
        <f t="shared" si="12"/>
        <v>3</v>
      </c>
      <c r="AE8" s="3">
        <f t="shared" si="17"/>
        <v>7.4461397469543264E-2</v>
      </c>
      <c r="AF8" s="3">
        <f t="shared" si="17"/>
        <v>5.9093712152357245E-2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544</v>
      </c>
      <c r="D9">
        <v>280</v>
      </c>
      <c r="E9">
        <v>18</v>
      </c>
      <c r="F9">
        <v>3</v>
      </c>
      <c r="G9">
        <v>0</v>
      </c>
      <c r="I9">
        <v>83</v>
      </c>
      <c r="J9">
        <v>36</v>
      </c>
      <c r="K9">
        <v>2</v>
      </c>
      <c r="L9">
        <v>1</v>
      </c>
      <c r="M9">
        <v>0</v>
      </c>
      <c r="O9" s="2">
        <f t="shared" si="0"/>
        <v>0.15257352941176472</v>
      </c>
      <c r="P9" s="2">
        <f t="shared" si="1"/>
        <v>0.12857142857142856</v>
      </c>
      <c r="Q9" s="2">
        <f t="shared" si="2"/>
        <v>0.1111111111111111</v>
      </c>
      <c r="R9" s="2">
        <f t="shared" si="3"/>
        <v>0.33333333333333331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1.0094690492476062</v>
      </c>
      <c r="X9" s="3">
        <f t="shared" si="5"/>
        <v>0.85066445182724248</v>
      </c>
      <c r="Y9" s="3">
        <f t="shared" si="5"/>
        <v>0.73514211886304914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4">
        <f t="shared" si="11"/>
        <v>3</v>
      </c>
      <c r="AD9" s="3" t="str">
        <f t="shared" si="12"/>
        <v>6</v>
      </c>
      <c r="AE9" s="3">
        <f t="shared" si="17"/>
        <v>1.620207612873259E-2</v>
      </c>
      <c r="AF9" s="3">
        <f t="shared" si="17"/>
        <v>9.9499081735828818E-2</v>
      </c>
      <c r="AG9" s="3">
        <f t="shared" si="17"/>
        <v>8.6194167589516438E-2</v>
      </c>
      <c r="AH9" s="3">
        <f t="shared" si="17"/>
        <v>0.25185974288603208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45">
        <f t="shared" si="11"/>
        <v>14</v>
      </c>
      <c r="AD10" s="10" t="str">
        <f t="shared" si="12"/>
        <v>3</v>
      </c>
      <c r="AE10" s="10">
        <f t="shared" si="17"/>
        <v>5.4958282605256467E-2</v>
      </c>
      <c r="AF10" s="10">
        <f t="shared" si="17"/>
        <v>0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561</v>
      </c>
      <c r="D11">
        <v>282</v>
      </c>
      <c r="E11">
        <v>20</v>
      </c>
      <c r="F11">
        <v>0</v>
      </c>
      <c r="G11">
        <v>0</v>
      </c>
      <c r="I11">
        <v>85</v>
      </c>
      <c r="J11">
        <v>37</v>
      </c>
      <c r="K11">
        <v>2</v>
      </c>
      <c r="L11">
        <v>0</v>
      </c>
      <c r="M11">
        <v>0</v>
      </c>
      <c r="O11" s="28">
        <f t="shared" si="0"/>
        <v>0.15151515151515152</v>
      </c>
      <c r="P11" s="28">
        <f t="shared" si="1"/>
        <v>0.13120567375886524</v>
      </c>
      <c r="Q11" s="28">
        <f t="shared" si="2"/>
        <v>0.1</v>
      </c>
      <c r="R11" s="28">
        <f t="shared" si="3"/>
        <v>0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1.0024665257223397</v>
      </c>
      <c r="X11" s="29">
        <f t="shared" si="18"/>
        <v>0.86809335312551539</v>
      </c>
      <c r="Y11" s="29">
        <f t="shared" si="18"/>
        <v>0.66162790697674423</v>
      </c>
      <c r="Z11" s="29">
        <f t="shared" ref="Z11:Z54" si="19">R11/$U11</f>
        <v>0</v>
      </c>
      <c r="AA11" s="29">
        <f t="shared" ref="AA11:AA54" si="20">S11/$U11</f>
        <v>0</v>
      </c>
      <c r="AB11" s="29">
        <f t="shared" si="6"/>
        <v>1.0024665257223397</v>
      </c>
      <c r="AC11" s="41">
        <f t="shared" si="11"/>
        <v>561</v>
      </c>
      <c r="AD11" s="29" t="str">
        <f t="shared" si="12"/>
        <v>3</v>
      </c>
      <c r="AE11" s="29">
        <f t="shared" si="17"/>
        <v>5.2279621288721222E-3</v>
      </c>
      <c r="AF11" s="29">
        <f t="shared" si="17"/>
        <v>0.10148871630488564</v>
      </c>
      <c r="AG11" s="29">
        <f t="shared" si="17"/>
        <v>7.780225335837064E-2</v>
      </c>
      <c r="AH11" s="29">
        <f t="shared" si="17"/>
        <v>0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1.0326678765880219</v>
      </c>
      <c r="AT11" s="5">
        <f t="shared" si="21"/>
        <v>1.8537556561085973</v>
      </c>
      <c r="AU11" s="5">
        <f t="shared" si="21"/>
        <v>10.586046511627908</v>
      </c>
      <c r="AV11" s="5">
        <f t="shared" si="21"/>
        <v>2.2054263565891472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529</v>
      </c>
      <c r="D12">
        <v>124</v>
      </c>
      <c r="E12">
        <v>3</v>
      </c>
      <c r="F12">
        <v>0</v>
      </c>
      <c r="G12">
        <v>0</v>
      </c>
      <c r="I12">
        <v>79</v>
      </c>
      <c r="J12">
        <v>15</v>
      </c>
      <c r="K12">
        <v>1</v>
      </c>
      <c r="L12">
        <v>0</v>
      </c>
      <c r="M12">
        <v>0</v>
      </c>
      <c r="O12" s="28">
        <f t="shared" si="0"/>
        <v>0.14933837429111532</v>
      </c>
      <c r="P12" s="28">
        <f t="shared" si="1"/>
        <v>0.12096774193548387</v>
      </c>
      <c r="Q12" s="28">
        <f t="shared" si="2"/>
        <v>0.33333333333333331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0.98806436013540255</v>
      </c>
      <c r="X12" s="29">
        <f t="shared" si="18"/>
        <v>0.80035633908477122</v>
      </c>
      <c r="Y12" s="29">
        <f t="shared" si="18"/>
        <v>2.2054263565891472</v>
      </c>
      <c r="Z12" s="29">
        <f t="shared" si="19"/>
        <v>0</v>
      </c>
      <c r="AA12" s="29">
        <f t="shared" si="20"/>
        <v>0</v>
      </c>
      <c r="AB12" s="29">
        <f t="shared" si="6"/>
        <v>2.2054263565891472</v>
      </c>
      <c r="AC12" s="41">
        <f t="shared" si="11"/>
        <v>3</v>
      </c>
      <c r="AD12" s="29" t="str">
        <f t="shared" si="12"/>
        <v>5</v>
      </c>
      <c r="AE12" s="29">
        <f t="shared" si="17"/>
        <v>2.3342884339126561E-2</v>
      </c>
      <c r="AF12" s="29">
        <f t="shared" si="17"/>
        <v>0.10401571666208477</v>
      </c>
      <c r="AG12" s="29">
        <f t="shared" si="17"/>
        <v>0.25185974288603208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1.3305697278911566</v>
      </c>
      <c r="AT12" s="8">
        <f t="shared" si="21"/>
        <v>4.5742176284811942</v>
      </c>
      <c r="AU12" s="8">
        <f t="shared" si="21"/>
        <v>2.2054263565891472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543</v>
      </c>
      <c r="D13">
        <v>334</v>
      </c>
      <c r="E13">
        <v>30</v>
      </c>
      <c r="F13">
        <v>0</v>
      </c>
      <c r="G13">
        <v>0</v>
      </c>
      <c r="I13">
        <v>81</v>
      </c>
      <c r="J13">
        <v>43</v>
      </c>
      <c r="K13">
        <v>2</v>
      </c>
      <c r="L13">
        <v>0</v>
      </c>
      <c r="M13">
        <v>0</v>
      </c>
      <c r="O13" s="28">
        <f t="shared" si="0"/>
        <v>0.14917127071823205</v>
      </c>
      <c r="P13" s="28">
        <f t="shared" si="1"/>
        <v>0.12874251497005987</v>
      </c>
      <c r="Q13" s="28">
        <f t="shared" si="2"/>
        <v>6.6666666666666666E-2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0.9869587562636517</v>
      </c>
      <c r="X13" s="29">
        <f t="shared" si="18"/>
        <v>0.85179640718562866</v>
      </c>
      <c r="Y13" s="29">
        <f t="shared" si="18"/>
        <v>0.44108527131782949</v>
      </c>
      <c r="Z13" s="29">
        <f t="shared" si="19"/>
        <v>0</v>
      </c>
      <c r="AA13" s="29">
        <f t="shared" si="20"/>
        <v>0</v>
      </c>
      <c r="AB13" s="29">
        <f t="shared" si="6"/>
        <v>0.9869587562636517</v>
      </c>
      <c r="AC13" s="41">
        <f t="shared" si="11"/>
        <v>543</v>
      </c>
      <c r="AD13" s="29" t="str">
        <f t="shared" si="12"/>
        <v>3</v>
      </c>
      <c r="AE13" s="29">
        <f t="shared" si="17"/>
        <v>1.5101894318162763E-2</v>
      </c>
      <c r="AF13" s="29">
        <f t="shared" si="17"/>
        <v>8.8072302599769392E-2</v>
      </c>
      <c r="AG13" s="29">
        <f t="shared" si="17"/>
        <v>5.2578361981799798E-2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1.0106571936056836</v>
      </c>
      <c r="AT13" s="8">
        <f t="shared" si="21"/>
        <v>1.190523076923077</v>
      </c>
      <c r="AU13" s="8">
        <f t="shared" si="21"/>
        <v>2.0615942028985508</v>
      </c>
      <c r="AV13" s="5">
        <f t="shared" si="21"/>
        <v>2.5401785714285716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0.71527341294783164</v>
      </c>
      <c r="X14" s="31">
        <f t="shared" si="18"/>
        <v>0.41351744186046513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0.71527341294783164</v>
      </c>
      <c r="AC14" s="42">
        <f t="shared" si="11"/>
        <v>74</v>
      </c>
      <c r="AD14" s="31" t="str">
        <f t="shared" si="12"/>
        <v>3</v>
      </c>
      <c r="AE14" s="31">
        <f t="shared" si="17"/>
        <v>9.007967956400717E-2</v>
      </c>
      <c r="AF14" s="31">
        <f t="shared" si="17"/>
        <v>4.8235952621695798E-2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3.5562500000000004</v>
      </c>
      <c r="AT14" s="15">
        <f t="shared" si="21"/>
        <v>8.7538461538461547</v>
      </c>
      <c r="AU14" s="15">
        <f t="shared" si="21"/>
        <v>2.7892156862745097</v>
      </c>
      <c r="AV14" s="14">
        <f t="shared" si="21"/>
        <v>6.5402298850574709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558</v>
      </c>
      <c r="D15" s="25">
        <v>424</v>
      </c>
      <c r="E15" s="25">
        <v>70</v>
      </c>
      <c r="F15" s="25">
        <v>4</v>
      </c>
      <c r="G15" s="25">
        <v>0</v>
      </c>
      <c r="I15" s="25">
        <v>25</v>
      </c>
      <c r="J15" s="25">
        <v>15</v>
      </c>
      <c r="K15" s="25">
        <v>4</v>
      </c>
      <c r="L15" s="25">
        <v>0</v>
      </c>
      <c r="M15" s="25">
        <v>0</v>
      </c>
      <c r="O15" s="2">
        <f t="shared" si="0"/>
        <v>4.4802867383512544E-2</v>
      </c>
      <c r="P15" s="2">
        <f t="shared" si="1"/>
        <v>3.5377358490566037E-2</v>
      </c>
      <c r="Q15" s="2">
        <f t="shared" si="2"/>
        <v>5.7142857142857141E-2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0.87906315659374612</v>
      </c>
      <c r="X15" s="3">
        <f t="shared" si="18"/>
        <v>0.69412817176317498</v>
      </c>
      <c r="Y15" s="3">
        <f t="shared" si="18"/>
        <v>1.1211822660098523</v>
      </c>
      <c r="Z15" s="3">
        <f t="shared" si="19"/>
        <v>0</v>
      </c>
      <c r="AA15" s="3">
        <f t="shared" si="20"/>
        <v>0</v>
      </c>
      <c r="AB15" s="3">
        <f t="shared" si="6"/>
        <v>1.1211822660098523</v>
      </c>
      <c r="AC15" s="44">
        <f t="shared" si="11"/>
        <v>70</v>
      </c>
      <c r="AD15" s="3" t="str">
        <f t="shared" si="12"/>
        <v>5</v>
      </c>
      <c r="AE15" s="3">
        <f t="shared" ref="AE15:AI18" si="22">IF(C15&gt;0,((I15*((3*29)+C15))/(4*C15*29))*(1-(C15-I15)/(569-29)),0)</f>
        <v>3.2293254507752079E-3</v>
      </c>
      <c r="AF15" s="3">
        <f t="shared" si="22"/>
        <v>3.7806445637244272E-2</v>
      </c>
      <c r="AG15" s="3">
        <f t="shared" si="22"/>
        <v>6.7887246852764094E-2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568</v>
      </c>
      <c r="D16" s="25">
        <v>508</v>
      </c>
      <c r="E16" s="25">
        <v>158</v>
      </c>
      <c r="F16" s="25">
        <v>6</v>
      </c>
      <c r="G16" s="25">
        <v>0</v>
      </c>
      <c r="I16" s="25">
        <v>29</v>
      </c>
      <c r="J16" s="25">
        <v>24</v>
      </c>
      <c r="K16" s="25">
        <v>5</v>
      </c>
      <c r="L16" s="25">
        <v>0</v>
      </c>
      <c r="M16" s="25">
        <v>0</v>
      </c>
      <c r="O16" s="2">
        <f t="shared" si="0"/>
        <v>5.1056338028169015E-2</v>
      </c>
      <c r="P16" s="2">
        <f t="shared" si="1"/>
        <v>4.7244094488188976E-2</v>
      </c>
      <c r="Q16" s="2">
        <f t="shared" si="2"/>
        <v>3.1645569620253167E-2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1.0017605633802817</v>
      </c>
      <c r="X16" s="3">
        <f t="shared" si="18"/>
        <v>0.92696171599239752</v>
      </c>
      <c r="Y16" s="3">
        <f t="shared" si="18"/>
        <v>0.62090790048013977</v>
      </c>
      <c r="Z16" s="3">
        <f t="shared" si="19"/>
        <v>0</v>
      </c>
      <c r="AA16" s="3">
        <f t="shared" si="20"/>
        <v>0</v>
      </c>
      <c r="AB16" s="3">
        <f t="shared" si="6"/>
        <v>1.0017605633802817</v>
      </c>
      <c r="AC16" s="44">
        <f t="shared" si="11"/>
        <v>568</v>
      </c>
      <c r="AD16" s="3" t="str">
        <f t="shared" si="12"/>
        <v>3</v>
      </c>
      <c r="AE16" s="3">
        <f t="shared" si="22"/>
        <v>5.3387454355765087E-4</v>
      </c>
      <c r="AF16" s="3">
        <f t="shared" si="22"/>
        <v>2.5130479379732715E-2</v>
      </c>
      <c r="AG16" s="3">
        <f t="shared" si="22"/>
        <v>4.790029826858723E-2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561</v>
      </c>
      <c r="D17" s="25">
        <v>395</v>
      </c>
      <c r="E17" s="25">
        <v>23</v>
      </c>
      <c r="F17" s="25">
        <v>2</v>
      </c>
      <c r="G17" s="25">
        <v>0</v>
      </c>
      <c r="I17" s="25">
        <v>28</v>
      </c>
      <c r="J17" s="25">
        <v>14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3.5443037974683546E-2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0.97928575819042352</v>
      </c>
      <c r="X17" s="3">
        <f t="shared" si="18"/>
        <v>0.69541684853775643</v>
      </c>
      <c r="Y17" s="3">
        <f t="shared" si="18"/>
        <v>0</v>
      </c>
      <c r="Z17" s="3">
        <f t="shared" si="19"/>
        <v>0</v>
      </c>
      <c r="AA17" s="3">
        <f t="shared" si="20"/>
        <v>0</v>
      </c>
      <c r="AB17" s="3">
        <f t="shared" si="6"/>
        <v>0.97928575819042352</v>
      </c>
      <c r="AC17" s="44">
        <f t="shared" si="11"/>
        <v>561</v>
      </c>
      <c r="AD17" s="3" t="str">
        <f t="shared" si="12"/>
        <v>3</v>
      </c>
      <c r="AE17" s="3">
        <f t="shared" si="22"/>
        <v>3.6142356629172024E-3</v>
      </c>
      <c r="AF17" s="3">
        <f t="shared" si="22"/>
        <v>4.3363402686842224E-2</v>
      </c>
      <c r="AG17" s="3">
        <f t="shared" si="22"/>
        <v>0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566</v>
      </c>
      <c r="D18" s="1">
        <v>480</v>
      </c>
      <c r="E18" s="1">
        <v>157</v>
      </c>
      <c r="F18" s="1">
        <v>3</v>
      </c>
      <c r="G18" s="1">
        <v>0</v>
      </c>
      <c r="I18" s="1">
        <v>29</v>
      </c>
      <c r="J18" s="1">
        <v>23</v>
      </c>
      <c r="K18" s="1">
        <v>8</v>
      </c>
      <c r="L18" s="1">
        <v>1</v>
      </c>
      <c r="M18" s="1">
        <v>0</v>
      </c>
      <c r="O18" s="9">
        <f t="shared" si="0"/>
        <v>5.1236749116607777E-2</v>
      </c>
      <c r="P18" s="9">
        <f t="shared" si="1"/>
        <v>4.791666666666667E-2</v>
      </c>
      <c r="Q18" s="9">
        <f t="shared" si="2"/>
        <v>5.0955414012738856E-2</v>
      </c>
      <c r="R18" s="9">
        <f t="shared" si="3"/>
        <v>0.33333333333333331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1.0053003533568905</v>
      </c>
      <c r="X18" s="10">
        <f t="shared" si="18"/>
        <v>0.94015804597701158</v>
      </c>
      <c r="Y18" s="10">
        <f t="shared" si="18"/>
        <v>0.99978036459477271</v>
      </c>
      <c r="Z18" s="10">
        <f t="shared" si="19"/>
        <v>6.5402298850574709</v>
      </c>
      <c r="AA18" s="10">
        <f t="shared" si="20"/>
        <v>0</v>
      </c>
      <c r="AB18" s="10">
        <f t="shared" si="6"/>
        <v>6.5402298850574709</v>
      </c>
      <c r="AC18" s="45">
        <f t="shared" si="11"/>
        <v>3</v>
      </c>
      <c r="AD18" s="10" t="str">
        <f t="shared" si="12"/>
        <v>6</v>
      </c>
      <c r="AE18" s="10">
        <f t="shared" si="22"/>
        <v>1.6023753435414157E-3</v>
      </c>
      <c r="AF18" s="10">
        <f t="shared" si="22"/>
        <v>3.5999461206896545E-2</v>
      </c>
      <c r="AG18" s="10">
        <f t="shared" si="22"/>
        <v>7.7607763704842556E-2</v>
      </c>
      <c r="AH18" s="10">
        <f t="shared" si="22"/>
        <v>0.25766283524904215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567</v>
      </c>
      <c r="D19">
        <v>508</v>
      </c>
      <c r="E19">
        <v>132</v>
      </c>
      <c r="F19">
        <v>4</v>
      </c>
      <c r="G19">
        <v>0</v>
      </c>
      <c r="I19">
        <v>32</v>
      </c>
      <c r="J19">
        <v>26</v>
      </c>
      <c r="K19">
        <v>6</v>
      </c>
      <c r="L19">
        <v>0</v>
      </c>
      <c r="M19">
        <v>0</v>
      </c>
      <c r="O19" s="28">
        <f t="shared" si="0"/>
        <v>5.6437389770723101E-2</v>
      </c>
      <c r="P19" s="28">
        <f t="shared" si="1"/>
        <v>5.1181102362204724E-2</v>
      </c>
      <c r="Q19" s="28">
        <f t="shared" si="2"/>
        <v>4.5454545454545456E-2</v>
      </c>
      <c r="R19" s="28">
        <f t="shared" si="3"/>
        <v>0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3">O19/$U19</f>
        <v>1.0035273368606703</v>
      </c>
      <c r="X19" s="29">
        <f t="shared" ref="X19:X54" si="24">P19/$U19</f>
        <v>0.91006397637795278</v>
      </c>
      <c r="Y19" s="29">
        <f t="shared" ref="Y19:Y54" si="25">Q19/$U19</f>
        <v>0.80823863636363646</v>
      </c>
      <c r="Z19" s="29">
        <f t="shared" si="19"/>
        <v>0</v>
      </c>
      <c r="AA19" s="29">
        <f t="shared" si="20"/>
        <v>0</v>
      </c>
      <c r="AB19" s="29">
        <f t="shared" si="6"/>
        <v>1.0035273368606703</v>
      </c>
      <c r="AC19" s="41">
        <f t="shared" si="11"/>
        <v>567</v>
      </c>
      <c r="AD19" s="29" t="str">
        <f t="shared" si="12"/>
        <v>3</v>
      </c>
      <c r="AE19" s="29">
        <f t="shared" ref="AE19:AI22" si="26">IF(C19&gt;0,((I19*((3*32)+C19))/(4*C19*32))*(1-(C19-I19)/(569-32)),0)</f>
        <v>1.0887450366035085E-3</v>
      </c>
      <c r="AF19" s="29">
        <f t="shared" si="26"/>
        <v>2.4735745758735453E-2</v>
      </c>
      <c r="AG19" s="29">
        <f t="shared" si="26"/>
        <v>6.196832148298629E-2</v>
      </c>
      <c r="AH19" s="29">
        <f t="shared" si="26"/>
        <v>0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147</v>
      </c>
      <c r="D20">
        <v>8</v>
      </c>
      <c r="E20">
        <v>1</v>
      </c>
      <c r="F20">
        <v>0</v>
      </c>
      <c r="G20">
        <v>0</v>
      </c>
      <c r="I20">
        <v>11</v>
      </c>
      <c r="J20">
        <v>0</v>
      </c>
      <c r="K20">
        <v>0</v>
      </c>
      <c r="L20">
        <v>0</v>
      </c>
      <c r="M20">
        <v>0</v>
      </c>
      <c r="O20" s="28">
        <f t="shared" si="0"/>
        <v>7.4829931972789115E-2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1.3305697278911566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1.3305697278911566</v>
      </c>
      <c r="AC20" s="41">
        <f t="shared" si="11"/>
        <v>147</v>
      </c>
      <c r="AD20" s="29" t="str">
        <f t="shared" si="12"/>
        <v>3</v>
      </c>
      <c r="AE20" s="29">
        <f t="shared" si="26"/>
        <v>0.10608201031809374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477</v>
      </c>
      <c r="E21">
        <v>145</v>
      </c>
      <c r="F21">
        <v>7</v>
      </c>
      <c r="G21">
        <v>0</v>
      </c>
      <c r="I21">
        <v>31</v>
      </c>
      <c r="J21">
        <v>19</v>
      </c>
      <c r="K21">
        <v>7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3.9832285115303984E-2</v>
      </c>
      <c r="Q21" s="28">
        <f t="shared" si="2"/>
        <v>4.8275862068965517E-2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0.70826781970649899</v>
      </c>
      <c r="Y21" s="29">
        <f t="shared" si="25"/>
        <v>0.8584051724137931</v>
      </c>
      <c r="Z21" s="29">
        <f t="shared" si="19"/>
        <v>2.5401785714285716</v>
      </c>
      <c r="AA21" s="29">
        <f t="shared" si="20"/>
        <v>0</v>
      </c>
      <c r="AB21" s="29">
        <f t="shared" si="6"/>
        <v>2.5401785714285716</v>
      </c>
      <c r="AC21" s="41">
        <f t="shared" si="11"/>
        <v>7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2.6232077082088943E-2</v>
      </c>
      <c r="AG21" s="29">
        <f t="shared" si="26"/>
        <v>6.7536060007705637E-2</v>
      </c>
      <c r="AH21" s="29">
        <f t="shared" si="26"/>
        <v>0.11367093974461293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3.5562500000000004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3.5562500000000004</v>
      </c>
      <c r="AC22" s="42">
        <f t="shared" si="11"/>
        <v>20</v>
      </c>
      <c r="AD22" s="31" t="str">
        <f t="shared" si="12"/>
        <v>3</v>
      </c>
      <c r="AE22" s="31">
        <f t="shared" si="26"/>
        <v>0.17584962756052142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551</v>
      </c>
      <c r="D23" s="25">
        <v>217</v>
      </c>
      <c r="E23" s="25">
        <v>5</v>
      </c>
      <c r="F23" s="25">
        <v>0</v>
      </c>
      <c r="G23" s="25">
        <v>0</v>
      </c>
      <c r="I23" s="25">
        <v>43</v>
      </c>
      <c r="J23" s="25">
        <v>27</v>
      </c>
      <c r="K23" s="25">
        <v>4</v>
      </c>
      <c r="L23" s="25">
        <v>0</v>
      </c>
      <c r="M23" s="25">
        <v>0</v>
      </c>
      <c r="O23" s="2">
        <f t="shared" si="0"/>
        <v>7.8039927404718698E-2</v>
      </c>
      <c r="P23" s="2">
        <f t="shared" si="1"/>
        <v>0.12442396313364056</v>
      </c>
      <c r="Q23" s="2">
        <f t="shared" si="2"/>
        <v>0.8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1.0326678765880219</v>
      </c>
      <c r="X23" s="3">
        <f t="shared" si="24"/>
        <v>1.6464473261172436</v>
      </c>
      <c r="Y23" s="3">
        <f t="shared" si="25"/>
        <v>10.586046511627908</v>
      </c>
      <c r="Z23" s="3">
        <f t="shared" si="19"/>
        <v>0</v>
      </c>
      <c r="AA23" s="3">
        <f t="shared" si="20"/>
        <v>0</v>
      </c>
      <c r="AB23" s="3">
        <f t="shared" si="6"/>
        <v>10.586046511627908</v>
      </c>
      <c r="AC23" s="44">
        <f t="shared" si="11"/>
        <v>5</v>
      </c>
      <c r="AD23" s="3" t="str">
        <f t="shared" si="12"/>
        <v>5</v>
      </c>
      <c r="AE23" s="3">
        <f t="shared" ref="AE23:AI26" si="27">IF(C23&gt;0,((I23*((3*43)+C23))/(4*C23*43))*(1-(C23-I23)/(569-43)),0)</f>
        <v>1.0558058973315011E-2</v>
      </c>
      <c r="AF23" s="3">
        <f t="shared" si="27"/>
        <v>0.15988407748324915</v>
      </c>
      <c r="AG23" s="3">
        <f t="shared" si="27"/>
        <v>0.62207091696878591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456</v>
      </c>
      <c r="D24" s="25">
        <v>81</v>
      </c>
      <c r="E24" s="25">
        <v>0</v>
      </c>
      <c r="F24" s="25">
        <v>0</v>
      </c>
      <c r="G24" s="25">
        <v>0</v>
      </c>
      <c r="I24" s="25">
        <v>43</v>
      </c>
      <c r="J24" s="25">
        <v>28</v>
      </c>
      <c r="K24" s="25">
        <v>0</v>
      </c>
      <c r="L24" s="25">
        <v>0</v>
      </c>
      <c r="M24" s="25">
        <v>0</v>
      </c>
      <c r="O24" s="2">
        <f t="shared" si="0"/>
        <v>9.4298245614035089E-2</v>
      </c>
      <c r="P24" s="2">
        <f t="shared" si="1"/>
        <v>0.34567901234567899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1.2478070175438598</v>
      </c>
      <c r="X24" s="3">
        <f t="shared" si="24"/>
        <v>4.5742176284811942</v>
      </c>
      <c r="Y24" s="3">
        <f t="shared" si="25"/>
        <v>0</v>
      </c>
      <c r="Z24" s="3">
        <f t="shared" si="19"/>
        <v>0</v>
      </c>
      <c r="AA24" s="3">
        <f t="shared" si="20"/>
        <v>0</v>
      </c>
      <c r="AB24" s="3">
        <f t="shared" si="6"/>
        <v>4.5742176284811942</v>
      </c>
      <c r="AC24" s="44">
        <f t="shared" si="11"/>
        <v>81</v>
      </c>
      <c r="AD24" s="3" t="str">
        <f t="shared" si="12"/>
        <v>4</v>
      </c>
      <c r="AE24" s="3">
        <f t="shared" si="27"/>
        <v>6.8900715429257561E-2</v>
      </c>
      <c r="AF24" s="3">
        <f t="shared" si="27"/>
        <v>0.37952401070271791</v>
      </c>
      <c r="AG24" s="3">
        <f t="shared" si="27"/>
        <v>0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565</v>
      </c>
      <c r="D25" s="25">
        <v>325</v>
      </c>
      <c r="E25" s="25">
        <v>10</v>
      </c>
      <c r="F25" s="25">
        <v>0</v>
      </c>
      <c r="G25" s="25">
        <v>0</v>
      </c>
      <c r="I25" s="25">
        <v>43</v>
      </c>
      <c r="J25" s="25">
        <v>27</v>
      </c>
      <c r="K25" s="25">
        <v>0</v>
      </c>
      <c r="L25" s="25">
        <v>0</v>
      </c>
      <c r="M25" s="25">
        <v>0</v>
      </c>
      <c r="O25" s="2">
        <f t="shared" si="0"/>
        <v>7.6106194690265486E-2</v>
      </c>
      <c r="P25" s="2">
        <f t="shared" si="1"/>
        <v>8.3076923076923076E-2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1.0070796460176992</v>
      </c>
      <c r="X25" s="3">
        <f t="shared" si="24"/>
        <v>1.0993202146690519</v>
      </c>
      <c r="Y25" s="3">
        <f t="shared" si="25"/>
        <v>0</v>
      </c>
      <c r="Z25" s="3">
        <f t="shared" si="19"/>
        <v>0</v>
      </c>
      <c r="AA25" s="3">
        <f t="shared" si="20"/>
        <v>0</v>
      </c>
      <c r="AB25" s="3">
        <f t="shared" si="6"/>
        <v>1.0993202146690519</v>
      </c>
      <c r="AC25" s="44">
        <f t="shared" si="11"/>
        <v>325</v>
      </c>
      <c r="AD25" s="3" t="str">
        <f t="shared" si="12"/>
        <v>4</v>
      </c>
      <c r="AE25" s="3">
        <f t="shared" si="27"/>
        <v>2.3352064335946557E-3</v>
      </c>
      <c r="AF25" s="3">
        <f t="shared" si="27"/>
        <v>9.5051048518198594E-2</v>
      </c>
      <c r="AG25" s="3">
        <f t="shared" si="27"/>
        <v>0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38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2.6315789473684209E-2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0.34822521419828639</v>
      </c>
      <c r="X26" s="10">
        <f t="shared" si="24"/>
        <v>0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0.34822521419828639</v>
      </c>
      <c r="AC26" s="45">
        <f t="shared" si="11"/>
        <v>38</v>
      </c>
      <c r="AD26" s="10" t="str">
        <f t="shared" si="12"/>
        <v>3</v>
      </c>
      <c r="AE26" s="10">
        <f t="shared" si="27"/>
        <v>2.3753496283816802E-2</v>
      </c>
      <c r="AF26" s="10">
        <f t="shared" si="27"/>
        <v>0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567</v>
      </c>
      <c r="D27" s="25">
        <v>473</v>
      </c>
      <c r="E27" s="25">
        <v>73</v>
      </c>
      <c r="F27" s="25">
        <v>0</v>
      </c>
      <c r="G27" s="25">
        <v>0</v>
      </c>
      <c r="I27" s="25">
        <v>51</v>
      </c>
      <c r="J27" s="25">
        <v>38</v>
      </c>
      <c r="K27" s="25">
        <v>1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8.0338266384778007E-2</v>
      </c>
      <c r="Q27" s="2">
        <f t="shared" si="2"/>
        <v>1.3698630136986301E-2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1.0035273368606701</v>
      </c>
      <c r="X27" s="3">
        <f t="shared" si="24"/>
        <v>0.89632301123409186</v>
      </c>
      <c r="Y27" s="3">
        <f t="shared" si="25"/>
        <v>0.1528337362342197</v>
      </c>
      <c r="Z27" s="3">
        <f t="shared" si="19"/>
        <v>0</v>
      </c>
      <c r="AA27" s="3">
        <f t="shared" si="20"/>
        <v>0</v>
      </c>
      <c r="AB27" s="3">
        <f t="shared" si="6"/>
        <v>1.0035273368606701</v>
      </c>
      <c r="AC27" s="44">
        <f t="shared" si="11"/>
        <v>567</v>
      </c>
      <c r="AD27" s="3" t="str">
        <f t="shared" si="12"/>
        <v>3</v>
      </c>
      <c r="AE27" s="3">
        <f t="shared" ref="AE27:AI30" si="28">IF(C27&gt;0,((I27*((3*51)+C27))/(4*C27*51))*(1-(C27-I27)/(569-51)),0)</f>
        <v>1.2257155114297946E-3</v>
      </c>
      <c r="AF27" s="3">
        <f t="shared" si="28"/>
        <v>3.9501624316945795E-2</v>
      </c>
      <c r="AG27" s="3">
        <f t="shared" si="28"/>
        <v>1.3066537240590424E-2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7</v>
      </c>
      <c r="AT27" s="24">
        <f t="shared" si="29"/>
        <v>3</v>
      </c>
      <c r="AU27" s="7">
        <f t="shared" si="29"/>
        <v>3</v>
      </c>
      <c r="AV27" s="7">
        <f t="shared" si="29"/>
        <v>1</v>
      </c>
      <c r="AW27" s="18">
        <f t="shared" si="29"/>
        <v>0</v>
      </c>
      <c r="AX27" s="4"/>
      <c r="AY27" t="s">
        <v>26</v>
      </c>
      <c r="AZ27" s="5">
        <f>MAX(W3:AA6)</f>
        <v>8.7538461538461547</v>
      </c>
      <c r="BA27" s="5">
        <f>_xlfn.IFNA(VLOOKUP(AZ27, W3:AI6,8,0), _xlfn.IFNA(VLOOKUP(AZ27, X3:AI6,8,0), _xlfn.IFNA(VLOOKUP(AZ27, Y3:AI6,8,0), _xlfn.IFNA(VLOOKUP(AZ27, Z3:AI6,8,0), VLOOKUP(AZ27, AA3:AI6,8,0)))))</f>
        <v>4.9211595695970695E-2</v>
      </c>
      <c r="BB27" t="s">
        <v>26</v>
      </c>
      <c r="BC27" s="5">
        <f>MAX(AE3:AI6)</f>
        <v>0.75384615384615383</v>
      </c>
      <c r="BE27" t="s">
        <v>26</v>
      </c>
      <c r="BF27" s="4">
        <f>MAX($W3:$AA3)</f>
        <v>1.8537556561085973</v>
      </c>
      <c r="BG27" s="5">
        <f>_xlfn.IFNA(VLOOKUP($BF27, $W3:$AI3,8,0), _xlfn.IFNA(VLOOKUP($BF27, $X3:$AI3,8,0), _xlfn.IFNA(VLOOKUP($BF27, $Y3:$AI3,8,0), _xlfn.IFNA(VLOOKUP($BF27, $Z3:$AI3,8,0), VLOOKUP($BF27, $AA3:$AI3,8,0)))))</f>
        <v>4.0070202148354758E-3</v>
      </c>
      <c r="BI27" t="s">
        <v>26</v>
      </c>
      <c r="BJ27" s="4">
        <f>MAX($W4:$AA4)</f>
        <v>2.0201183431952665</v>
      </c>
      <c r="BK27" s="5">
        <f>_xlfn.IFNA(VLOOKUP($BJ27, $W4:$AI4,8,0), _xlfn.IFNA(VLOOKUP($BJ27, $X4:$AI4,8,0), _xlfn.IFNA(VLOOKUP($BJ27, $Y4:$AI4,8,0), _xlfn.IFNA(VLOOKUP($BJ27, $Z4:$AI4,8,0), VLOOKUP($BJ27, $AA4:$AI4,8,0)))))</f>
        <v>4.4081068631966834E-2</v>
      </c>
      <c r="BM27" t="s">
        <v>26</v>
      </c>
      <c r="BN27" s="4">
        <f>MAX($W5:$AA5)</f>
        <v>1.190523076923077</v>
      </c>
      <c r="BO27" s="5">
        <f>_xlfn.IFNA(VLOOKUP($BN27, $W5:$AI5,8,0), _xlfn.IFNA(VLOOKUP($BN27, $X5:$AI5,8,0), _xlfn.IFNA(VLOOKUP($BN27, $Y5:$AI5,8,0), _xlfn.IFNA(VLOOKUP($BN27, $Z5:$AI5,8,0), VLOOKUP($BN27, $AA5:$AI5,8,0)))))</f>
        <v>6.590780784329185E-3</v>
      </c>
      <c r="BQ27" t="s">
        <v>26</v>
      </c>
      <c r="BR27" s="4">
        <f>MAX($W6:$AA6)</f>
        <v>8.7538461538461547</v>
      </c>
      <c r="BS27" s="5">
        <f>_xlfn.IFNA(VLOOKUP($BR27, $W6:$AI6,8,0), _xlfn.IFNA(VLOOKUP($BR27, $X6:$AI6,8,0), _xlfn.IFNA(VLOOKUP($BR27, $Y6:$AI6,8,0), _xlfn.IFNA(VLOOKUP($BR27, $Z6:$AI6,8,0), VLOOKUP($BR27, $AA6:$AI6,8,0)))))</f>
        <v>4.9211595695970695E-2</v>
      </c>
    </row>
    <row r="28" spans="1:71" x14ac:dyDescent="0.3">
      <c r="A28" s="32" t="s">
        <v>33</v>
      </c>
      <c r="B28" t="s">
        <v>28</v>
      </c>
      <c r="C28" s="25">
        <v>499</v>
      </c>
      <c r="D28" s="25">
        <v>30</v>
      </c>
      <c r="E28" s="25">
        <v>0</v>
      </c>
      <c r="F28" s="25">
        <v>0</v>
      </c>
      <c r="G28" s="25">
        <v>0</v>
      </c>
      <c r="I28" s="25">
        <v>48</v>
      </c>
      <c r="J28" s="25">
        <v>2</v>
      </c>
      <c r="K28" s="25">
        <v>0</v>
      </c>
      <c r="L28" s="25">
        <v>0</v>
      </c>
      <c r="M28" s="25">
        <v>0</v>
      </c>
      <c r="O28" s="2">
        <f t="shared" si="0"/>
        <v>9.6192384769539077E-2</v>
      </c>
      <c r="P28" s="2">
        <f t="shared" si="1"/>
        <v>6.6666666666666666E-2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1.0732052339974065</v>
      </c>
      <c r="X28" s="3">
        <f t="shared" si="24"/>
        <v>0.74379084967320253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1.0732052339974065</v>
      </c>
      <c r="AC28" s="44">
        <f t="shared" si="11"/>
        <v>499</v>
      </c>
      <c r="AD28" s="3" t="str">
        <f t="shared" si="12"/>
        <v>3</v>
      </c>
      <c r="AE28" s="3">
        <f t="shared" si="28"/>
        <v>3.9765199260660765E-2</v>
      </c>
      <c r="AF28" s="3">
        <f t="shared" si="28"/>
        <v>5.6571277159512455E-2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5</v>
      </c>
      <c r="AT28" s="26">
        <f t="shared" si="29"/>
        <v>2</v>
      </c>
      <c r="AU28" s="4">
        <f t="shared" si="29"/>
        <v>1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0.11685187306678886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2.2054263565891472</v>
      </c>
      <c r="BG28" s="5">
        <f>_xlfn.IFNA(VLOOKUP($BF28, $W7:$AI7,8,0), _xlfn.IFNA(VLOOKUP($BF28, $X7:$AI7,8,0), _xlfn.IFNA(VLOOKUP($BF28, $Y7:$AI7,8,0), _xlfn.IFNA(VLOOKUP($BF28, $Z7:$AI7,8,0), VLOOKUP($BF28, $AA7:$AI7,8,0)))))</f>
        <v>0.11685187306678886</v>
      </c>
      <c r="BI28" t="s">
        <v>31</v>
      </c>
      <c r="BJ28" s="4">
        <f>MAX($W8:$AA8)</f>
        <v>0.6442818569810993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2.2054263565891472</v>
      </c>
      <c r="BO28" s="5">
        <f>_xlfn.IFNA(VLOOKUP($BN28, $W9:$AI9,8,0), _xlfn.IFNA(VLOOKUP($BN28, $X9:$AI9,8,0), _xlfn.IFNA(VLOOKUP($BN28, $Y9:$AI9,8,0), _xlfn.IFNA(VLOOKUP($BN28, $Z9:$AI9,8,0), VLOOKUP($BN28, $AA9:$AI9,8,0)))))</f>
        <v>8.6194167589516438E-2</v>
      </c>
      <c r="BQ28" t="s">
        <v>31</v>
      </c>
      <c r="BR28" s="4">
        <f>MAX($W10:$AA10)</f>
        <v>0.47259136212624586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2" t="s">
        <v>33</v>
      </c>
      <c r="B29" t="s">
        <v>29</v>
      </c>
      <c r="C29" s="25">
        <v>563</v>
      </c>
      <c r="D29" s="25">
        <v>211</v>
      </c>
      <c r="E29" s="25">
        <v>17</v>
      </c>
      <c r="F29" s="25">
        <v>1</v>
      </c>
      <c r="G29" s="25">
        <v>0</v>
      </c>
      <c r="I29" s="25">
        <v>51</v>
      </c>
      <c r="J29" s="25">
        <v>13</v>
      </c>
      <c r="K29" s="25">
        <v>0</v>
      </c>
      <c r="L29" s="25">
        <v>0</v>
      </c>
      <c r="M29" s="25">
        <v>0</v>
      </c>
      <c r="O29" s="2">
        <f t="shared" si="0"/>
        <v>9.0586145648312605E-2</v>
      </c>
      <c r="P29" s="2">
        <f t="shared" si="1"/>
        <v>6.1611374407582936E-2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1.0106571936056836</v>
      </c>
      <c r="X29" s="3">
        <f t="shared" si="24"/>
        <v>0.68738964780224876</v>
      </c>
      <c r="Y29" s="3">
        <f t="shared" si="25"/>
        <v>0</v>
      </c>
      <c r="Z29" s="3">
        <f t="shared" si="19"/>
        <v>0</v>
      </c>
      <c r="AA29" s="3">
        <f t="shared" si="20"/>
        <v>0</v>
      </c>
      <c r="AB29" s="3">
        <f t="shared" si="6"/>
        <v>1.0106571936056836</v>
      </c>
      <c r="AC29" s="44">
        <f t="shared" si="11"/>
        <v>563</v>
      </c>
      <c r="AD29" s="3" t="str">
        <f t="shared" si="12"/>
        <v>3</v>
      </c>
      <c r="AE29" s="3">
        <f t="shared" si="28"/>
        <v>3.6826981764814725E-3</v>
      </c>
      <c r="AF29" s="3">
        <f t="shared" si="28"/>
        <v>6.7912908726959459E-2</v>
      </c>
      <c r="AG29" s="3">
        <f t="shared" si="28"/>
        <v>0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4</v>
      </c>
      <c r="AT29" s="26">
        <f t="shared" si="29"/>
        <v>3</v>
      </c>
      <c r="AU29" s="4">
        <f t="shared" si="29"/>
        <v>1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2.2054263565891472</v>
      </c>
      <c r="BA29" s="5">
        <f>_xlfn.IFNA(VLOOKUP(AZ29, W11:AI14,8,0), _xlfn.IFNA(VLOOKUP(AZ29, X11:AI14,8,0), _xlfn.IFNA(VLOOKUP(AZ29, Y11:AI14,8,0), _xlfn.IFNA(VLOOKUP(AZ29, Z11:AI14,8,0), VLOOKUP(AZ29, AA11:AI14,8,0)))))</f>
        <v>0.10401571666208477</v>
      </c>
      <c r="BB29" t="s">
        <v>32</v>
      </c>
      <c r="BC29" s="5">
        <f>MAX(AE11:AI14)</f>
        <v>0.25185974288603208</v>
      </c>
      <c r="BE29" t="s">
        <v>32</v>
      </c>
      <c r="BF29" s="4">
        <f>MAX($W11:$AA11)</f>
        <v>1.0024665257223397</v>
      </c>
      <c r="BG29" s="5" t="str">
        <f>_xlfn.IFNA(VLOOKUP($BF29, $W11:$AI11,8,0), _xlfn.IFNA(VLOOKUP($BF29, $X11:$AI11,8,0), _xlfn.IFNA(VLOOKUP($BF29, $Y11:$AI11,8,0), _xlfn.IFNA(VLOOKUP($BF29, $Z11:$AI11,8,0), VLOOKUP($BF29, $AA11:$AI11,8,0)))))</f>
        <v>3</v>
      </c>
      <c r="BI29" t="s">
        <v>32</v>
      </c>
      <c r="BJ29" s="4">
        <f>MAX($W12:$AA12)</f>
        <v>2.2054263565891472</v>
      </c>
      <c r="BK29" s="5">
        <f>_xlfn.IFNA(VLOOKUP($BJ29, $W12:$AI12,8,0), _xlfn.IFNA(VLOOKUP($BJ29, $X12:$AI12,8,0), _xlfn.IFNA(VLOOKUP($BJ29, $Y12:$AI12,8,0), _xlfn.IFNA(VLOOKUP($BJ29, $Z12:$AI12,8,0), VLOOKUP($BJ29, $AA12:$AI12,8,0)))))</f>
        <v>0.10401571666208477</v>
      </c>
      <c r="BM29" t="s">
        <v>32</v>
      </c>
      <c r="BN29" s="4">
        <f>MAX($W13:$AA13)</f>
        <v>0.9869587562636517</v>
      </c>
      <c r="BO29" s="5" t="str">
        <f>_xlfn.IFNA(VLOOKUP($BN29, $W13:$AI13,8,0), _xlfn.IFNA(VLOOKUP($BN29, $X13:$AI13,8,0), _xlfn.IFNA(VLOOKUP($BN29, $Y13:$AI13,8,0), _xlfn.IFNA(VLOOKUP($BN29, $Z13:$AI13,8,0), VLOOKUP($BN29, $AA13:$AI13,8,0)))))</f>
        <v>3</v>
      </c>
      <c r="BQ29" t="s">
        <v>32</v>
      </c>
      <c r="BR29" s="4">
        <f>MAX($W14:$AA14)</f>
        <v>0.71527341294783164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2" t="s">
        <v>33</v>
      </c>
      <c r="B30" s="1" t="s">
        <v>30</v>
      </c>
      <c r="C30" s="1">
        <v>546</v>
      </c>
      <c r="D30" s="1">
        <v>293</v>
      </c>
      <c r="E30" s="1">
        <v>4</v>
      </c>
      <c r="F30" s="1">
        <v>0</v>
      </c>
      <c r="G30" s="1">
        <v>0</v>
      </c>
      <c r="I30" s="1">
        <v>49</v>
      </c>
      <c r="J30" s="1">
        <v>29</v>
      </c>
      <c r="K30" s="1">
        <v>1</v>
      </c>
      <c r="L30" s="1">
        <v>0</v>
      </c>
      <c r="M30" s="1">
        <v>0</v>
      </c>
      <c r="O30" s="9">
        <f t="shared" si="0"/>
        <v>8.9743589743589744E-2</v>
      </c>
      <c r="P30" s="9">
        <f t="shared" si="1"/>
        <v>9.8976109215017066E-2</v>
      </c>
      <c r="Q30" s="9">
        <f t="shared" si="2"/>
        <v>0.25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1.0012569130216189</v>
      </c>
      <c r="X30" s="10">
        <f t="shared" si="24"/>
        <v>1.1042628655557787</v>
      </c>
      <c r="Y30" s="10">
        <f t="shared" si="25"/>
        <v>2.7892156862745097</v>
      </c>
      <c r="Z30" s="10">
        <f t="shared" si="19"/>
        <v>0</v>
      </c>
      <c r="AA30" s="10">
        <f t="shared" si="20"/>
        <v>0</v>
      </c>
      <c r="AB30" s="10">
        <f t="shared" si="6"/>
        <v>2.7892156862745097</v>
      </c>
      <c r="AC30" s="45">
        <f t="shared" si="11"/>
        <v>4</v>
      </c>
      <c r="AD30" s="10" t="str">
        <f t="shared" si="12"/>
        <v>5</v>
      </c>
      <c r="AE30" s="10">
        <f t="shared" si="28"/>
        <v>1.2466369084016153E-2</v>
      </c>
      <c r="AF30" s="10">
        <f t="shared" si="28"/>
        <v>0.10610577595118852</v>
      </c>
      <c r="AG30" s="10">
        <f t="shared" si="28"/>
        <v>0.1912876637141343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3</v>
      </c>
      <c r="AT30" s="16">
        <f t="shared" si="29"/>
        <v>2</v>
      </c>
      <c r="AU30" s="13">
        <f t="shared" si="29"/>
        <v>1</v>
      </c>
      <c r="AV30" s="13">
        <f t="shared" si="29"/>
        <v>1</v>
      </c>
      <c r="AW30" s="20">
        <f t="shared" si="29"/>
        <v>0</v>
      </c>
      <c r="AX30" s="13"/>
      <c r="AY30" s="1" t="s">
        <v>33</v>
      </c>
      <c r="AZ30" s="14">
        <f>MAX(W15:AA18)</f>
        <v>6.5402298850574709</v>
      </c>
      <c r="BA30" s="14">
        <f>_xlfn.IFNA(VLOOKUP(AZ30, W15:AI18,8,0), _xlfn.IFNA(VLOOKUP(AZ30, X15:AI18,8,0), _xlfn.IFNA(VLOOKUP(AZ30, Y15:AI18,8,0), _xlfn.IFNA(VLOOKUP(AZ30, Z15:AI18,8,0), VLOOKUP(AZ30, AA15:AI18,8,0)))))</f>
        <v>7.7607763704842556E-2</v>
      </c>
      <c r="BB30" s="1" t="s">
        <v>33</v>
      </c>
      <c r="BC30" s="14">
        <f>MAX(AE15:AI18)</f>
        <v>0.25766283524904215</v>
      </c>
      <c r="BE30" s="1" t="s">
        <v>33</v>
      </c>
      <c r="BF30" s="4">
        <f>MAX($W15:$AA15)</f>
        <v>1.1211822660098523</v>
      </c>
      <c r="BG30" s="14">
        <f>_xlfn.IFNA(VLOOKUP($BF30, $W15:$AI15,8,0), _xlfn.IFNA(VLOOKUP($BF30, $X15:$AI15,8,0), _xlfn.IFNA(VLOOKUP($BF30, $Y15:$AI15,8,0), _xlfn.IFNA(VLOOKUP($BF30, $Z15:$AI15,8,0), VLOOKUP($BF30, $AA15:$AI15,8,0)))))</f>
        <v>3.7806445637244272E-2</v>
      </c>
      <c r="BI30" s="1" t="s">
        <v>33</v>
      </c>
      <c r="BJ30" s="4">
        <f>MAX($W16:$AA16)</f>
        <v>1.0017605633802817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0.97928575819042352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6.5402298850574709</v>
      </c>
      <c r="BS30" s="14">
        <f>_xlfn.IFNA(VLOOKUP($BR30, $W18:$AI18,8,0), _xlfn.IFNA(VLOOKUP($BR30, $X18:$AI18,8,0), _xlfn.IFNA(VLOOKUP($BR30, $Y18:$AI18,8,0), _xlfn.IFNA(VLOOKUP($BR30, $Z18:$AI18,8,0), VLOOKUP($BR30, $AA18:$AI18,8,0)))))</f>
        <v>7.7607763704842556E-2</v>
      </c>
    </row>
    <row r="31" spans="1:71" x14ac:dyDescent="0.3">
      <c r="A31" s="32" t="s">
        <v>34</v>
      </c>
      <c r="B31" t="s">
        <v>27</v>
      </c>
      <c r="C31" s="25">
        <v>499</v>
      </c>
      <c r="D31" s="25">
        <v>79</v>
      </c>
      <c r="E31" s="25">
        <v>5</v>
      </c>
      <c r="F31" s="25">
        <v>0</v>
      </c>
      <c r="G31" s="25">
        <v>0</v>
      </c>
      <c r="I31" s="25">
        <v>61</v>
      </c>
      <c r="J31" s="25">
        <v>15</v>
      </c>
      <c r="K31" s="25">
        <v>3</v>
      </c>
      <c r="L31" s="25">
        <v>0</v>
      </c>
      <c r="M31" s="25">
        <v>0</v>
      </c>
      <c r="O31" s="2">
        <f t="shared" si="0"/>
        <v>0.12224448897795591</v>
      </c>
      <c r="P31" s="2">
        <f t="shared" si="1"/>
        <v>0.189873417721519</v>
      </c>
      <c r="Q31" s="2">
        <f t="shared" si="2"/>
        <v>0.6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1.0080741192529987</v>
      </c>
      <c r="X31" s="3">
        <f t="shared" si="24"/>
        <v>1.565767749036874</v>
      </c>
      <c r="Y31" s="3">
        <f t="shared" si="25"/>
        <v>4.9478260869565212</v>
      </c>
      <c r="Z31" s="3">
        <f t="shared" si="19"/>
        <v>0</v>
      </c>
      <c r="AA31" s="3">
        <f t="shared" si="20"/>
        <v>0</v>
      </c>
      <c r="AB31" s="3">
        <f t="shared" si="6"/>
        <v>4.9478260869565212</v>
      </c>
      <c r="AC31" s="44">
        <f t="shared" si="11"/>
        <v>5</v>
      </c>
      <c r="AD31" s="3" t="str">
        <f t="shared" si="12"/>
        <v>5</v>
      </c>
      <c r="AE31" s="3">
        <f t="shared" ref="AE31:AI34" si="30">IF(C31&gt;0,((I31*((3*69)+C31))/(4*C31*69))*(1-(C31-I31)/(569-69)),0)</f>
        <v>3.8774534576399171E-2</v>
      </c>
      <c r="AF31" s="3">
        <f t="shared" si="30"/>
        <v>0.1715685195376995</v>
      </c>
      <c r="AG31" s="3">
        <f t="shared" si="30"/>
        <v>0.45902608695652175</v>
      </c>
      <c r="AH31" s="3">
        <f t="shared" si="30"/>
        <v>0</v>
      </c>
      <c r="AI31" s="3">
        <f t="shared" si="30"/>
        <v>0</v>
      </c>
      <c r="AY31" t="s">
        <v>34</v>
      </c>
      <c r="AZ31" s="5">
        <f>MAX(W19:AA22)</f>
        <v>3.5562500000000004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0.17584962756052142</v>
      </c>
      <c r="BE31" t="s">
        <v>34</v>
      </c>
      <c r="BF31" s="4">
        <f>MAX($W19:$AA19)</f>
        <v>1.0035273368606703</v>
      </c>
      <c r="BG31" s="5" t="str">
        <f>_xlfn.IFNA(VLOOKUP($BF31, $W19:$AI19,8,0), _xlfn.IFNA(VLOOKUP($BF31, $X19:$AI19,8,0), _xlfn.IFNA(VLOOKUP($BF31, $Y19:$AI19,8,0), _xlfn.IFNA(VLOOKUP($BF31, $Z19:$AI19,8,0), VLOOKUP($BF31, $AA19:$AI19,8,0)))))</f>
        <v>3</v>
      </c>
      <c r="BI31" t="s">
        <v>34</v>
      </c>
      <c r="BJ31" s="4">
        <f>MAX($W20:$AA20)</f>
        <v>1.3305697278911566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2.5401785714285716</v>
      </c>
      <c r="BO31" s="5">
        <f>_xlfn.IFNA(VLOOKUP($BN31, $W21:$AI21,8,0), _xlfn.IFNA(VLOOKUP($BN31, $X21:$AI21,8,0), _xlfn.IFNA(VLOOKUP($BN31, $Y21:$AI21,8,0), _xlfn.IFNA(VLOOKUP($BN31, $Z21:$AI21,8,0), VLOOKUP($BN31, $AA21:$AI21,8,0)))))</f>
        <v>6.7536060007705637E-2</v>
      </c>
      <c r="BQ31" t="s">
        <v>34</v>
      </c>
      <c r="BR31" s="4">
        <f>MAX($W22:$AA22)</f>
        <v>3.5562500000000004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531</v>
      </c>
      <c r="D32" s="25">
        <v>176</v>
      </c>
      <c r="E32" s="25">
        <v>1</v>
      </c>
      <c r="F32" s="25">
        <v>0</v>
      </c>
      <c r="G32" s="25">
        <v>0</v>
      </c>
      <c r="I32" s="25">
        <v>53</v>
      </c>
      <c r="J32" s="25">
        <v>5</v>
      </c>
      <c r="K32" s="25">
        <v>0</v>
      </c>
      <c r="L32" s="25">
        <v>0</v>
      </c>
      <c r="M32" s="25">
        <v>0</v>
      </c>
      <c r="O32" s="2">
        <f t="shared" si="0"/>
        <v>9.9811676082862524E-2</v>
      </c>
      <c r="P32" s="2">
        <f t="shared" si="1"/>
        <v>2.8409090909090908E-2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0.82308469117606919</v>
      </c>
      <c r="X32" s="3">
        <f t="shared" si="24"/>
        <v>0.23427206851119894</v>
      </c>
      <c r="Y32" s="3">
        <f t="shared" si="25"/>
        <v>0</v>
      </c>
      <c r="Z32" s="3">
        <f t="shared" si="19"/>
        <v>0</v>
      </c>
      <c r="AA32" s="3">
        <f t="shared" si="20"/>
        <v>0</v>
      </c>
      <c r="AB32" s="3">
        <f t="shared" si="6"/>
        <v>0.82308469117606919</v>
      </c>
      <c r="AC32" s="44">
        <f t="shared" si="11"/>
        <v>531</v>
      </c>
      <c r="AD32" s="3" t="str">
        <f t="shared" si="12"/>
        <v>3</v>
      </c>
      <c r="AE32" s="3">
        <f t="shared" si="30"/>
        <v>1.1743060673053316E-2</v>
      </c>
      <c r="AF32" s="3">
        <f t="shared" si="30"/>
        <v>2.5940176218708824E-2</v>
      </c>
      <c r="AG32" s="3">
        <f t="shared" si="30"/>
        <v>0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10.586046511627908</v>
      </c>
      <c r="BA32" s="5">
        <f>_xlfn.IFNA(VLOOKUP(AZ32, W23:AI26,8,0), _xlfn.IFNA(VLOOKUP(AZ32, X23:AI26,8,0), _xlfn.IFNA(VLOOKUP(AZ32, Y23:AI26,8,0), _xlfn.IFNA(VLOOKUP(AZ32, Z23:AI26,8,0), VLOOKUP(AZ32, AA23:AI26,8,0)))))</f>
        <v>0.15988407748324915</v>
      </c>
      <c r="BB32" t="s">
        <v>35</v>
      </c>
      <c r="BC32" s="5">
        <f>MAX(AE23:AI26)</f>
        <v>0.62207091696878591</v>
      </c>
      <c r="BE32" t="s">
        <v>35</v>
      </c>
      <c r="BF32" s="4">
        <f>MAX($W23:$AA23)</f>
        <v>10.586046511627908</v>
      </c>
      <c r="BG32" s="5">
        <f>_xlfn.IFNA(VLOOKUP($BF32, $W23:$AI23,8,0), _xlfn.IFNA(VLOOKUP($BF32, $X23:$AI23,8,0), _xlfn.IFNA(VLOOKUP($BF32, $Y23:$AI23,8,0), _xlfn.IFNA(VLOOKUP($BF32, $Z23:$AI23,8,0), VLOOKUP($BF32, $AA23:$AI23,8,0)))))</f>
        <v>0.15988407748324915</v>
      </c>
      <c r="BI32" t="s">
        <v>35</v>
      </c>
      <c r="BJ32" s="4">
        <f>MAX($W24:$AA24)</f>
        <v>4.5742176284811942</v>
      </c>
      <c r="BK32" s="5">
        <f>_xlfn.IFNA(VLOOKUP($BJ32, $W24:$AI24,8,0), _xlfn.IFNA(VLOOKUP($BJ32, $X24:$AI24,8,0), _xlfn.IFNA(VLOOKUP($BJ32, $Y24:$AI24,8,0), _xlfn.IFNA(VLOOKUP($BJ32, $Z24:$AI24,8,0), VLOOKUP($BJ32, $AA24:$AI24,8,0)))))</f>
        <v>6.8900715429257561E-2</v>
      </c>
      <c r="BM32" t="s">
        <v>35</v>
      </c>
      <c r="BN32" s="4">
        <f>MAX($W25:$AA25)</f>
        <v>1.0993202146690519</v>
      </c>
      <c r="BO32" s="5">
        <f>_xlfn.IFNA(VLOOKUP($BN32, $W25:$AI25,8,0), _xlfn.IFNA(VLOOKUP($BN32, $X25:$AI25,8,0), _xlfn.IFNA(VLOOKUP($BN32, $Y25:$AI25,8,0), _xlfn.IFNA(VLOOKUP($BN32, $Z25:$AI25,8,0), VLOOKUP($BN32, $AA25:$AI25,8,0)))))</f>
        <v>2.3352064335946557E-3</v>
      </c>
      <c r="BQ32" t="s">
        <v>35</v>
      </c>
      <c r="BR32" s="4">
        <f>MAX($W26:$AA26)</f>
        <v>0.34822521419828639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2" t="s">
        <v>34</v>
      </c>
      <c r="B33" t="s">
        <v>29</v>
      </c>
      <c r="C33" s="25">
        <v>556</v>
      </c>
      <c r="D33" s="25">
        <v>209</v>
      </c>
      <c r="E33" s="25">
        <v>16</v>
      </c>
      <c r="F33" s="25">
        <v>1</v>
      </c>
      <c r="G33" s="25">
        <v>0</v>
      </c>
      <c r="I33" s="25">
        <v>67</v>
      </c>
      <c r="J33" s="25">
        <v>26</v>
      </c>
      <c r="K33" s="25">
        <v>4</v>
      </c>
      <c r="L33" s="25">
        <v>0</v>
      </c>
      <c r="M33" s="25">
        <v>0</v>
      </c>
      <c r="O33" s="2">
        <f t="shared" si="0"/>
        <v>0.12050359712230216</v>
      </c>
      <c r="P33" s="2">
        <f t="shared" si="1"/>
        <v>0.12440191387559808</v>
      </c>
      <c r="Q33" s="2">
        <f t="shared" si="2"/>
        <v>0.25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0.99371806902304249</v>
      </c>
      <c r="X33" s="3">
        <f t="shared" si="24"/>
        <v>1.0258650579016713</v>
      </c>
      <c r="Y33" s="3">
        <f t="shared" si="25"/>
        <v>2.0615942028985508</v>
      </c>
      <c r="Z33" s="3">
        <f t="shared" si="19"/>
        <v>0</v>
      </c>
      <c r="AA33" s="3">
        <f t="shared" si="20"/>
        <v>0</v>
      </c>
      <c r="AB33" s="3">
        <f t="shared" si="6"/>
        <v>2.0615942028985508</v>
      </c>
      <c r="AC33" s="44">
        <f t="shared" si="11"/>
        <v>16</v>
      </c>
      <c r="AD33" s="3" t="str">
        <f t="shared" si="12"/>
        <v>5</v>
      </c>
      <c r="AE33" s="3">
        <f t="shared" si="30"/>
        <v>7.3288890626629199E-3</v>
      </c>
      <c r="AF33" s="3">
        <f t="shared" si="30"/>
        <v>0.11887774772900631</v>
      </c>
      <c r="AG33" s="3">
        <f t="shared" si="30"/>
        <v>0.19714492753623189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0</v>
      </c>
      <c r="AU33" s="7">
        <f t="shared" si="31"/>
        <v>2</v>
      </c>
      <c r="AV33" s="7">
        <f t="shared" si="31"/>
        <v>1</v>
      </c>
      <c r="AW33" s="18">
        <f t="shared" si="31"/>
        <v>0</v>
      </c>
      <c r="AX33" s="4"/>
      <c r="AY33" t="s">
        <v>37</v>
      </c>
      <c r="AZ33" s="5">
        <f>MAX(W27:AA30)</f>
        <v>2.7892156862745097</v>
      </c>
      <c r="BA33" s="5">
        <f>_xlfn.IFNA(VLOOKUP(AZ33, W27:AI30,8,0), _xlfn.IFNA(VLOOKUP(AZ33, X27:AI30,8,0), _xlfn.IFNA(VLOOKUP(AZ33, Y27:AI30,8,0), _xlfn.IFNA(VLOOKUP(AZ33, Z27:AI30,8,0), VLOOKUP(AZ33, AA27:AI30,8,0)))))</f>
        <v>0.10610577595118852</v>
      </c>
      <c r="BB33" t="s">
        <v>37</v>
      </c>
      <c r="BC33" s="5">
        <f>MAX(AE27:AI30)</f>
        <v>0.1912876637141343</v>
      </c>
      <c r="BE33" t="s">
        <v>37</v>
      </c>
      <c r="BF33" s="4">
        <f>MAX($W27:$AA27)</f>
        <v>1.0035273368606701</v>
      </c>
      <c r="BG33" s="5" t="str">
        <f>_xlfn.IFNA(VLOOKUP($BF33, $W27:$AI27,8,0), _xlfn.IFNA(VLOOKUP($BF33, $X27:$AI27,8,0), _xlfn.IFNA(VLOOKUP($BF33, $Y27:$AI27,8,0), _xlfn.IFNA(VLOOKUP($BF33, $Z27:$AI27,8,0), VLOOKUP($BF33, $AA27:$AI27,8,0)))))</f>
        <v>3</v>
      </c>
      <c r="BI33" t="s">
        <v>37</v>
      </c>
      <c r="BJ33" s="4">
        <f>MAX($W28:$AA28)</f>
        <v>1.0732052339974065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1.0106571936056836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2.7892156862745097</v>
      </c>
      <c r="BS33" s="5">
        <f>_xlfn.IFNA(VLOOKUP($BR33, $W30:$AI30,8,0), _xlfn.IFNA(VLOOKUP($BR33, $X30:$AI30,8,0), _xlfn.IFNA(VLOOKUP($BR33, $Y30:$AI30,8,0), _xlfn.IFNA(VLOOKUP($BR33, $Z30:$AI30,8,0), VLOOKUP($BR33, $AA30:$AI30,8,0)))))</f>
        <v>0.10610577595118852</v>
      </c>
    </row>
    <row r="34" spans="1:71" s="1" customFormat="1" x14ac:dyDescent="0.3">
      <c r="A34" s="32" t="s">
        <v>34</v>
      </c>
      <c r="B34" s="1" t="s">
        <v>30</v>
      </c>
      <c r="C34" s="1">
        <v>16</v>
      </c>
      <c r="D34" s="1">
        <v>1</v>
      </c>
      <c r="E34" s="1">
        <v>0</v>
      </c>
      <c r="F34" s="1">
        <v>0</v>
      </c>
      <c r="G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</v>
      </c>
      <c r="X34" s="10">
        <f t="shared" si="24"/>
        <v>0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</v>
      </c>
      <c r="AC34" s="45">
        <f t="shared" si="11"/>
        <v>16</v>
      </c>
      <c r="AD34" s="10" t="str">
        <f t="shared" si="12"/>
        <v>3</v>
      </c>
      <c r="AE34" s="10">
        <f t="shared" si="30"/>
        <v>0</v>
      </c>
      <c r="AF34" s="10">
        <f t="shared" si="30"/>
        <v>0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0</v>
      </c>
      <c r="AT34" s="4">
        <f t="shared" si="31"/>
        <v>2</v>
      </c>
      <c r="AU34" s="4">
        <f t="shared" si="31"/>
        <v>1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4.9478260869565212</v>
      </c>
      <c r="BA34" s="14">
        <f>_xlfn.IFNA(VLOOKUP(AZ34, W31:AI34,8,0), _xlfn.IFNA(VLOOKUP(AZ34, X31:AI34,8,0), _xlfn.IFNA(VLOOKUP(AZ34, Y31:AI34,8,0), _xlfn.IFNA(VLOOKUP(AZ34, Z31:AI34,8,0), VLOOKUP(AZ34, AA31:AI34,8,0)))))</f>
        <v>0.1715685195376995</v>
      </c>
      <c r="BB34" s="1" t="s">
        <v>38</v>
      </c>
      <c r="BC34" s="14">
        <f>MAX(AE31:AI34)</f>
        <v>0.45902608695652175</v>
      </c>
      <c r="BE34" s="1" t="s">
        <v>38</v>
      </c>
      <c r="BF34" s="4">
        <f>MAX($W31:$AA31)</f>
        <v>4.9478260869565212</v>
      </c>
      <c r="BG34" s="14">
        <f>_xlfn.IFNA(VLOOKUP($BF34, $W31:$AI31,8,0), _xlfn.IFNA(VLOOKUP($BF34, $X31:$AI31,8,0), _xlfn.IFNA(VLOOKUP($BF34, $Y31:$AI31,8,0), _xlfn.IFNA(VLOOKUP($BF34, $Z31:$AI31,8,0), VLOOKUP($BF34, $AA31:$AI31,8,0)))))</f>
        <v>0.1715685195376995</v>
      </c>
      <c r="BI34" s="1" t="s">
        <v>38</v>
      </c>
      <c r="BJ34" s="4">
        <f>MAX($W32:$AA32)</f>
        <v>0.82308469117606919</v>
      </c>
      <c r="BK34" s="5" t="str">
        <f>_xlfn.IFNA(VLOOKUP($BJ34, $W32:$AI32,8,0), _xlfn.IFNA(VLOOKUP($BJ34, $X32:$AI32,8,0), _xlfn.IFNA(VLOOKUP($BJ34, $Y32:$AI32,8,0), _xlfn.IFNA(VLOOKUP($BJ34, $Z32:$AI32,8,0), VLOOKUP($BJ34, $AA32:$AI32,8,0)))))</f>
        <v>3</v>
      </c>
      <c r="BM34" s="1" t="s">
        <v>38</v>
      </c>
      <c r="BN34" s="13">
        <f>MAX($W33:$AA33)</f>
        <v>2.0615942028985508</v>
      </c>
      <c r="BO34" s="14">
        <f>_xlfn.IFNA(VLOOKUP($BN34, $W33:$AI33,8,0), _xlfn.IFNA(VLOOKUP($BN34, $X33:$AI33,8,0), _xlfn.IFNA(VLOOKUP($BN34, $Y33:$AI33,8,0), _xlfn.IFNA(VLOOKUP($BN34, $Z33:$AI33,8,0), VLOOKUP($BN34, $AA33:$AI33,8,0)))))</f>
        <v>0.11887774772900631</v>
      </c>
      <c r="BQ34" s="1" t="s">
        <v>38</v>
      </c>
      <c r="BR34" s="13">
        <f>MAX($W34:$AA34)</f>
        <v>0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488</v>
      </c>
      <c r="D35">
        <v>118</v>
      </c>
      <c r="E35">
        <v>3</v>
      </c>
      <c r="F35">
        <v>0</v>
      </c>
      <c r="G35">
        <v>0</v>
      </c>
      <c r="I35">
        <v>37</v>
      </c>
      <c r="J35">
        <v>11</v>
      </c>
      <c r="K35">
        <v>3</v>
      </c>
      <c r="L35">
        <v>0</v>
      </c>
      <c r="M35">
        <v>0</v>
      </c>
      <c r="O35" s="28">
        <f t="shared" ref="O35:O54" si="32">IF(I35&gt;0, I35/C35, 0)</f>
        <v>7.5819672131147542E-2</v>
      </c>
      <c r="P35" s="28">
        <f t="shared" ref="P35:P54" si="33">IF(J35&gt;0, J35/D35, 0)</f>
        <v>9.3220338983050849E-2</v>
      </c>
      <c r="Q35" s="28">
        <f t="shared" ref="Q35:Q54" si="34">IF(K35&gt;0, K35/E35, 0)</f>
        <v>1</v>
      </c>
      <c r="R35" s="28">
        <f t="shared" ref="R35:R54" si="35">IF(L35&gt;0, L35/F35, 0)</f>
        <v>0</v>
      </c>
      <c r="S35" s="28">
        <f t="shared" ref="S35:S54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0.81398855552118776</v>
      </c>
      <c r="X35" s="29">
        <f t="shared" si="24"/>
        <v>1.0007994883274705</v>
      </c>
      <c r="Y35" s="29">
        <f t="shared" si="25"/>
        <v>10.735849056603774</v>
      </c>
      <c r="Z35" s="29">
        <f t="shared" si="19"/>
        <v>0</v>
      </c>
      <c r="AA35" s="29">
        <f t="shared" si="20"/>
        <v>0</v>
      </c>
      <c r="AB35" s="29">
        <f t="shared" ref="AB35:AB54" si="37">MAX(W35:AA35)</f>
        <v>10.735849056603774</v>
      </c>
      <c r="AC35" s="41">
        <f t="shared" si="11"/>
        <v>3</v>
      </c>
      <c r="AD35" s="29" t="str">
        <f t="shared" si="12"/>
        <v>5</v>
      </c>
      <c r="AE35" s="29">
        <f t="shared" ref="AE35:AI38" si="38">IF(C35&gt;0,((I35*((3*53)+C35))/(4*C35*53))*(1-(C35-I35)/(569-53)),0)</f>
        <v>2.9148350075649133E-2</v>
      </c>
      <c r="AF35" s="29">
        <f t="shared" si="38"/>
        <v>9.6544645535384485E-2</v>
      </c>
      <c r="AG35" s="29">
        <f t="shared" si="38"/>
        <v>0.76415094339622647</v>
      </c>
      <c r="AH35" s="29">
        <f t="shared" si="38"/>
        <v>0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0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524</v>
      </c>
      <c r="D36">
        <v>122</v>
      </c>
      <c r="E36">
        <v>1</v>
      </c>
      <c r="F36">
        <v>0</v>
      </c>
      <c r="G36">
        <v>0</v>
      </c>
      <c r="I36">
        <v>37</v>
      </c>
      <c r="J36">
        <v>12</v>
      </c>
      <c r="K36">
        <v>1</v>
      </c>
      <c r="L36">
        <v>0</v>
      </c>
      <c r="M36">
        <v>0</v>
      </c>
      <c r="O36" s="28">
        <f t="shared" si="32"/>
        <v>7.061068702290077E-2</v>
      </c>
      <c r="P36" s="28">
        <f t="shared" si="33"/>
        <v>9.8360655737704916E-2</v>
      </c>
      <c r="Q36" s="28">
        <f t="shared" si="34"/>
        <v>1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0.75806567766095356</v>
      </c>
      <c r="X36" s="29">
        <f t="shared" si="24"/>
        <v>1.055985153108568</v>
      </c>
      <c r="Y36" s="29">
        <f t="shared" si="25"/>
        <v>10.735849056603774</v>
      </c>
      <c r="Z36" s="29">
        <f t="shared" si="19"/>
        <v>0</v>
      </c>
      <c r="AA36" s="29">
        <f t="shared" si="20"/>
        <v>0</v>
      </c>
      <c r="AB36" s="29">
        <f t="shared" si="37"/>
        <v>10.735849056603774</v>
      </c>
      <c r="AC36" s="41">
        <f t="shared" si="11"/>
        <v>1</v>
      </c>
      <c r="AD36" s="29" t="str">
        <f t="shared" si="12"/>
        <v>5</v>
      </c>
      <c r="AE36" s="29">
        <f t="shared" si="38"/>
        <v>1.2785083716017579E-2</v>
      </c>
      <c r="AF36" s="29">
        <f t="shared" si="38"/>
        <v>0.10258130183643964</v>
      </c>
      <c r="AG36" s="29">
        <f t="shared" si="38"/>
        <v>0.75471698113207553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1</v>
      </c>
      <c r="AU36" s="4">
        <f t="shared" si="31"/>
        <v>1</v>
      </c>
      <c r="AV36" s="4">
        <f t="shared" si="31"/>
        <v>1</v>
      </c>
      <c r="AW36" s="22">
        <f t="shared" si="31"/>
        <v>0</v>
      </c>
      <c r="AX36" s="4"/>
      <c r="AY36" t="s">
        <v>42</v>
      </c>
      <c r="AZ36">
        <f>COUNTIF(AZ27:AZ34, "&gt;1.5")</f>
        <v>8</v>
      </c>
      <c r="BE36" t="s">
        <v>42</v>
      </c>
      <c r="BF36">
        <f>COUNTIF(BF27:BF34, "&gt;1.5")</f>
        <v>4</v>
      </c>
      <c r="BI36" t="s">
        <v>42</v>
      </c>
      <c r="BJ36">
        <f>COUNTIF(BJ27:BJ34, "&gt;1.5")</f>
        <v>3</v>
      </c>
      <c r="BM36" t="s">
        <v>42</v>
      </c>
      <c r="BN36">
        <f>COUNTIF(BN27:BN34, "&gt;1.5")</f>
        <v>3</v>
      </c>
      <c r="BQ36" t="s">
        <v>42</v>
      </c>
      <c r="BR36">
        <f>COUNTIF(BR27:BR34, "&gt;1.5")</f>
        <v>4</v>
      </c>
    </row>
    <row r="37" spans="1:71" x14ac:dyDescent="0.3">
      <c r="A37" s="32" t="s">
        <v>56</v>
      </c>
      <c r="B37" t="s">
        <v>29</v>
      </c>
      <c r="C37">
        <v>561</v>
      </c>
      <c r="D37">
        <v>472</v>
      </c>
      <c r="E37">
        <v>139</v>
      </c>
      <c r="F37">
        <v>10</v>
      </c>
      <c r="G37">
        <v>0</v>
      </c>
      <c r="I37">
        <v>53</v>
      </c>
      <c r="J37">
        <v>46</v>
      </c>
      <c r="K37">
        <v>16</v>
      </c>
      <c r="L37">
        <v>4</v>
      </c>
      <c r="M37">
        <v>0</v>
      </c>
      <c r="O37" s="28">
        <f t="shared" si="32"/>
        <v>9.4474153297682703E-2</v>
      </c>
      <c r="P37" s="28">
        <f t="shared" si="33"/>
        <v>9.7457627118644072E-2</v>
      </c>
      <c r="Q37" s="28">
        <f t="shared" si="34"/>
        <v>0.11510791366906475</v>
      </c>
      <c r="R37" s="28">
        <f t="shared" si="35"/>
        <v>0.4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1.0142602495543671</v>
      </c>
      <c r="X37" s="29">
        <f t="shared" si="24"/>
        <v>1.0462903741605374</v>
      </c>
      <c r="Y37" s="29">
        <f t="shared" si="25"/>
        <v>1.2357811863716575</v>
      </c>
      <c r="Z37" s="29">
        <f t="shared" si="19"/>
        <v>4.2943396226415098</v>
      </c>
      <c r="AA37" s="29">
        <f t="shared" si="20"/>
        <v>0</v>
      </c>
      <c r="AB37" s="29">
        <f t="shared" si="37"/>
        <v>4.2943396226415098</v>
      </c>
      <c r="AC37" s="41">
        <f t="shared" si="11"/>
        <v>10</v>
      </c>
      <c r="AD37" s="29" t="str">
        <f t="shared" si="12"/>
        <v>6</v>
      </c>
      <c r="AE37" s="29">
        <f t="shared" si="38"/>
        <v>4.9745056585001951E-3</v>
      </c>
      <c r="AF37" s="29">
        <f t="shared" si="38"/>
        <v>5.0594363793218841E-2</v>
      </c>
      <c r="AG37" s="29">
        <f t="shared" si="38"/>
        <v>0.12323340099311512</v>
      </c>
      <c r="AH37" s="29">
        <f t="shared" si="38"/>
        <v>0.31516015796401931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8</v>
      </c>
      <c r="BE37" t="s">
        <v>43</v>
      </c>
      <c r="BF37">
        <f>COUNTIF(BF27:BF34, "&gt;2")</f>
        <v>3</v>
      </c>
      <c r="BI37" t="s">
        <v>43</v>
      </c>
      <c r="BJ37">
        <f>COUNTIF(BJ27:BJ34, "&gt;2")</f>
        <v>3</v>
      </c>
      <c r="BM37" t="s">
        <v>43</v>
      </c>
      <c r="BN37">
        <f>COUNTIF(BN27:BN34, "&gt;2")</f>
        <v>3</v>
      </c>
      <c r="BQ37" t="s">
        <v>43</v>
      </c>
      <c r="BR37">
        <f>COUNTIF(BR27:BR34, "&gt;2")</f>
        <v>4</v>
      </c>
    </row>
    <row r="38" spans="1:71" x14ac:dyDescent="0.3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6.3291139240506333E-2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0.67948411750656801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0.67948411750656801</v>
      </c>
      <c r="AC38" s="42">
        <f t="shared" si="11"/>
        <v>316</v>
      </c>
      <c r="AD38" s="31" t="str">
        <f t="shared" si="12"/>
        <v>3</v>
      </c>
      <c r="AE38" s="31">
        <f t="shared" si="38"/>
        <v>6.0460765418247325E-2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564</v>
      </c>
      <c r="D39">
        <v>473</v>
      </c>
      <c r="E39">
        <v>99</v>
      </c>
      <c r="F39">
        <v>10</v>
      </c>
      <c r="G39">
        <v>0</v>
      </c>
      <c r="I39">
        <v>55</v>
      </c>
      <c r="J39">
        <v>39</v>
      </c>
      <c r="K39">
        <v>9</v>
      </c>
      <c r="L39">
        <v>2</v>
      </c>
      <c r="M39">
        <v>0</v>
      </c>
      <c r="O39" s="28">
        <f t="shared" si="32"/>
        <v>9.7517730496453903E-2</v>
      </c>
      <c r="P39" s="28">
        <f t="shared" si="33"/>
        <v>8.2452431289640596E-2</v>
      </c>
      <c r="Q39" s="28">
        <f t="shared" si="34"/>
        <v>9.0909090909090912E-2</v>
      </c>
      <c r="R39" s="28">
        <f t="shared" si="35"/>
        <v>0.2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0.97346646758740829</v>
      </c>
      <c r="X39" s="29">
        <f t="shared" si="24"/>
        <v>0.82307777901413159</v>
      </c>
      <c r="Y39" s="29">
        <f t="shared" si="25"/>
        <v>0.90749601275917069</v>
      </c>
      <c r="Z39" s="29">
        <f t="shared" si="19"/>
        <v>1.9964912280701756</v>
      </c>
      <c r="AA39" s="29">
        <f t="shared" si="20"/>
        <v>0</v>
      </c>
      <c r="AB39" s="29">
        <f t="shared" si="37"/>
        <v>1.9964912280701756</v>
      </c>
      <c r="AC39" s="41">
        <f t="shared" si="11"/>
        <v>10</v>
      </c>
      <c r="AD39" s="29" t="str">
        <f t="shared" si="12"/>
        <v>6</v>
      </c>
      <c r="AE39" s="29">
        <f t="shared" ref="AE39:AI42" si="39">IF(C39&gt;0,((I39*((3*57)+C39))/(4*C39*57))*(1-(C39-I39)/(569-57)),0)</f>
        <v>1.841990437779955E-3</v>
      </c>
      <c r="AF39" s="29">
        <f t="shared" si="39"/>
        <v>3.5479633776566155E-2</v>
      </c>
      <c r="AG39" s="29">
        <f t="shared" si="39"/>
        <v>8.8731683612440201E-2</v>
      </c>
      <c r="AH39" s="29">
        <f t="shared" si="39"/>
        <v>0.15629111842105262</v>
      </c>
      <c r="AI39" s="29">
        <f t="shared" si="39"/>
        <v>0</v>
      </c>
      <c r="AY39" s="1" t="s">
        <v>45</v>
      </c>
      <c r="AZ39" s="1"/>
    </row>
    <row r="40" spans="1:71" x14ac:dyDescent="0.3">
      <c r="A40" s="32" t="s">
        <v>57</v>
      </c>
      <c r="B40" t="s">
        <v>28</v>
      </c>
      <c r="C40">
        <v>567</v>
      </c>
      <c r="D40">
        <v>505</v>
      </c>
      <c r="E40">
        <v>133</v>
      </c>
      <c r="F40">
        <v>11</v>
      </c>
      <c r="G40">
        <v>0</v>
      </c>
      <c r="I40">
        <v>57</v>
      </c>
      <c r="J40">
        <v>48</v>
      </c>
      <c r="K40">
        <v>17</v>
      </c>
      <c r="L40">
        <v>2</v>
      </c>
      <c r="M40">
        <v>0</v>
      </c>
      <c r="O40" s="28">
        <f t="shared" si="32"/>
        <v>0.10052910052910052</v>
      </c>
      <c r="P40" s="28">
        <f t="shared" si="33"/>
        <v>9.5049504950495051E-2</v>
      </c>
      <c r="Q40" s="28">
        <f t="shared" si="34"/>
        <v>0.12781954887218044</v>
      </c>
      <c r="R40" s="28">
        <f t="shared" si="35"/>
        <v>0.18181818181818182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1.0035273368606701</v>
      </c>
      <c r="X40" s="29">
        <f t="shared" si="24"/>
        <v>0.94882751433038048</v>
      </c>
      <c r="Y40" s="29">
        <f t="shared" si="25"/>
        <v>1.2759530404959767</v>
      </c>
      <c r="Z40" s="29">
        <f t="shared" si="19"/>
        <v>1.8149920255183414</v>
      </c>
      <c r="AA40" s="29">
        <f t="shared" si="20"/>
        <v>0</v>
      </c>
      <c r="AB40" s="29">
        <f t="shared" si="37"/>
        <v>1.8149920255183414</v>
      </c>
      <c r="AC40" s="41">
        <f t="shared" si="11"/>
        <v>11</v>
      </c>
      <c r="AD40" s="29" t="str">
        <f t="shared" si="12"/>
        <v>6</v>
      </c>
      <c r="AE40" s="29">
        <f t="shared" si="39"/>
        <v>1.2710813492063492E-3</v>
      </c>
      <c r="AF40" s="29">
        <f t="shared" si="39"/>
        <v>3.0272928608650339E-2</v>
      </c>
      <c r="AG40" s="29">
        <f t="shared" si="39"/>
        <v>0.13181390977443608</v>
      </c>
      <c r="AH40" s="29">
        <f t="shared" si="39"/>
        <v>0.14258435506379585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</row>
    <row r="41" spans="1:71" x14ac:dyDescent="0.3">
      <c r="A41" s="32" t="s">
        <v>57</v>
      </c>
      <c r="B41" t="s">
        <v>29</v>
      </c>
      <c r="C41">
        <v>554</v>
      </c>
      <c r="D41">
        <v>386</v>
      </c>
      <c r="E41">
        <v>57</v>
      </c>
      <c r="F41">
        <v>2</v>
      </c>
      <c r="G41">
        <v>0</v>
      </c>
      <c r="I41">
        <v>54</v>
      </c>
      <c r="J41">
        <v>37</v>
      </c>
      <c r="K41">
        <v>5</v>
      </c>
      <c r="L41">
        <v>1</v>
      </c>
      <c r="M41">
        <v>0</v>
      </c>
      <c r="O41" s="28">
        <f t="shared" si="32"/>
        <v>9.7472924187725629E-2</v>
      </c>
      <c r="P41" s="28">
        <f t="shared" si="33"/>
        <v>9.585492227979274E-2</v>
      </c>
      <c r="Q41" s="28">
        <f t="shared" si="34"/>
        <v>8.771929824561403E-2</v>
      </c>
      <c r="R41" s="28">
        <f t="shared" si="35"/>
        <v>0.5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0.97301919057571729</v>
      </c>
      <c r="X41" s="29">
        <f t="shared" si="24"/>
        <v>0.95686755749477315</v>
      </c>
      <c r="Y41" s="29">
        <f t="shared" si="25"/>
        <v>0.87565404739919972</v>
      </c>
      <c r="Z41" s="29">
        <f t="shared" si="19"/>
        <v>4.9912280701754383</v>
      </c>
      <c r="AA41" s="29">
        <f t="shared" si="20"/>
        <v>0</v>
      </c>
      <c r="AB41" s="29">
        <f t="shared" si="37"/>
        <v>4.9912280701754383</v>
      </c>
      <c r="AC41" s="41">
        <f t="shared" si="11"/>
        <v>2</v>
      </c>
      <c r="AD41" s="29" t="str">
        <f t="shared" si="12"/>
        <v>6</v>
      </c>
      <c r="AE41" s="29">
        <f t="shared" si="39"/>
        <v>7.2643780875926278E-3</v>
      </c>
      <c r="AF41" s="29">
        <f t="shared" si="39"/>
        <v>7.4550817645839013E-2</v>
      </c>
      <c r="AG41" s="29">
        <f t="shared" si="39"/>
        <v>7.8810307017543851E-2</v>
      </c>
      <c r="AH41" s="29">
        <f t="shared" si="39"/>
        <v>0.37864497669956143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dE(class)</v>
      </c>
    </row>
    <row r="42" spans="1:71" x14ac:dyDescent="0.3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2"/>
        <v>6.9672131147540978E-2</v>
      </c>
      <c r="P42" s="30">
        <f t="shared" si="33"/>
        <v>9.375E-2</v>
      </c>
      <c r="Q42" s="30">
        <f t="shared" si="34"/>
        <v>0</v>
      </c>
      <c r="R42" s="30">
        <f t="shared" si="35"/>
        <v>0</v>
      </c>
      <c r="S42" s="30">
        <f t="shared" si="36"/>
        <v>0</v>
      </c>
      <c r="T42" s="30"/>
      <c r="U42" s="30">
        <f>57/569</f>
        <v>0.10017574692442882</v>
      </c>
      <c r="V42" s="30"/>
      <c r="W42" s="31">
        <f t="shared" si="23"/>
        <v>0.69549899338510202</v>
      </c>
      <c r="X42" s="31">
        <f t="shared" si="24"/>
        <v>0.9358552631578948</v>
      </c>
      <c r="Y42" s="31">
        <f t="shared" si="25"/>
        <v>0</v>
      </c>
      <c r="Z42" s="31">
        <f t="shared" si="19"/>
        <v>0</v>
      </c>
      <c r="AA42" s="31">
        <f t="shared" si="20"/>
        <v>0</v>
      </c>
      <c r="AB42" s="31">
        <f t="shared" si="37"/>
        <v>0.9358552631578948</v>
      </c>
      <c r="AC42" s="42">
        <f t="shared" si="11"/>
        <v>32</v>
      </c>
      <c r="AD42" s="31" t="str">
        <f t="shared" si="12"/>
        <v>4</v>
      </c>
      <c r="AE42" s="31">
        <f t="shared" si="39"/>
        <v>2.2812227562374172E-2</v>
      </c>
      <c r="AF42" s="31">
        <f t="shared" si="39"/>
        <v>7.8742579409950664E-2</v>
      </c>
      <c r="AG42" s="31">
        <f t="shared" si="39"/>
        <v>0</v>
      </c>
      <c r="AH42" s="31">
        <f t="shared" si="39"/>
        <v>0</v>
      </c>
      <c r="AI42" s="31">
        <f t="shared" si="39"/>
        <v>0</v>
      </c>
      <c r="AY42" t="s">
        <v>32</v>
      </c>
      <c r="AZ42" t="str">
        <f>IF(COUNTIF(W11:AA11,AZ29), B11, IF(COUNTIF(W12:AA12,AZ29), B12, IF(COUNTIF(W13:AA13,AZ29), B13, B14)))</f>
        <v>dE</v>
      </c>
    </row>
    <row r="43" spans="1:71" x14ac:dyDescent="0.3">
      <c r="A43" s="32" t="s">
        <v>35</v>
      </c>
      <c r="B43" t="s">
        <v>27</v>
      </c>
      <c r="C43" s="25">
        <v>568</v>
      </c>
      <c r="D43" s="25">
        <v>526</v>
      </c>
      <c r="E43" s="25">
        <v>136</v>
      </c>
      <c r="F43" s="25">
        <v>0</v>
      </c>
      <c r="G43" s="25">
        <v>0</v>
      </c>
      <c r="I43" s="25">
        <v>39</v>
      </c>
      <c r="J43" s="25">
        <v>37</v>
      </c>
      <c r="K43" s="25">
        <v>12</v>
      </c>
      <c r="L43" s="25">
        <v>0</v>
      </c>
      <c r="M43" s="25">
        <v>0</v>
      </c>
      <c r="O43" s="2">
        <f t="shared" si="32"/>
        <v>6.8661971830985921E-2</v>
      </c>
      <c r="P43" s="2">
        <f t="shared" si="33"/>
        <v>7.0342205323193921E-2</v>
      </c>
      <c r="Q43" s="2">
        <f t="shared" si="34"/>
        <v>8.8235294117647065E-2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1.0017605633802817</v>
      </c>
      <c r="X43" s="3">
        <f t="shared" si="24"/>
        <v>1.0262747392024958</v>
      </c>
      <c r="Y43" s="3">
        <f t="shared" si="25"/>
        <v>1.2873303167420815</v>
      </c>
      <c r="Z43" s="3">
        <f t="shared" si="19"/>
        <v>0</v>
      </c>
      <c r="AA43" s="3">
        <f t="shared" si="20"/>
        <v>0</v>
      </c>
      <c r="AB43" s="3">
        <f t="shared" si="37"/>
        <v>1.2873303167420815</v>
      </c>
      <c r="AC43" s="44">
        <f t="shared" si="11"/>
        <v>136</v>
      </c>
      <c r="AD43" s="3" t="str">
        <f t="shared" si="12"/>
        <v>5</v>
      </c>
      <c r="AE43" s="3">
        <f t="shared" ref="AE43:AI46" si="40">IF(C43&gt;0,((I43*((3*39)+C43))/(4*C43*39))*(1-(C43-I43)/(569-39)),0)</f>
        <v>5.6886128089290446E-4</v>
      </c>
      <c r="AF43" s="3">
        <f t="shared" si="40"/>
        <v>2.242902224159846E-2</v>
      </c>
      <c r="AG43" s="3">
        <f t="shared" si="40"/>
        <v>0.10961965337659012</v>
      </c>
      <c r="AH43" s="3">
        <f t="shared" si="40"/>
        <v>0</v>
      </c>
      <c r="AI43" s="3">
        <f t="shared" si="40"/>
        <v>0</v>
      </c>
      <c r="AY43" t="s">
        <v>33</v>
      </c>
      <c r="AZ43" t="str">
        <f>IF(COUNTIF(W15:AA15,AZ30), B15, IF(COUNTIF(W16:AA16,AZ30), B16, IF(COUNTIF(W17:AA17,AZ30), B17, B18)))</f>
        <v>dU</v>
      </c>
    </row>
    <row r="44" spans="1:71" x14ac:dyDescent="0.3">
      <c r="A44" s="32" t="s">
        <v>35</v>
      </c>
      <c r="B44" t="s">
        <v>28</v>
      </c>
      <c r="C44" s="25">
        <v>565</v>
      </c>
      <c r="D44" s="25">
        <v>363</v>
      </c>
      <c r="E44" s="25">
        <v>10</v>
      </c>
      <c r="F44" s="25">
        <v>0</v>
      </c>
      <c r="G44" s="25">
        <v>0</v>
      </c>
      <c r="I44" s="25">
        <v>39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2"/>
        <v>6.9026548672566371E-2</v>
      </c>
      <c r="P44" s="2">
        <f t="shared" si="33"/>
        <v>8.5399449035812675E-2</v>
      </c>
      <c r="Q44" s="2">
        <f t="shared" si="34"/>
        <v>0</v>
      </c>
      <c r="R44" s="2">
        <f t="shared" si="35"/>
        <v>0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1.0070796460176989</v>
      </c>
      <c r="X44" s="3">
        <f t="shared" si="24"/>
        <v>1.2459560641378822</v>
      </c>
      <c r="Y44" s="3">
        <f t="shared" si="25"/>
        <v>0</v>
      </c>
      <c r="Z44" s="3">
        <f t="shared" si="19"/>
        <v>0</v>
      </c>
      <c r="AA44" s="3">
        <f t="shared" si="20"/>
        <v>0</v>
      </c>
      <c r="AB44" s="3">
        <f t="shared" si="37"/>
        <v>1.2459560641378822</v>
      </c>
      <c r="AC44" s="44">
        <f t="shared" si="11"/>
        <v>363</v>
      </c>
      <c r="AD44" s="3" t="str">
        <f t="shared" si="12"/>
        <v>4</v>
      </c>
      <c r="AE44" s="3">
        <f t="shared" si="40"/>
        <v>2.2775087660711298E-3</v>
      </c>
      <c r="AF44" s="3">
        <f t="shared" si="40"/>
        <v>9.8165984958437799E-2</v>
      </c>
      <c r="AG44" s="3">
        <f t="shared" si="40"/>
        <v>0</v>
      </c>
      <c r="AH44" s="3">
        <f t="shared" si="40"/>
        <v>0</v>
      </c>
      <c r="AI44" s="3">
        <f t="shared" si="40"/>
        <v>0</v>
      </c>
      <c r="AY44" t="s">
        <v>34</v>
      </c>
      <c r="AZ44" t="str">
        <f>IF(COUNTIF(W19:AA19,AZ31), B19, IF(COUNTIF(W20:AA20,AZ31), B20, IF(COUNTIF(W21:AA21,AZ31), B21, B22)))</f>
        <v>dU</v>
      </c>
    </row>
    <row r="45" spans="1:71" x14ac:dyDescent="0.3">
      <c r="A45" s="32" t="s">
        <v>35</v>
      </c>
      <c r="B45" t="s">
        <v>29</v>
      </c>
      <c r="C45" s="25">
        <v>568</v>
      </c>
      <c r="D45" s="25">
        <v>537</v>
      </c>
      <c r="E45" s="25">
        <v>169</v>
      </c>
      <c r="F45" s="25">
        <v>5</v>
      </c>
      <c r="G45" s="25">
        <v>0</v>
      </c>
      <c r="I45" s="25">
        <v>39</v>
      </c>
      <c r="J45" s="25">
        <v>38</v>
      </c>
      <c r="K45" s="25">
        <v>13</v>
      </c>
      <c r="L45" s="25">
        <v>2</v>
      </c>
      <c r="M45" s="25">
        <v>0</v>
      </c>
      <c r="O45" s="2">
        <f t="shared" si="32"/>
        <v>6.8661971830985921E-2</v>
      </c>
      <c r="P45" s="2">
        <f t="shared" si="33"/>
        <v>7.0763500931098691E-2</v>
      </c>
      <c r="Q45" s="2">
        <f t="shared" si="34"/>
        <v>7.6923076923076927E-2</v>
      </c>
      <c r="R45" s="2">
        <f t="shared" si="35"/>
        <v>0.4</v>
      </c>
      <c r="S45" s="2">
        <f t="shared" si="36"/>
        <v>0</v>
      </c>
      <c r="T45" s="2"/>
      <c r="U45" s="2">
        <f>39/569</f>
        <v>6.8541300527240778E-2</v>
      </c>
      <c r="V45" s="2"/>
      <c r="W45" s="3">
        <f t="shared" si="23"/>
        <v>1.0017605633802817</v>
      </c>
      <c r="X45" s="3">
        <f t="shared" si="24"/>
        <v>1.0324213340973116</v>
      </c>
      <c r="Y45" s="3">
        <f t="shared" si="25"/>
        <v>1.1222879684418146</v>
      </c>
      <c r="Z45" s="3">
        <f t="shared" si="19"/>
        <v>5.8358974358974356</v>
      </c>
      <c r="AA45" s="3">
        <f t="shared" si="20"/>
        <v>0</v>
      </c>
      <c r="AB45" s="3">
        <f t="shared" si="37"/>
        <v>5.8358974358974356</v>
      </c>
      <c r="AC45" s="44">
        <f t="shared" si="11"/>
        <v>5</v>
      </c>
      <c r="AD45" s="3" t="str">
        <f t="shared" si="12"/>
        <v>6</v>
      </c>
      <c r="AE45" s="3">
        <f t="shared" si="40"/>
        <v>5.6886128089290446E-4</v>
      </c>
      <c r="AF45" s="3">
        <f t="shared" si="40"/>
        <v>1.7351949901754895E-2</v>
      </c>
      <c r="AG45" s="3">
        <f t="shared" si="40"/>
        <v>9.9516207063376882E-2</v>
      </c>
      <c r="AH45" s="3">
        <f t="shared" si="40"/>
        <v>0.31104983067247216</v>
      </c>
      <c r="AI45" s="3">
        <f t="shared" si="40"/>
        <v>0</v>
      </c>
      <c r="AY45" t="s">
        <v>35</v>
      </c>
      <c r="AZ45" t="str">
        <f>IF(COUNTIF(W23:AA23,AZ32), B23, IF(COUNTIF(W24:AA24,AZ32), B24, IF(COUNTIF(W25:AA25,AZ32), B25, B26)))</f>
        <v>dE(class)</v>
      </c>
    </row>
    <row r="46" spans="1:71" x14ac:dyDescent="0.3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2"/>
        <v>0</v>
      </c>
      <c r="P46" s="9">
        <f t="shared" si="33"/>
        <v>0</v>
      </c>
      <c r="Q46" s="9">
        <f t="shared" si="34"/>
        <v>0</v>
      </c>
      <c r="R46" s="9">
        <f t="shared" si="35"/>
        <v>0</v>
      </c>
      <c r="S46" s="9">
        <f t="shared" si="36"/>
        <v>0</v>
      </c>
      <c r="T46" s="9"/>
      <c r="U46" s="9">
        <f>39/569</f>
        <v>6.8541300527240778E-2</v>
      </c>
      <c r="V46" s="9"/>
      <c r="W46" s="10">
        <f t="shared" si="23"/>
        <v>0</v>
      </c>
      <c r="X46" s="10">
        <f t="shared" si="24"/>
        <v>0</v>
      </c>
      <c r="Y46" s="10">
        <f t="shared" si="25"/>
        <v>0</v>
      </c>
      <c r="Z46" s="10">
        <f t="shared" si="19"/>
        <v>0</v>
      </c>
      <c r="AA46" s="10">
        <f t="shared" si="20"/>
        <v>0</v>
      </c>
      <c r="AB46" s="10">
        <f t="shared" si="37"/>
        <v>0</v>
      </c>
      <c r="AC46" s="45">
        <f t="shared" si="11"/>
        <v>14</v>
      </c>
      <c r="AD46" s="10" t="str">
        <f t="shared" si="12"/>
        <v>3</v>
      </c>
      <c r="AE46" s="10">
        <f t="shared" si="40"/>
        <v>0</v>
      </c>
      <c r="AF46" s="10">
        <f t="shared" si="40"/>
        <v>0</v>
      </c>
      <c r="AG46" s="10">
        <f t="shared" si="40"/>
        <v>0</v>
      </c>
      <c r="AH46" s="10">
        <f t="shared" si="40"/>
        <v>0</v>
      </c>
      <c r="AI46" s="10">
        <f t="shared" si="40"/>
        <v>0</v>
      </c>
      <c r="AY46" t="s">
        <v>37</v>
      </c>
      <c r="AZ46" t="str">
        <f>IF(COUNTIF(W27:AA27,AZ33), B27, IF(COUNTIF(W28:AA28,AZ33), B28, IF(COUNTIF(W29:AA29,AZ33), B29, B30)))</f>
        <v>dU</v>
      </c>
    </row>
    <row r="47" spans="1:71" x14ac:dyDescent="0.3">
      <c r="A47" s="32" t="s">
        <v>37</v>
      </c>
      <c r="B47" t="s">
        <v>27</v>
      </c>
      <c r="C47" s="25">
        <v>567</v>
      </c>
      <c r="D47" s="25">
        <v>373</v>
      </c>
      <c r="E47" s="25">
        <v>34</v>
      </c>
      <c r="F47" s="25">
        <v>0</v>
      </c>
      <c r="G47" s="25">
        <v>0</v>
      </c>
      <c r="I47" s="25">
        <v>56</v>
      </c>
      <c r="J47" s="25">
        <v>41</v>
      </c>
      <c r="K47" s="25">
        <v>10</v>
      </c>
      <c r="L47" s="25">
        <v>0</v>
      </c>
      <c r="M47" s="25">
        <v>0</v>
      </c>
      <c r="O47" s="2">
        <f t="shared" si="32"/>
        <v>9.8765432098765427E-2</v>
      </c>
      <c r="P47" s="2">
        <f t="shared" si="33"/>
        <v>0.10991957104557641</v>
      </c>
      <c r="Q47" s="2">
        <f t="shared" si="34"/>
        <v>0.29411764705882354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1.0035273368606701</v>
      </c>
      <c r="X47" s="3">
        <f t="shared" si="24"/>
        <v>1.1168613558023746</v>
      </c>
      <c r="Y47" s="3">
        <f t="shared" si="25"/>
        <v>2.9884453781512605</v>
      </c>
      <c r="Z47" s="3">
        <f t="shared" si="19"/>
        <v>0</v>
      </c>
      <c r="AA47" s="3">
        <f t="shared" si="20"/>
        <v>0</v>
      </c>
      <c r="AB47" s="3">
        <f t="shared" si="37"/>
        <v>2.9884453781512605</v>
      </c>
      <c r="AC47" s="44">
        <f t="shared" si="11"/>
        <v>34</v>
      </c>
      <c r="AD47" s="3" t="str">
        <f t="shared" si="12"/>
        <v>5</v>
      </c>
      <c r="AE47" s="3">
        <f t="shared" ref="AE47:AI50" si="41">IF(C47&gt;0,((I47*((3*56)+C47))/(4*C47*56))*(1-(C47-I47)/(569-56)),0)</f>
        <v>1.2634466825499962E-3</v>
      </c>
      <c r="AF47" s="3">
        <f t="shared" si="41"/>
        <v>9.3666756442790045E-2</v>
      </c>
      <c r="AG47" s="3">
        <f t="shared" si="41"/>
        <v>0.25282262027618063</v>
      </c>
      <c r="AH47" s="3">
        <f t="shared" si="41"/>
        <v>0</v>
      </c>
      <c r="AI47" s="3">
        <f t="shared" si="41"/>
        <v>0</v>
      </c>
      <c r="AY47" t="s">
        <v>38</v>
      </c>
      <c r="AZ47" t="str">
        <f>IF(COUNTIF(W31:AA31,AZ34), B31, IF(COUNTIF(W32:AA32,AZ34), B32, IF(COUNTIF(W33:AA33,AZ34), B33, B34)))</f>
        <v>dE(class)</v>
      </c>
    </row>
    <row r="48" spans="1:71" x14ac:dyDescent="0.3">
      <c r="A48" s="32" t="s">
        <v>37</v>
      </c>
      <c r="B48" t="s">
        <v>28</v>
      </c>
      <c r="C48" s="25">
        <v>407</v>
      </c>
      <c r="D48" s="25">
        <v>7</v>
      </c>
      <c r="E48" s="25">
        <v>0</v>
      </c>
      <c r="F48" s="25">
        <v>0</v>
      </c>
      <c r="G48" s="25">
        <v>0</v>
      </c>
      <c r="I48" s="25">
        <v>47</v>
      </c>
      <c r="J48" s="25">
        <v>2</v>
      </c>
      <c r="K48" s="25">
        <v>0</v>
      </c>
      <c r="L48" s="25">
        <v>0</v>
      </c>
      <c r="M48" s="25">
        <v>0</v>
      </c>
      <c r="O48" s="2">
        <f t="shared" si="32"/>
        <v>0.11547911547911548</v>
      </c>
      <c r="P48" s="2">
        <f t="shared" si="33"/>
        <v>0.2857142857142857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1.1733502983502984</v>
      </c>
      <c r="X48" s="3">
        <f t="shared" si="24"/>
        <v>2.9030612244897958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3">
        <f t="shared" si="37"/>
        <v>2.9030612244897958</v>
      </c>
      <c r="AC48" s="44">
        <f t="shared" si="11"/>
        <v>7</v>
      </c>
      <c r="AD48" s="3" t="str">
        <f t="shared" si="12"/>
        <v>4</v>
      </c>
      <c r="AE48" s="3">
        <f t="shared" si="41"/>
        <v>8.8409175580228219E-2</v>
      </c>
      <c r="AF48" s="3">
        <f t="shared" si="41"/>
        <v>0.22103870788081315</v>
      </c>
      <c r="AG48" s="3">
        <f t="shared" si="41"/>
        <v>0</v>
      </c>
      <c r="AH48" s="3">
        <f t="shared" si="41"/>
        <v>0</v>
      </c>
      <c r="AI48" s="3">
        <f t="shared" si="41"/>
        <v>0</v>
      </c>
    </row>
    <row r="49" spans="1:53" x14ac:dyDescent="0.3">
      <c r="A49" s="32" t="s">
        <v>37</v>
      </c>
      <c r="B49" t="s">
        <v>29</v>
      </c>
      <c r="C49" s="25">
        <v>548</v>
      </c>
      <c r="D49" s="25">
        <v>108</v>
      </c>
      <c r="E49" s="25">
        <v>8</v>
      </c>
      <c r="F49" s="25">
        <v>0</v>
      </c>
      <c r="G49" s="25">
        <v>0</v>
      </c>
      <c r="I49" s="25">
        <v>55</v>
      </c>
      <c r="J49" s="25">
        <v>12</v>
      </c>
      <c r="K49" s="25">
        <v>0</v>
      </c>
      <c r="L49" s="25">
        <v>0</v>
      </c>
      <c r="M49" s="25">
        <v>0</v>
      </c>
      <c r="O49" s="2">
        <f t="shared" si="32"/>
        <v>0.10036496350364964</v>
      </c>
      <c r="P49" s="2">
        <f t="shared" si="33"/>
        <v>0.1111111111111111</v>
      </c>
      <c r="Q49" s="2">
        <f t="shared" si="34"/>
        <v>0</v>
      </c>
      <c r="R49" s="2">
        <f t="shared" si="35"/>
        <v>0</v>
      </c>
      <c r="S49" s="2">
        <f t="shared" si="36"/>
        <v>0</v>
      </c>
      <c r="T49" s="2"/>
      <c r="U49" s="2">
        <f>56/569</f>
        <v>9.8418277680140595E-2</v>
      </c>
      <c r="V49" s="2"/>
      <c r="W49" s="3">
        <f t="shared" si="23"/>
        <v>1.0197797184567259</v>
      </c>
      <c r="X49" s="3">
        <f t="shared" si="24"/>
        <v>1.128968253968254</v>
      </c>
      <c r="Y49" s="3">
        <f t="shared" si="25"/>
        <v>0</v>
      </c>
      <c r="Z49" s="3">
        <f t="shared" si="19"/>
        <v>0</v>
      </c>
      <c r="AA49" s="3">
        <f t="shared" si="20"/>
        <v>0</v>
      </c>
      <c r="AB49" s="27">
        <f t="shared" si="37"/>
        <v>1.128968253968254</v>
      </c>
      <c r="AC49" s="43">
        <f t="shared" si="11"/>
        <v>108</v>
      </c>
      <c r="AD49" s="27" t="str">
        <f t="shared" si="12"/>
        <v>4</v>
      </c>
      <c r="AE49" s="3">
        <f t="shared" si="41"/>
        <v>1.2507190522941577E-2</v>
      </c>
      <c r="AF49" s="3">
        <f t="shared" si="41"/>
        <v>0.11128515733778893</v>
      </c>
      <c r="AG49" s="3">
        <f t="shared" si="41"/>
        <v>0</v>
      </c>
      <c r="AH49" s="3">
        <f t="shared" si="41"/>
        <v>0</v>
      </c>
      <c r="AI49" s="3">
        <f t="shared" si="41"/>
        <v>0</v>
      </c>
      <c r="AY49" t="s">
        <v>46</v>
      </c>
      <c r="AZ49" t="s">
        <v>47</v>
      </c>
    </row>
    <row r="50" spans="1:53" x14ac:dyDescent="0.3">
      <c r="A50" s="32" t="s">
        <v>37</v>
      </c>
      <c r="B50" s="1" t="s">
        <v>30</v>
      </c>
      <c r="C50" s="1">
        <v>19</v>
      </c>
      <c r="D50" s="1">
        <v>1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1</v>
      </c>
      <c r="K50" s="1">
        <v>0</v>
      </c>
      <c r="L50" s="1">
        <v>0</v>
      </c>
      <c r="M50" s="1">
        <v>0</v>
      </c>
      <c r="N50" s="1"/>
      <c r="O50" s="9">
        <f t="shared" si="32"/>
        <v>5.2631578947368418E-2</v>
      </c>
      <c r="P50" s="9">
        <f t="shared" si="33"/>
        <v>1</v>
      </c>
      <c r="Q50" s="9">
        <f t="shared" si="34"/>
        <v>0</v>
      </c>
      <c r="R50" s="9">
        <f t="shared" si="35"/>
        <v>0</v>
      </c>
      <c r="S50" s="9">
        <f t="shared" si="36"/>
        <v>0</v>
      </c>
      <c r="T50" s="9"/>
      <c r="U50" s="9">
        <f>56/569</f>
        <v>9.8418277680140595E-2</v>
      </c>
      <c r="V50" s="9"/>
      <c r="W50" s="10">
        <f t="shared" si="23"/>
        <v>0.53477443609022557</v>
      </c>
      <c r="X50" s="10">
        <f t="shared" si="24"/>
        <v>10.160714285714286</v>
      </c>
      <c r="Y50" s="10">
        <f t="shared" si="25"/>
        <v>0</v>
      </c>
      <c r="Z50" s="10">
        <f t="shared" si="19"/>
        <v>0</v>
      </c>
      <c r="AA50" s="10">
        <f t="shared" si="20"/>
        <v>0</v>
      </c>
      <c r="AB50" s="10">
        <f t="shared" si="37"/>
        <v>10.160714285714286</v>
      </c>
      <c r="AC50" s="45">
        <f t="shared" si="11"/>
        <v>1</v>
      </c>
      <c r="AD50" s="10" t="str">
        <f t="shared" si="12"/>
        <v>4</v>
      </c>
      <c r="AE50" s="10">
        <f t="shared" si="41"/>
        <v>4.2396286769555473E-2</v>
      </c>
      <c r="AF50" s="10">
        <f t="shared" si="41"/>
        <v>0.7544642857142857</v>
      </c>
      <c r="AG50" s="10">
        <f t="shared" si="41"/>
        <v>0</v>
      </c>
      <c r="AH50" s="10">
        <f t="shared" si="41"/>
        <v>0</v>
      </c>
      <c r="AI50" s="10">
        <f t="shared" si="41"/>
        <v>0</v>
      </c>
      <c r="AY50" t="s">
        <v>27</v>
      </c>
      <c r="AZ50">
        <f>COUNTIF(AZ$40:AZ$47, AY50)</f>
        <v>3</v>
      </c>
    </row>
    <row r="51" spans="1:53" x14ac:dyDescent="0.3">
      <c r="A51" s="32" t="s">
        <v>38</v>
      </c>
      <c r="B51" t="s">
        <v>27</v>
      </c>
      <c r="C51" s="25">
        <v>568</v>
      </c>
      <c r="D51" s="25">
        <v>557</v>
      </c>
      <c r="E51" s="25">
        <v>368</v>
      </c>
      <c r="F51" s="25">
        <v>24</v>
      </c>
      <c r="G51" s="25">
        <v>0</v>
      </c>
      <c r="I51" s="25">
        <v>53</v>
      </c>
      <c r="J51" s="25">
        <v>52</v>
      </c>
      <c r="K51" s="25">
        <v>43</v>
      </c>
      <c r="L51" s="25">
        <v>4</v>
      </c>
      <c r="M51" s="25">
        <v>0</v>
      </c>
      <c r="O51" s="2">
        <f t="shared" si="32"/>
        <v>9.3309859154929578E-2</v>
      </c>
      <c r="P51" s="2">
        <f t="shared" si="33"/>
        <v>9.33572710951526E-2</v>
      </c>
      <c r="Q51" s="2">
        <f t="shared" si="34"/>
        <v>0.11684782608695653</v>
      </c>
      <c r="R51" s="2">
        <f t="shared" si="35"/>
        <v>0.16666666666666666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1.0017605633802817</v>
      </c>
      <c r="X51" s="3">
        <f t="shared" si="24"/>
        <v>1.0022695708139968</v>
      </c>
      <c r="Y51" s="3">
        <f t="shared" si="25"/>
        <v>1.2544606234618541</v>
      </c>
      <c r="Z51" s="3">
        <f t="shared" si="19"/>
        <v>1.7893081761006289</v>
      </c>
      <c r="AA51" s="3">
        <f t="shared" si="20"/>
        <v>0</v>
      </c>
      <c r="AB51" s="3">
        <f t="shared" si="37"/>
        <v>1.7893081761006289</v>
      </c>
      <c r="AC51" s="44">
        <f t="shared" si="11"/>
        <v>24</v>
      </c>
      <c r="AD51" s="3" t="str">
        <f t="shared" si="12"/>
        <v>6</v>
      </c>
      <c r="AE51" s="3">
        <f t="shared" ref="AE51:AI54" si="42">IF(C51&gt;0,((I51*((3*53)+C51))/(4*C51*53))*(1-(C51-I51)/(569-53)),0)</f>
        <v>6.2012091931433672E-4</v>
      </c>
      <c r="AF51" s="3">
        <f t="shared" si="42"/>
        <v>6.7215323528724514E-3</v>
      </c>
      <c r="AG51" s="3">
        <f t="shared" si="42"/>
        <v>0.10751747504785344</v>
      </c>
      <c r="AH51" s="3">
        <f t="shared" si="42"/>
        <v>0.13829164838379407</v>
      </c>
      <c r="AI51" s="3">
        <f t="shared" si="42"/>
        <v>0</v>
      </c>
      <c r="AY51" t="s">
        <v>28</v>
      </c>
      <c r="AZ51">
        <f t="shared" ref="AZ51:AZ53" si="43">COUNTIF(AZ$40:AZ$47, AY51)</f>
        <v>1</v>
      </c>
    </row>
    <row r="52" spans="1:53" x14ac:dyDescent="0.3">
      <c r="A52" s="32" t="s">
        <v>38</v>
      </c>
      <c r="B52" t="s">
        <v>28</v>
      </c>
      <c r="C52" s="25">
        <v>16</v>
      </c>
      <c r="D52" s="25">
        <v>2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2"/>
        <v>0</v>
      </c>
      <c r="P52" s="2">
        <f t="shared" si="33"/>
        <v>0</v>
      </c>
      <c r="Q52" s="2">
        <f t="shared" si="34"/>
        <v>0</v>
      </c>
      <c r="R52" s="2">
        <f t="shared" si="35"/>
        <v>0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0</v>
      </c>
      <c r="X52" s="3">
        <f t="shared" si="24"/>
        <v>0</v>
      </c>
      <c r="Y52" s="3">
        <f t="shared" si="25"/>
        <v>0</v>
      </c>
      <c r="Z52" s="3">
        <f t="shared" si="19"/>
        <v>0</v>
      </c>
      <c r="AA52" s="3">
        <f t="shared" si="20"/>
        <v>0</v>
      </c>
      <c r="AB52" s="3">
        <f t="shared" si="37"/>
        <v>0</v>
      </c>
      <c r="AC52" s="44">
        <f t="shared" si="11"/>
        <v>16</v>
      </c>
      <c r="AD52" s="3" t="str">
        <f t="shared" si="12"/>
        <v>3</v>
      </c>
      <c r="AE52" s="3">
        <f t="shared" si="42"/>
        <v>0</v>
      </c>
      <c r="AF52" s="3">
        <f t="shared" si="42"/>
        <v>0</v>
      </c>
      <c r="AG52" s="3">
        <f t="shared" si="42"/>
        <v>0</v>
      </c>
      <c r="AH52" s="3">
        <f t="shared" si="42"/>
        <v>0</v>
      </c>
      <c r="AI52" s="3">
        <f t="shared" si="42"/>
        <v>0</v>
      </c>
      <c r="AY52" t="s">
        <v>29</v>
      </c>
      <c r="AZ52">
        <f t="shared" si="43"/>
        <v>0</v>
      </c>
    </row>
    <row r="53" spans="1:53" x14ac:dyDescent="0.3">
      <c r="A53" s="32" t="s">
        <v>38</v>
      </c>
      <c r="B53" t="s">
        <v>29</v>
      </c>
      <c r="C53" s="25">
        <v>568</v>
      </c>
      <c r="D53" s="25">
        <v>544</v>
      </c>
      <c r="E53" s="25">
        <v>299</v>
      </c>
      <c r="F53" s="25">
        <v>39</v>
      </c>
      <c r="G53" s="25">
        <v>0</v>
      </c>
      <c r="I53" s="25">
        <v>53</v>
      </c>
      <c r="J53" s="25">
        <v>52</v>
      </c>
      <c r="K53" s="25">
        <v>25</v>
      </c>
      <c r="L53" s="25">
        <v>1</v>
      </c>
      <c r="M53" s="25">
        <v>0</v>
      </c>
      <c r="O53" s="2">
        <f t="shared" si="32"/>
        <v>9.3309859154929578E-2</v>
      </c>
      <c r="P53" s="2">
        <f t="shared" si="33"/>
        <v>9.5588235294117641E-2</v>
      </c>
      <c r="Q53" s="2">
        <f t="shared" si="34"/>
        <v>8.3612040133779264E-2</v>
      </c>
      <c r="R53" s="2">
        <f t="shared" si="35"/>
        <v>2.564102564102564E-2</v>
      </c>
      <c r="S53" s="2">
        <f t="shared" si="36"/>
        <v>0</v>
      </c>
      <c r="T53" s="2"/>
      <c r="U53" s="2">
        <f>53/569</f>
        <v>9.3145869947275917E-2</v>
      </c>
      <c r="V53" s="2"/>
      <c r="W53" s="3">
        <f t="shared" si="23"/>
        <v>1.0017605633802817</v>
      </c>
      <c r="X53" s="3">
        <f t="shared" si="24"/>
        <v>1.0262208657047724</v>
      </c>
      <c r="Y53" s="3">
        <f t="shared" si="25"/>
        <v>0.89764624219095102</v>
      </c>
      <c r="Z53" s="3">
        <f t="shared" si="19"/>
        <v>0.27527818093855833</v>
      </c>
      <c r="AA53" s="3">
        <f t="shared" si="20"/>
        <v>0</v>
      </c>
      <c r="AB53" s="3">
        <f t="shared" si="37"/>
        <v>1.0262208657047724</v>
      </c>
      <c r="AC53" s="44">
        <f t="shared" si="11"/>
        <v>544</v>
      </c>
      <c r="AD53" s="3" t="str">
        <f t="shared" si="12"/>
        <v>4</v>
      </c>
      <c r="AE53" s="3">
        <f t="shared" si="42"/>
        <v>6.2012091931433672E-4</v>
      </c>
      <c r="AF53" s="3">
        <f t="shared" si="42"/>
        <v>1.474298582969826E-2</v>
      </c>
      <c r="AG53" s="3">
        <f t="shared" si="42"/>
        <v>8.4715738630499096E-2</v>
      </c>
      <c r="AH53" s="3">
        <f t="shared" si="42"/>
        <v>2.2184156343875518E-2</v>
      </c>
      <c r="AI53" s="3">
        <f t="shared" si="42"/>
        <v>0</v>
      </c>
      <c r="AY53" t="s">
        <v>30</v>
      </c>
      <c r="AZ53">
        <f t="shared" si="43"/>
        <v>4</v>
      </c>
    </row>
    <row r="54" spans="1:53" x14ac:dyDescent="0.3">
      <c r="A54" s="33" t="s">
        <v>38</v>
      </c>
      <c r="B54" s="1" t="s">
        <v>30</v>
      </c>
      <c r="C54" s="1">
        <v>37</v>
      </c>
      <c r="D54" s="1">
        <v>13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2"/>
        <v>0</v>
      </c>
      <c r="P54" s="9">
        <f t="shared" si="33"/>
        <v>0</v>
      </c>
      <c r="Q54" s="9">
        <f t="shared" si="34"/>
        <v>0</v>
      </c>
      <c r="R54" s="9">
        <f t="shared" si="35"/>
        <v>0</v>
      </c>
      <c r="S54" s="9">
        <f t="shared" si="36"/>
        <v>0</v>
      </c>
      <c r="T54" s="9"/>
      <c r="U54" s="9">
        <f>53/569</f>
        <v>9.3145869947275917E-2</v>
      </c>
      <c r="V54" s="9"/>
      <c r="W54" s="10">
        <f t="shared" si="23"/>
        <v>0</v>
      </c>
      <c r="X54" s="10">
        <f t="shared" si="24"/>
        <v>0</v>
      </c>
      <c r="Y54" s="10">
        <f t="shared" si="25"/>
        <v>0</v>
      </c>
      <c r="Z54" s="10">
        <f t="shared" si="19"/>
        <v>0</v>
      </c>
      <c r="AA54" s="10">
        <f t="shared" si="20"/>
        <v>0</v>
      </c>
      <c r="AB54" s="10">
        <f t="shared" si="37"/>
        <v>0</v>
      </c>
      <c r="AC54" s="45">
        <f t="shared" si="11"/>
        <v>37</v>
      </c>
      <c r="AD54" s="10" t="str">
        <f t="shared" si="12"/>
        <v>3</v>
      </c>
      <c r="AE54" s="10">
        <f t="shared" si="42"/>
        <v>0</v>
      </c>
      <c r="AF54" s="10">
        <f t="shared" si="42"/>
        <v>0</v>
      </c>
      <c r="AG54" s="10">
        <f t="shared" si="42"/>
        <v>0</v>
      </c>
      <c r="AH54" s="10">
        <f t="shared" si="42"/>
        <v>0</v>
      </c>
      <c r="AI54" s="10">
        <f t="shared" si="42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4</v>
      </c>
      <c r="BA56">
        <f>SUM(COUNTIF(AB3, "&gt;2"), COUNTIF(AB7, "&gt;2"), COUNTIF(AB11, "&gt;2"), COUNTIF(AB15, "&gt;2"), COUNTIF(AB19, "&gt;2"), COUNTIF(AB23, "&gt;2"), COUNTIF(AB27, "&gt;2"), COUNTIF(AB31, "&gt;2"))</f>
        <v>3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3</v>
      </c>
      <c r="BA57">
        <f t="shared" ref="BA57:BA59" si="44">SUM(COUNTIF(AB4, "&gt;2"), COUNTIF(AB8, "&gt;2"), COUNTIF(AB12, "&gt;2"), COUNTIF(AB16, "&gt;2"), COUNTIF(AB20, "&gt;2"), COUNTIF(AB24, "&gt;2"), COUNTIF(AB28, "&gt;2"), COUNTIF(AB32, "&gt;2"))</f>
        <v>3</v>
      </c>
    </row>
    <row r="58" spans="1:53" x14ac:dyDescent="0.3">
      <c r="AY58" t="s">
        <v>29</v>
      </c>
      <c r="AZ58">
        <f t="shared" ref="AZ58:AZ59" si="45">SUM(COUNTIF(AB5, "&gt;1.5"), COUNTIF(AB9, "&gt;1.5"), COUNTIF(AB13, "&gt;1.5"), COUNTIF(AB17, "&gt;1.5"), COUNTIF(AB21, "&gt;1.5"), COUNTIF(AB25, "&gt;1.5"), COUNTIF(AB29, "&gt;1.5"), COUNTIF(AB33, "&gt;1.5"))</f>
        <v>3</v>
      </c>
      <c r="BA58">
        <f t="shared" si="44"/>
        <v>3</v>
      </c>
    </row>
    <row r="59" spans="1:53" x14ac:dyDescent="0.3">
      <c r="AY59" t="s">
        <v>30</v>
      </c>
      <c r="AZ59">
        <f t="shared" si="45"/>
        <v>4</v>
      </c>
      <c r="BA59">
        <f t="shared" si="44"/>
        <v>4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CCE-674F-4399-9493-B9278C1BE4B6}">
  <sheetPr codeName="Sheet4"/>
  <dimension ref="A1:BS59"/>
  <sheetViews>
    <sheetView topLeftCell="X1" zoomScale="85" zoomScaleNormal="85" workbookViewId="0">
      <selection activeCell="AD4" sqref="AD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453</v>
      </c>
      <c r="D3">
        <v>124</v>
      </c>
      <c r="E3">
        <v>1</v>
      </c>
      <c r="F3">
        <v>0</v>
      </c>
      <c r="G3">
        <v>0</v>
      </c>
      <c r="I3">
        <v>51</v>
      </c>
      <c r="J3">
        <v>11</v>
      </c>
      <c r="K3">
        <v>0</v>
      </c>
      <c r="L3">
        <v>0</v>
      </c>
      <c r="M3">
        <v>0</v>
      </c>
      <c r="O3" s="28">
        <f t="shared" ref="O3:O34" si="0">IF(I3&gt;0, I3/C3, 0)</f>
        <v>0.11258278145695365</v>
      </c>
      <c r="P3" s="28">
        <f t="shared" ref="P3:P34" si="1">IF(J3&gt;0, J3/D3, 0)</f>
        <v>8.8709677419354843E-2</v>
      </c>
      <c r="Q3" s="28">
        <f t="shared" ref="Q3:Q34" si="2">IF(K3&gt;0, K3/E3, 0)</f>
        <v>0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0.98553234844625581</v>
      </c>
      <c r="X3" s="29">
        <f t="shared" si="5"/>
        <v>0.77655086848635246</v>
      </c>
      <c r="Y3" s="29">
        <f t="shared" si="5"/>
        <v>0</v>
      </c>
      <c r="Z3" s="29">
        <f t="shared" si="5"/>
        <v>0</v>
      </c>
      <c r="AA3" s="29">
        <f t="shared" si="5"/>
        <v>0</v>
      </c>
      <c r="AB3" s="29">
        <f t="shared" ref="AB3:AB34" si="6">MAX(W3:AA3)</f>
        <v>0.98553234844625581</v>
      </c>
      <c r="AC3" s="41">
        <f>INDEX(C3:AA3, 1, MATCH(AB3, W3:AA3, 0))</f>
        <v>453</v>
      </c>
      <c r="AD3" s="29" t="str">
        <f>LEFT(INDEX(C$2:G$2, 1, MATCH(AB3, W3:AA3, 0)),1)</f>
        <v>3</v>
      </c>
      <c r="AE3" s="29">
        <f t="shared" ref="AE3:AI6" si="7">IF(C3&gt;0,((I3*((3*65)+C3))/(4*C3*65))*(1-(C3-I3)/(569-65)),0)</f>
        <v>5.6786260097518367E-2</v>
      </c>
      <c r="AF3" s="29">
        <f t="shared" si="7"/>
        <v>8.4437342451455358E-2</v>
      </c>
      <c r="AG3" s="29">
        <f t="shared" si="7"/>
        <v>0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0.11015126294079729</v>
      </c>
      <c r="AM3" s="2">
        <f t="shared" si="8"/>
        <v>0.12958061749049929</v>
      </c>
      <c r="AN3" s="2">
        <f t="shared" si="8"/>
        <v>0.15806117698878394</v>
      </c>
      <c r="AO3" s="2">
        <f t="shared" si="8"/>
        <v>3.3333333333333333E-2</v>
      </c>
      <c r="AP3" s="2">
        <f t="shared" si="8"/>
        <v>0</v>
      </c>
      <c r="AR3" t="s">
        <v>27</v>
      </c>
      <c r="AS3" s="4">
        <f>AVERAGE(W3,W7,W11,W15,W19,W23,W27,W31)</f>
        <v>1.0092895224938254</v>
      </c>
      <c r="AT3" s="4">
        <f>AVERAGE(X3,X7,X11,X15,X19,X23,X27,X31)</f>
        <v>1.1286417101604438</v>
      </c>
      <c r="AU3" s="4">
        <f>AVERAGE(Y3,Y7,Y11,Y15,Y19,Y23,Y27,Y31)</f>
        <v>1.1704474559028002</v>
      </c>
      <c r="AV3" s="4">
        <f>AVERAGE(Z3,Z7,Z11,Z15,Z19,Z23,Z27,Z31)</f>
        <v>0.44453125000000004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2.5041948686041034E-2</v>
      </c>
      <c r="AZ3" s="4">
        <f t="shared" si="9"/>
        <v>0.10314294822815628</v>
      </c>
      <c r="BA3" s="4">
        <f t="shared" si="9"/>
        <v>0.10929181085742234</v>
      </c>
      <c r="BB3" s="4">
        <f t="shared" si="9"/>
        <v>1.9579623486964619E-2</v>
      </c>
      <c r="BC3" s="4">
        <f t="shared" si="9"/>
        <v>0</v>
      </c>
      <c r="BE3" s="5">
        <f>MAX(AE3,AE7,AE11,AE15,AE19,AE23,AE27,AE31)</f>
        <v>6.3142401569974249E-2</v>
      </c>
      <c r="BF3" s="5">
        <f t="shared" ref="BF3:BI6" si="10">MAX(AF3,AF7,AF11,AF15,AF19,AF23,AF27,AF31)</f>
        <v>0.27137092789189243</v>
      </c>
      <c r="BG3" s="5">
        <f t="shared" si="10"/>
        <v>0.26275362318840584</v>
      </c>
      <c r="BH3" s="5">
        <f t="shared" si="10"/>
        <v>0.15663698789571695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317</v>
      </c>
      <c r="D4">
        <v>13</v>
      </c>
      <c r="E4">
        <v>0</v>
      </c>
      <c r="F4">
        <v>0</v>
      </c>
      <c r="G4">
        <v>0</v>
      </c>
      <c r="I4">
        <v>36</v>
      </c>
      <c r="J4">
        <v>1</v>
      </c>
      <c r="K4">
        <v>0</v>
      </c>
      <c r="L4">
        <v>0</v>
      </c>
      <c r="M4">
        <v>0</v>
      </c>
      <c r="O4" s="28">
        <f t="shared" si="0"/>
        <v>0.11356466876971609</v>
      </c>
      <c r="P4" s="28">
        <f t="shared" si="1"/>
        <v>7.6923076923076927E-2</v>
      </c>
      <c r="Q4" s="28">
        <f t="shared" si="2"/>
        <v>0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0.99412763892259171</v>
      </c>
      <c r="X4" s="29">
        <f t="shared" si="5"/>
        <v>0.6733727810650888</v>
      </c>
      <c r="Y4" s="29">
        <f t="shared" si="5"/>
        <v>0</v>
      </c>
      <c r="Z4" s="29">
        <f t="shared" si="5"/>
        <v>0</v>
      </c>
      <c r="AA4" s="29">
        <f t="shared" si="5"/>
        <v>0</v>
      </c>
      <c r="AB4" s="29">
        <f t="shared" si="6"/>
        <v>0.99412763892259171</v>
      </c>
      <c r="AC4" s="41">
        <f t="shared" ref="AC4:AC54" si="11">INDEX(C4:AA4, 1, MATCH(AB4, W4:AA4, 0))</f>
        <v>317</v>
      </c>
      <c r="AD4" s="29" t="str">
        <f t="shared" ref="AD4:AD54" si="12">LEFT(INDEX(C$2:G$2, 1, MATCH(AB4, W4:AA4, 0)),1)</f>
        <v>3</v>
      </c>
      <c r="AE4" s="29">
        <f t="shared" si="7"/>
        <v>9.8949630810829553E-2</v>
      </c>
      <c r="AF4" s="29">
        <f t="shared" si="7"/>
        <v>6.0073260073260075E-2</v>
      </c>
      <c r="AG4" s="29">
        <f t="shared" si="7"/>
        <v>0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8.725348725348725E-2</v>
      </c>
      <c r="AM4" s="6">
        <f t="shared" si="8"/>
        <v>0</v>
      </c>
      <c r="AN4" s="6">
        <f t="shared" si="8"/>
        <v>0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1.0679166045140602</v>
      </c>
      <c r="AT4" s="7">
        <f t="shared" ref="AT4:AW6" si="14">AVERAGE(X4,X8,X12,X16,X20,X24,X28,X32)</f>
        <v>0.1717639621651558</v>
      </c>
      <c r="AU4" s="7">
        <f t="shared" si="14"/>
        <v>0</v>
      </c>
      <c r="AV4" s="7">
        <f t="shared" si="14"/>
        <v>0</v>
      </c>
      <c r="AW4" s="7">
        <f t="shared" si="14"/>
        <v>0</v>
      </c>
      <c r="AX4" s="4"/>
      <c r="AY4" s="7">
        <f t="shared" si="9"/>
        <v>7.9468742570154974E-2</v>
      </c>
      <c r="AZ4" s="7">
        <f t="shared" si="9"/>
        <v>1.1713667977137805E-2</v>
      </c>
      <c r="BA4" s="7">
        <f t="shared" si="9"/>
        <v>0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0.17402552056881665</v>
      </c>
      <c r="BF4" s="5">
        <f t="shared" si="10"/>
        <v>6.0073260073260075E-2</v>
      </c>
      <c r="BG4" s="8">
        <f t="shared" si="10"/>
        <v>0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555</v>
      </c>
      <c r="D5">
        <v>363</v>
      </c>
      <c r="E5">
        <v>15</v>
      </c>
      <c r="F5">
        <v>1</v>
      </c>
      <c r="G5">
        <v>0</v>
      </c>
      <c r="I5">
        <v>63</v>
      </c>
      <c r="J5">
        <v>39</v>
      </c>
      <c r="K5">
        <v>0</v>
      </c>
      <c r="L5">
        <v>0</v>
      </c>
      <c r="M5">
        <v>0</v>
      </c>
      <c r="O5" s="28">
        <f t="shared" si="0"/>
        <v>0.11351351351351352</v>
      </c>
      <c r="P5" s="28">
        <f t="shared" si="1"/>
        <v>0.10743801652892562</v>
      </c>
      <c r="Q5" s="28">
        <f t="shared" si="2"/>
        <v>0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0.99367983367983381</v>
      </c>
      <c r="X5" s="29">
        <f t="shared" si="5"/>
        <v>0.94049586776859506</v>
      </c>
      <c r="Y5" s="29">
        <f t="shared" si="5"/>
        <v>0</v>
      </c>
      <c r="Z5" s="29">
        <f t="shared" si="5"/>
        <v>0</v>
      </c>
      <c r="AA5" s="29">
        <f t="shared" si="5"/>
        <v>0</v>
      </c>
      <c r="AB5" s="29">
        <f t="shared" si="6"/>
        <v>0.99367983367983381</v>
      </c>
      <c r="AC5" s="41">
        <f t="shared" si="11"/>
        <v>555</v>
      </c>
      <c r="AD5" s="29" t="str">
        <f t="shared" si="12"/>
        <v>3</v>
      </c>
      <c r="AE5" s="29">
        <f t="shared" si="7"/>
        <v>7.7962577962578045E-3</v>
      </c>
      <c r="AF5" s="29">
        <f t="shared" si="7"/>
        <v>8.234946871310507E-2</v>
      </c>
      <c r="AG5" s="29">
        <f t="shared" si="7"/>
        <v>0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0.10847745040404921</v>
      </c>
      <c r="AM5" s="6">
        <f t="shared" si="8"/>
        <v>0.12011662445803876</v>
      </c>
      <c r="AN5" s="6">
        <f t="shared" si="8"/>
        <v>0.12644974929147593</v>
      </c>
      <c r="AO5" s="6">
        <f t="shared" si="8"/>
        <v>0.10714285714285714</v>
      </c>
      <c r="AP5" s="6">
        <f t="shared" si="8"/>
        <v>0</v>
      </c>
      <c r="AR5" t="s">
        <v>29</v>
      </c>
      <c r="AS5" s="7">
        <f t="shared" si="13"/>
        <v>0.98551014977089046</v>
      </c>
      <c r="AT5" s="7">
        <f t="shared" si="14"/>
        <v>1.070458464201218</v>
      </c>
      <c r="AU5" s="7">
        <f t="shared" si="14"/>
        <v>0.75917721672234784</v>
      </c>
      <c r="AV5" s="7">
        <f t="shared" si="14"/>
        <v>0.73103976328903664</v>
      </c>
      <c r="AW5" s="7">
        <f t="shared" si="14"/>
        <v>0</v>
      </c>
      <c r="AX5" s="4"/>
      <c r="AY5" s="7">
        <f t="shared" si="9"/>
        <v>1.9448314821890855E-2</v>
      </c>
      <c r="AZ5" s="7">
        <f t="shared" si="9"/>
        <v>9.4216778992998407E-2</v>
      </c>
      <c r="BA5" s="7">
        <f t="shared" si="9"/>
        <v>7.7735431346624556E-2</v>
      </c>
      <c r="BB5" s="7">
        <f t="shared" si="9"/>
        <v>6.1349437548484917E-2</v>
      </c>
      <c r="BC5" s="7">
        <f t="shared" si="9"/>
        <v>0</v>
      </c>
      <c r="BE5" s="5">
        <f t="shared" si="15"/>
        <v>5.3664596273291933E-2</v>
      </c>
      <c r="BF5" s="5">
        <f t="shared" si="10"/>
        <v>0.2295163144398267</v>
      </c>
      <c r="BG5" s="8">
        <f t="shared" si="10"/>
        <v>0.30540289855072467</v>
      </c>
      <c r="BH5" s="8">
        <f t="shared" si="10"/>
        <v>0.37712456064326638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46</v>
      </c>
      <c r="D6" s="1">
        <v>18</v>
      </c>
      <c r="E6" s="1">
        <v>2</v>
      </c>
      <c r="F6" s="1">
        <v>0</v>
      </c>
      <c r="G6" s="1">
        <v>0</v>
      </c>
      <c r="I6" s="1">
        <v>5</v>
      </c>
      <c r="J6" s="1">
        <v>1</v>
      </c>
      <c r="K6" s="1">
        <v>1</v>
      </c>
      <c r="L6" s="1">
        <v>0</v>
      </c>
      <c r="M6" s="1">
        <v>0</v>
      </c>
      <c r="O6" s="30">
        <f t="shared" si="0"/>
        <v>0.10869565217391304</v>
      </c>
      <c r="P6" s="30">
        <f t="shared" si="1"/>
        <v>5.5555555555555552E-2</v>
      </c>
      <c r="Q6" s="30">
        <f t="shared" si="2"/>
        <v>0.5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0.95150501672240806</v>
      </c>
      <c r="X6" s="31">
        <f t="shared" si="5"/>
        <v>0.48632478632478632</v>
      </c>
      <c r="Y6" s="31">
        <f t="shared" si="5"/>
        <v>4.3769230769230774</v>
      </c>
      <c r="Z6" s="31">
        <f t="shared" si="5"/>
        <v>0</v>
      </c>
      <c r="AA6" s="31">
        <f t="shared" si="5"/>
        <v>0</v>
      </c>
      <c r="AB6" s="31">
        <f t="shared" si="6"/>
        <v>4.3769230769230774</v>
      </c>
      <c r="AC6" s="42">
        <f t="shared" si="11"/>
        <v>2</v>
      </c>
      <c r="AD6" s="31" t="str">
        <f t="shared" si="12"/>
        <v>5</v>
      </c>
      <c r="AE6" s="31">
        <f t="shared" si="7"/>
        <v>9.2556371768328288E-2</v>
      </c>
      <c r="AF6" s="31">
        <f t="shared" si="7"/>
        <v>4.3977665852665854E-2</v>
      </c>
      <c r="AG6" s="31">
        <f t="shared" si="7"/>
        <v>0.37809447496947496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9.8269459298871056E-2</v>
      </c>
      <c r="AM6" s="11">
        <f t="shared" si="8"/>
        <v>2.0915032679738561E-2</v>
      </c>
      <c r="AN6" s="11">
        <f t="shared" si="8"/>
        <v>0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1.2283025450274314</v>
      </c>
      <c r="AT6" s="12">
        <f t="shared" si="14"/>
        <v>0.24444562956090365</v>
      </c>
      <c r="AU6" s="12">
        <f t="shared" si="14"/>
        <v>0.54711538461538467</v>
      </c>
      <c r="AV6" s="12">
        <f t="shared" si="14"/>
        <v>0</v>
      </c>
      <c r="AW6" s="12">
        <f t="shared" si="14"/>
        <v>0</v>
      </c>
      <c r="AX6" s="13"/>
      <c r="AY6" s="12">
        <f t="shared" si="9"/>
        <v>8.4527079422559284E-2</v>
      </c>
      <c r="AZ6" s="12">
        <f t="shared" si="9"/>
        <v>2.1066396650422526E-2</v>
      </c>
      <c r="BA6" s="12">
        <f t="shared" si="9"/>
        <v>4.726180937118437E-2</v>
      </c>
      <c r="BB6" s="12">
        <f t="shared" si="9"/>
        <v>0</v>
      </c>
      <c r="BC6" s="12">
        <f t="shared" si="9"/>
        <v>0</v>
      </c>
      <c r="BE6" s="14">
        <f t="shared" si="15"/>
        <v>0.24096335461558924</v>
      </c>
      <c r="BF6" s="14">
        <f t="shared" si="10"/>
        <v>5.2121739130434781E-2</v>
      </c>
      <c r="BG6" s="15">
        <f t="shared" si="10"/>
        <v>0.37809447496947496</v>
      </c>
      <c r="BH6" s="15">
        <f t="shared" si="10"/>
        <v>0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484</v>
      </c>
      <c r="D7">
        <v>87</v>
      </c>
      <c r="E7">
        <v>14</v>
      </c>
      <c r="F7">
        <v>0</v>
      </c>
      <c r="G7">
        <v>0</v>
      </c>
      <c r="I7">
        <v>71</v>
      </c>
      <c r="J7">
        <v>14</v>
      </c>
      <c r="K7">
        <v>4</v>
      </c>
      <c r="L7">
        <v>0</v>
      </c>
      <c r="M7">
        <v>0</v>
      </c>
      <c r="O7" s="2">
        <f t="shared" si="0"/>
        <v>0.14669421487603307</v>
      </c>
      <c r="P7" s="2">
        <f t="shared" si="1"/>
        <v>0.16091954022988506</v>
      </c>
      <c r="Q7" s="2">
        <f t="shared" si="2"/>
        <v>0.2857142857142857</v>
      </c>
      <c r="R7" s="2">
        <f t="shared" si="3"/>
        <v>0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0.97056986354026531</v>
      </c>
      <c r="X7" s="3">
        <f t="shared" si="5"/>
        <v>1.0646885859395885</v>
      </c>
      <c r="Y7" s="3">
        <f t="shared" si="5"/>
        <v>1.8903654485049834</v>
      </c>
      <c r="Z7" s="3">
        <f t="shared" si="5"/>
        <v>0</v>
      </c>
      <c r="AA7" s="3">
        <f t="shared" si="5"/>
        <v>0</v>
      </c>
      <c r="AB7" s="3">
        <f t="shared" si="6"/>
        <v>1.8903654485049834</v>
      </c>
      <c r="AC7" s="44">
        <f t="shared" si="11"/>
        <v>14</v>
      </c>
      <c r="AD7" s="3" t="str">
        <f t="shared" si="12"/>
        <v>5</v>
      </c>
      <c r="AE7" s="3">
        <f t="shared" ref="AE7:AI14" si="17">IF(C7&gt;0,((I7*((3*86)+C7))/(4*C7*86))*(1-(C7-I7)/(569-86)),0)</f>
        <v>4.5857392752787544E-2</v>
      </c>
      <c r="AF7" s="3">
        <f t="shared" si="17"/>
        <v>0.13699545576049185</v>
      </c>
      <c r="AG7" s="3">
        <f t="shared" si="17"/>
        <v>0.22123632061520263</v>
      </c>
      <c r="AH7" s="3">
        <f t="shared" si="17"/>
        <v>0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21</v>
      </c>
      <c r="D8">
        <v>4</v>
      </c>
      <c r="E8">
        <v>0</v>
      </c>
      <c r="F8">
        <v>0</v>
      </c>
      <c r="G8">
        <v>0</v>
      </c>
      <c r="I8">
        <v>2</v>
      </c>
      <c r="J8">
        <v>0</v>
      </c>
      <c r="K8">
        <v>0</v>
      </c>
      <c r="L8">
        <v>0</v>
      </c>
      <c r="M8">
        <v>0</v>
      </c>
      <c r="O8" s="2">
        <f t="shared" si="0"/>
        <v>9.5238095238095233E-2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0.63012181616832774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0.63012181616832774</v>
      </c>
      <c r="AC8" s="44">
        <f t="shared" si="11"/>
        <v>21</v>
      </c>
      <c r="AD8" s="3" t="str">
        <f t="shared" si="12"/>
        <v>3</v>
      </c>
      <c r="AE8" s="3">
        <f t="shared" si="17"/>
        <v>7.4203999092053413E-2</v>
      </c>
      <c r="AF8" s="3">
        <f t="shared" si="17"/>
        <v>0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551</v>
      </c>
      <c r="D9">
        <v>327</v>
      </c>
      <c r="E9">
        <v>20</v>
      </c>
      <c r="F9">
        <v>2</v>
      </c>
      <c r="G9">
        <v>0</v>
      </c>
      <c r="I9">
        <v>83</v>
      </c>
      <c r="J9">
        <v>39</v>
      </c>
      <c r="K9">
        <v>3</v>
      </c>
      <c r="L9">
        <v>1</v>
      </c>
      <c r="M9">
        <v>0</v>
      </c>
      <c r="O9" s="2">
        <f t="shared" si="0"/>
        <v>0.15063520871143377</v>
      </c>
      <c r="P9" s="2">
        <f t="shared" si="1"/>
        <v>0.11926605504587157</v>
      </c>
      <c r="Q9" s="2">
        <f t="shared" si="2"/>
        <v>0.15</v>
      </c>
      <c r="R9" s="2">
        <f t="shared" si="3"/>
        <v>0.5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0.99664457856750954</v>
      </c>
      <c r="X9" s="3">
        <f t="shared" si="5"/>
        <v>0.78909750373373166</v>
      </c>
      <c r="Y9" s="3">
        <f t="shared" si="5"/>
        <v>0.99244186046511629</v>
      </c>
      <c r="Z9" s="3">
        <f t="shared" si="5"/>
        <v>3.308139534883721</v>
      </c>
      <c r="AA9" s="3">
        <f t="shared" si="5"/>
        <v>0</v>
      </c>
      <c r="AB9" s="3">
        <f t="shared" si="6"/>
        <v>3.308139534883721</v>
      </c>
      <c r="AC9" s="44">
        <f t="shared" si="11"/>
        <v>2</v>
      </c>
      <c r="AD9" s="3" t="str">
        <f t="shared" si="12"/>
        <v>6</v>
      </c>
      <c r="AE9" s="3">
        <f t="shared" si="17"/>
        <v>1.1001722866491198E-2</v>
      </c>
      <c r="AF9" s="3">
        <f t="shared" si="17"/>
        <v>8.1884510745328362E-2</v>
      </c>
      <c r="AG9" s="3">
        <f t="shared" si="17"/>
        <v>0.11695435504838943</v>
      </c>
      <c r="AH9" s="3">
        <f t="shared" si="17"/>
        <v>0.37712456064326638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48</v>
      </c>
      <c r="D10" s="1">
        <v>17</v>
      </c>
      <c r="E10" s="1">
        <v>0</v>
      </c>
      <c r="F10" s="1">
        <v>0</v>
      </c>
      <c r="G10" s="1">
        <v>0</v>
      </c>
      <c r="I10" s="1">
        <v>2</v>
      </c>
      <c r="J10" s="1">
        <v>1</v>
      </c>
      <c r="K10" s="1">
        <v>0</v>
      </c>
      <c r="L10" s="1">
        <v>0</v>
      </c>
      <c r="M10" s="1">
        <v>0</v>
      </c>
      <c r="O10" s="9">
        <f t="shared" si="0"/>
        <v>4.1666666666666664E-2</v>
      </c>
      <c r="P10" s="9">
        <f t="shared" si="1"/>
        <v>5.8823529411764705E-2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0.2756782945736434</v>
      </c>
      <c r="X10" s="10">
        <f t="shared" si="5"/>
        <v>0.38919288645690836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0.38919288645690836</v>
      </c>
      <c r="AC10" s="45">
        <f t="shared" si="11"/>
        <v>17</v>
      </c>
      <c r="AD10" s="10" t="str">
        <f t="shared" si="12"/>
        <v>4</v>
      </c>
      <c r="AE10" s="10">
        <f t="shared" si="17"/>
        <v>3.353405315614618E-2</v>
      </c>
      <c r="AF10" s="10">
        <f t="shared" si="17"/>
        <v>4.54668722898664E-2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555</v>
      </c>
      <c r="D11">
        <v>338</v>
      </c>
      <c r="E11">
        <v>53</v>
      </c>
      <c r="F11">
        <v>3</v>
      </c>
      <c r="G11">
        <v>0</v>
      </c>
      <c r="I11">
        <v>86</v>
      </c>
      <c r="J11">
        <v>48</v>
      </c>
      <c r="K11">
        <v>7</v>
      </c>
      <c r="L11">
        <v>0</v>
      </c>
      <c r="M11">
        <v>0</v>
      </c>
      <c r="O11" s="28">
        <f t="shared" si="0"/>
        <v>0.15495495495495495</v>
      </c>
      <c r="P11" s="28">
        <f t="shared" si="1"/>
        <v>0.14201183431952663</v>
      </c>
      <c r="Q11" s="28">
        <f t="shared" si="2"/>
        <v>0.13207547169811321</v>
      </c>
      <c r="R11" s="28">
        <f t="shared" si="3"/>
        <v>0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1.0252252252252252</v>
      </c>
      <c r="X11" s="29">
        <f t="shared" si="18"/>
        <v>0.93958992706756583</v>
      </c>
      <c r="Y11" s="29">
        <f t="shared" si="18"/>
        <v>0.87384817902588863</v>
      </c>
      <c r="Z11" s="29">
        <f t="shared" ref="Z11:Z54" si="19">R11/$U11</f>
        <v>0</v>
      </c>
      <c r="AA11" s="29">
        <f t="shared" ref="AA11:AA54" si="20">S11/$U11</f>
        <v>0</v>
      </c>
      <c r="AB11" s="29">
        <f t="shared" si="6"/>
        <v>1.0252252252252252</v>
      </c>
      <c r="AC11" s="41">
        <f t="shared" si="11"/>
        <v>555</v>
      </c>
      <c r="AD11" s="29" t="str">
        <f t="shared" si="12"/>
        <v>3</v>
      </c>
      <c r="AE11" s="29">
        <f t="shared" si="17"/>
        <v>1.0614962788875838E-2</v>
      </c>
      <c r="AF11" s="29">
        <f t="shared" si="17"/>
        <v>9.8315622310333362E-2</v>
      </c>
      <c r="AG11" s="29">
        <f t="shared" si="17"/>
        <v>0.10803349422261226</v>
      </c>
      <c r="AH11" s="29">
        <f t="shared" si="17"/>
        <v>0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1.2236559139784946</v>
      </c>
      <c r="AT11" s="5">
        <f t="shared" si="21"/>
        <v>2.9189466484268127</v>
      </c>
      <c r="AU11" s="5">
        <f t="shared" si="21"/>
        <v>2.7487922705314007</v>
      </c>
      <c r="AV11" s="5">
        <f t="shared" si="21"/>
        <v>3.5562500000000004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11</v>
      </c>
      <c r="D12">
        <v>0</v>
      </c>
      <c r="E12">
        <v>0</v>
      </c>
      <c r="F12">
        <v>0</v>
      </c>
      <c r="G12">
        <v>0</v>
      </c>
      <c r="I12">
        <v>1</v>
      </c>
      <c r="J12">
        <v>0</v>
      </c>
      <c r="K12">
        <v>0</v>
      </c>
      <c r="L12">
        <v>0</v>
      </c>
      <c r="M12">
        <v>0</v>
      </c>
      <c r="O12" s="28">
        <f t="shared" si="0"/>
        <v>9.0909090909090912E-2</v>
      </c>
      <c r="P12" s="28">
        <f t="shared" si="1"/>
        <v>0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0.60147991543340384</v>
      </c>
      <c r="X12" s="29">
        <f t="shared" si="18"/>
        <v>0</v>
      </c>
      <c r="Y12" s="29">
        <f t="shared" si="18"/>
        <v>0</v>
      </c>
      <c r="Z12" s="29">
        <f t="shared" si="19"/>
        <v>0</v>
      </c>
      <c r="AA12" s="29">
        <f t="shared" si="20"/>
        <v>0</v>
      </c>
      <c r="AB12" s="29">
        <f t="shared" si="6"/>
        <v>0.60147991543340384</v>
      </c>
      <c r="AC12" s="41">
        <f t="shared" si="11"/>
        <v>11</v>
      </c>
      <c r="AD12" s="29" t="str">
        <f t="shared" si="12"/>
        <v>3</v>
      </c>
      <c r="AE12" s="29">
        <f t="shared" si="17"/>
        <v>6.961697722567288E-2</v>
      </c>
      <c r="AF12" s="29">
        <f t="shared" si="17"/>
        <v>0</v>
      </c>
      <c r="AG12" s="29">
        <f t="shared" si="17"/>
        <v>0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3.2329545454545459</v>
      </c>
      <c r="AT12" s="8">
        <f t="shared" si="21"/>
        <v>0.70073891625615758</v>
      </c>
      <c r="AU12" s="8">
        <f t="shared" si="21"/>
        <v>0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561</v>
      </c>
      <c r="D13">
        <v>463</v>
      </c>
      <c r="E13">
        <v>110</v>
      </c>
      <c r="F13">
        <v>4</v>
      </c>
      <c r="G13">
        <v>0</v>
      </c>
      <c r="I13">
        <v>86</v>
      </c>
      <c r="J13">
        <v>67</v>
      </c>
      <c r="K13">
        <v>19</v>
      </c>
      <c r="L13">
        <v>0</v>
      </c>
      <c r="M13">
        <v>0</v>
      </c>
      <c r="O13" s="28">
        <f t="shared" si="0"/>
        <v>0.15329768270944741</v>
      </c>
      <c r="P13" s="28">
        <f t="shared" si="1"/>
        <v>0.1447084233261339</v>
      </c>
      <c r="Q13" s="28">
        <f t="shared" si="2"/>
        <v>0.17272727272727273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1.0142602495543671</v>
      </c>
      <c r="X13" s="29">
        <f t="shared" si="18"/>
        <v>0.9574313124717464</v>
      </c>
      <c r="Y13" s="29">
        <f t="shared" si="18"/>
        <v>1.1428118393234674</v>
      </c>
      <c r="Z13" s="29">
        <f t="shared" si="19"/>
        <v>0</v>
      </c>
      <c r="AA13" s="29">
        <f t="shared" si="20"/>
        <v>0</v>
      </c>
      <c r="AB13" s="29">
        <f t="shared" si="6"/>
        <v>1.1428118393234674</v>
      </c>
      <c r="AC13" s="41">
        <f t="shared" si="11"/>
        <v>110</v>
      </c>
      <c r="AD13" s="29" t="str">
        <f t="shared" si="12"/>
        <v>5</v>
      </c>
      <c r="AE13" s="29">
        <f t="shared" si="17"/>
        <v>6.045105789351312E-3</v>
      </c>
      <c r="AF13" s="29">
        <f t="shared" si="17"/>
        <v>5.4631453548427959E-2</v>
      </c>
      <c r="AG13" s="29">
        <f t="shared" si="17"/>
        <v>0.14996476391825228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1.117878192534381</v>
      </c>
      <c r="AT13" s="8">
        <f t="shared" si="21"/>
        <v>2.3524547803617573</v>
      </c>
      <c r="AU13" s="8">
        <f t="shared" si="21"/>
        <v>3.2985507246376815</v>
      </c>
      <c r="AV13" s="5">
        <f t="shared" si="21"/>
        <v>3.308139534883721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17</v>
      </c>
      <c r="D14" s="1">
        <v>3</v>
      </c>
      <c r="E14" s="1">
        <v>0</v>
      </c>
      <c r="F14" s="1">
        <v>0</v>
      </c>
      <c r="G14" s="1">
        <v>0</v>
      </c>
      <c r="I14" s="1">
        <v>2</v>
      </c>
      <c r="J14" s="1">
        <v>0</v>
      </c>
      <c r="K14" s="1">
        <v>0</v>
      </c>
      <c r="L14" s="1">
        <v>0</v>
      </c>
      <c r="M14" s="1">
        <v>0</v>
      </c>
      <c r="O14" s="30">
        <f t="shared" si="0"/>
        <v>0.11764705882352941</v>
      </c>
      <c r="P14" s="30">
        <f t="shared" si="1"/>
        <v>0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0.77838577291381672</v>
      </c>
      <c r="X14" s="31">
        <f t="shared" si="18"/>
        <v>0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0.77838577291381672</v>
      </c>
      <c r="AC14" s="42">
        <f t="shared" si="11"/>
        <v>17</v>
      </c>
      <c r="AD14" s="31" t="str">
        <f t="shared" si="12"/>
        <v>3</v>
      </c>
      <c r="AE14" s="31">
        <f t="shared" si="17"/>
        <v>9.1128463518875713E-2</v>
      </c>
      <c r="AF14" s="31">
        <f t="shared" si="17"/>
        <v>0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5.0803571428571432</v>
      </c>
      <c r="AT14" s="15">
        <f t="shared" si="21"/>
        <v>0.54975845410628021</v>
      </c>
      <c r="AU14" s="15">
        <f t="shared" si="21"/>
        <v>4.3769230769230774</v>
      </c>
      <c r="AV14" s="14">
        <f t="shared" si="21"/>
        <v>0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544</v>
      </c>
      <c r="D15" s="25">
        <v>285</v>
      </c>
      <c r="E15" s="25">
        <v>15</v>
      </c>
      <c r="F15" s="25">
        <v>0</v>
      </c>
      <c r="G15" s="25">
        <v>0</v>
      </c>
      <c r="I15" s="25">
        <v>24</v>
      </c>
      <c r="J15" s="25">
        <v>8</v>
      </c>
      <c r="K15" s="25">
        <v>1</v>
      </c>
      <c r="L15" s="25">
        <v>0</v>
      </c>
      <c r="M15" s="25">
        <v>0</v>
      </c>
      <c r="O15" s="2">
        <f t="shared" si="0"/>
        <v>4.4117647058823532E-2</v>
      </c>
      <c r="P15" s="2">
        <f t="shared" si="1"/>
        <v>2.8070175438596492E-2</v>
      </c>
      <c r="Q15" s="2">
        <f t="shared" si="2"/>
        <v>6.6666666666666666E-2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0.86561866125760656</v>
      </c>
      <c r="X15" s="3">
        <f t="shared" si="18"/>
        <v>0.55075620084694499</v>
      </c>
      <c r="Y15" s="3">
        <f t="shared" si="18"/>
        <v>1.3080459770114943</v>
      </c>
      <c r="Z15" s="3">
        <f t="shared" si="19"/>
        <v>0</v>
      </c>
      <c r="AA15" s="3">
        <f t="shared" si="20"/>
        <v>0</v>
      </c>
      <c r="AB15" s="3">
        <f t="shared" si="6"/>
        <v>1.3080459770114943</v>
      </c>
      <c r="AC15" s="44">
        <f t="shared" si="11"/>
        <v>15</v>
      </c>
      <c r="AD15" s="3" t="str">
        <f t="shared" si="12"/>
        <v>5</v>
      </c>
      <c r="AE15" s="3">
        <f t="shared" ref="AE15:AI18" si="22">IF(C15&gt;0,((I15*((3*29)+C15))/(4*C15*29))*(1-(C15-I15)/(569-29)),0)</f>
        <v>8.8883254451205887E-3</v>
      </c>
      <c r="AF15" s="3">
        <f t="shared" si="22"/>
        <v>4.3842172481010952E-2</v>
      </c>
      <c r="AG15" s="3">
        <f t="shared" si="22"/>
        <v>5.7100893997445723E-2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275</v>
      </c>
      <c r="D16" s="25">
        <v>28</v>
      </c>
      <c r="E16" s="25">
        <v>1</v>
      </c>
      <c r="F16" s="25">
        <v>0</v>
      </c>
      <c r="G16" s="25">
        <v>0</v>
      </c>
      <c r="I16" s="25">
        <v>16</v>
      </c>
      <c r="J16" s="25">
        <v>1</v>
      </c>
      <c r="K16" s="25">
        <v>0</v>
      </c>
      <c r="L16" s="25">
        <v>0</v>
      </c>
      <c r="M16" s="25">
        <v>0</v>
      </c>
      <c r="O16" s="2">
        <f t="shared" si="0"/>
        <v>5.8181818181818182E-2</v>
      </c>
      <c r="P16" s="2">
        <f t="shared" si="1"/>
        <v>3.5714285714285712E-2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1.1415673981191223</v>
      </c>
      <c r="X16" s="3">
        <f t="shared" si="18"/>
        <v>0.70073891625615758</v>
      </c>
      <c r="Y16" s="3">
        <f t="shared" si="18"/>
        <v>0</v>
      </c>
      <c r="Z16" s="3">
        <f t="shared" si="19"/>
        <v>0</v>
      </c>
      <c r="AA16" s="3">
        <f t="shared" si="20"/>
        <v>0</v>
      </c>
      <c r="AB16" s="3">
        <f t="shared" si="6"/>
        <v>1.1415673981191223</v>
      </c>
      <c r="AC16" s="44">
        <f t="shared" si="11"/>
        <v>275</v>
      </c>
      <c r="AD16" s="3" t="str">
        <f t="shared" si="12"/>
        <v>3</v>
      </c>
      <c r="AE16" s="3">
        <f t="shared" si="22"/>
        <v>9.4482294206432144E-2</v>
      </c>
      <c r="AF16" s="3">
        <f t="shared" si="22"/>
        <v>3.363608374384236E-2</v>
      </c>
      <c r="AG16" s="3">
        <f t="shared" si="22"/>
        <v>0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552</v>
      </c>
      <c r="D17" s="25">
        <v>289</v>
      </c>
      <c r="E17" s="25">
        <v>16</v>
      </c>
      <c r="F17" s="25">
        <v>4</v>
      </c>
      <c r="G17" s="25">
        <v>0</v>
      </c>
      <c r="I17" s="25">
        <v>24</v>
      </c>
      <c r="J17" s="25">
        <v>11</v>
      </c>
      <c r="K17" s="25">
        <v>0</v>
      </c>
      <c r="L17" s="25">
        <v>0</v>
      </c>
      <c r="M17" s="25">
        <v>0</v>
      </c>
      <c r="O17" s="2">
        <f t="shared" si="0"/>
        <v>4.3478260869565216E-2</v>
      </c>
      <c r="P17" s="2">
        <f t="shared" si="1"/>
        <v>3.8062283737024222E-2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0.85307346326836575</v>
      </c>
      <c r="X17" s="3">
        <f t="shared" si="18"/>
        <v>0.74680825677126839</v>
      </c>
      <c r="Y17" s="3">
        <f t="shared" si="18"/>
        <v>0</v>
      </c>
      <c r="Z17" s="3">
        <f t="shared" si="19"/>
        <v>0</v>
      </c>
      <c r="AA17" s="3">
        <f t="shared" si="20"/>
        <v>0</v>
      </c>
      <c r="AB17" s="3">
        <f t="shared" si="6"/>
        <v>0.85307346326836575</v>
      </c>
      <c r="AC17" s="44">
        <f t="shared" si="11"/>
        <v>552</v>
      </c>
      <c r="AD17" s="3" t="str">
        <f t="shared" si="12"/>
        <v>3</v>
      </c>
      <c r="AE17" s="3">
        <f t="shared" si="22"/>
        <v>5.3223388305847158E-3</v>
      </c>
      <c r="AF17" s="3">
        <f t="shared" si="22"/>
        <v>5.9859382112096585E-2</v>
      </c>
      <c r="AG17" s="3">
        <f t="shared" si="22"/>
        <v>0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343</v>
      </c>
      <c r="D18" s="1">
        <v>37</v>
      </c>
      <c r="E18" s="1">
        <v>0</v>
      </c>
      <c r="F18" s="1">
        <v>0</v>
      </c>
      <c r="G18" s="1">
        <v>0</v>
      </c>
      <c r="I18" s="1">
        <v>22</v>
      </c>
      <c r="J18" s="1">
        <v>1</v>
      </c>
      <c r="K18" s="1">
        <v>0</v>
      </c>
      <c r="L18" s="1">
        <v>0</v>
      </c>
      <c r="M18" s="1">
        <v>0</v>
      </c>
      <c r="O18" s="9">
        <f t="shared" si="0"/>
        <v>6.4139941690962099E-2</v>
      </c>
      <c r="P18" s="9">
        <f t="shared" si="1"/>
        <v>2.7027027027027029E-2</v>
      </c>
      <c r="Q18" s="9">
        <f t="shared" si="2"/>
        <v>0</v>
      </c>
      <c r="R18" s="9">
        <f t="shared" si="3"/>
        <v>0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1.258469890419222</v>
      </c>
      <c r="X18" s="10">
        <f t="shared" si="18"/>
        <v>0.53028890959925445</v>
      </c>
      <c r="Y18" s="10">
        <f t="shared" si="18"/>
        <v>0</v>
      </c>
      <c r="Z18" s="10">
        <f t="shared" si="19"/>
        <v>0</v>
      </c>
      <c r="AA18" s="10">
        <f t="shared" si="20"/>
        <v>0</v>
      </c>
      <c r="AB18" s="10">
        <f t="shared" si="6"/>
        <v>1.258469890419222</v>
      </c>
      <c r="AC18" s="45">
        <f t="shared" si="11"/>
        <v>343</v>
      </c>
      <c r="AD18" s="10" t="str">
        <f t="shared" si="12"/>
        <v>3</v>
      </c>
      <c r="AE18" s="10">
        <f t="shared" si="22"/>
        <v>9.6424941076594842E-2</v>
      </c>
      <c r="AF18" s="10">
        <f t="shared" si="22"/>
        <v>2.6964895930413173E-2</v>
      </c>
      <c r="AG18" s="10">
        <f t="shared" si="22"/>
        <v>0</v>
      </c>
      <c r="AH18" s="10">
        <f t="shared" si="22"/>
        <v>0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564</v>
      </c>
      <c r="D19">
        <v>495</v>
      </c>
      <c r="E19">
        <v>155</v>
      </c>
      <c r="F19">
        <v>5</v>
      </c>
      <c r="G19">
        <v>0</v>
      </c>
      <c r="I19">
        <v>32</v>
      </c>
      <c r="J19">
        <v>22</v>
      </c>
      <c r="K19">
        <v>8</v>
      </c>
      <c r="L19">
        <v>1</v>
      </c>
      <c r="M19">
        <v>0</v>
      </c>
      <c r="O19" s="28">
        <f t="shared" si="0"/>
        <v>5.6737588652482268E-2</v>
      </c>
      <c r="P19" s="28">
        <f t="shared" si="1"/>
        <v>4.4444444444444446E-2</v>
      </c>
      <c r="Q19" s="28">
        <f t="shared" si="2"/>
        <v>5.1612903225806452E-2</v>
      </c>
      <c r="R19" s="28">
        <f t="shared" si="3"/>
        <v>0.2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3">O19/$U19</f>
        <v>1.0088652482269505</v>
      </c>
      <c r="X19" s="29">
        <f t="shared" ref="X19:X54" si="24">P19/$U19</f>
        <v>0.79027777777777786</v>
      </c>
      <c r="Y19" s="29">
        <f t="shared" ref="Y19:Y54" si="25">Q19/$U19</f>
        <v>0.91774193548387106</v>
      </c>
      <c r="Z19" s="29">
        <f t="shared" si="19"/>
        <v>3.5562500000000004</v>
      </c>
      <c r="AA19" s="29">
        <f t="shared" si="20"/>
        <v>0</v>
      </c>
      <c r="AB19" s="29">
        <f t="shared" si="6"/>
        <v>3.5562500000000004</v>
      </c>
      <c r="AC19" s="41">
        <f t="shared" si="11"/>
        <v>5</v>
      </c>
      <c r="AD19" s="29" t="str">
        <f t="shared" si="12"/>
        <v>6</v>
      </c>
      <c r="AE19" s="29">
        <f t="shared" ref="AE19:AI22" si="26">IF(C19&gt;0,((I19*((3*32)+C19))/(4*C19*32))*(1-(C19-I19)/(569-32)),0)</f>
        <v>2.7239589524149267E-3</v>
      </c>
      <c r="AF19" s="29">
        <f t="shared" si="26"/>
        <v>2.4456859093730597E-2</v>
      </c>
      <c r="AG19" s="29">
        <f t="shared" si="26"/>
        <v>7.3504234997296816E-2</v>
      </c>
      <c r="AH19" s="29">
        <f t="shared" si="26"/>
        <v>0.15663698789571695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33</v>
      </c>
      <c r="D20">
        <v>8</v>
      </c>
      <c r="E20">
        <v>1</v>
      </c>
      <c r="F20">
        <v>0</v>
      </c>
      <c r="G20">
        <v>0</v>
      </c>
      <c r="I20">
        <v>6</v>
      </c>
      <c r="J20">
        <v>0</v>
      </c>
      <c r="K20">
        <v>0</v>
      </c>
      <c r="L20">
        <v>0</v>
      </c>
      <c r="M20">
        <v>0</v>
      </c>
      <c r="O20" s="28">
        <f t="shared" si="0"/>
        <v>0.18181818181818182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3.2329545454545459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3.2329545454545459</v>
      </c>
      <c r="AC20" s="41">
        <f t="shared" si="11"/>
        <v>33</v>
      </c>
      <c r="AD20" s="29" t="str">
        <f t="shared" si="12"/>
        <v>3</v>
      </c>
      <c r="AE20" s="29">
        <f t="shared" si="26"/>
        <v>0.17402552056881665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476</v>
      </c>
      <c r="E21">
        <v>139</v>
      </c>
      <c r="F21">
        <v>7</v>
      </c>
      <c r="G21">
        <v>0</v>
      </c>
      <c r="I21">
        <v>31</v>
      </c>
      <c r="J21">
        <v>19</v>
      </c>
      <c r="K21">
        <v>5</v>
      </c>
      <c r="L21">
        <v>1</v>
      </c>
      <c r="M21">
        <v>0</v>
      </c>
      <c r="O21" s="28">
        <f t="shared" si="0"/>
        <v>5.5258467023172907E-2</v>
      </c>
      <c r="P21" s="28">
        <f t="shared" si="1"/>
        <v>3.9915966386554619E-2</v>
      </c>
      <c r="Q21" s="28">
        <f t="shared" si="2"/>
        <v>3.5971223021582732E-2</v>
      </c>
      <c r="R21" s="28">
        <f t="shared" si="3"/>
        <v>0.14285714285714285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0.70975577731092432</v>
      </c>
      <c r="Y21" s="29">
        <f t="shared" si="25"/>
        <v>0.63961330935251803</v>
      </c>
      <c r="Z21" s="29">
        <f t="shared" si="19"/>
        <v>2.5401785714285716</v>
      </c>
      <c r="AA21" s="29">
        <f t="shared" si="20"/>
        <v>0</v>
      </c>
      <c r="AB21" s="29">
        <f t="shared" si="6"/>
        <v>2.5401785714285716</v>
      </c>
      <c r="AC21" s="41">
        <f t="shared" si="11"/>
        <v>7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2.6573478553432537E-2</v>
      </c>
      <c r="AG21" s="29">
        <f t="shared" si="26"/>
        <v>4.9561433255630137E-2</v>
      </c>
      <c r="AH21" s="29">
        <f t="shared" si="26"/>
        <v>0.11367093974461293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14</v>
      </c>
      <c r="D22" s="1">
        <v>0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0.2857142857142857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5.0803571428571432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5.0803571428571432</v>
      </c>
      <c r="AC22" s="42">
        <f t="shared" si="11"/>
        <v>14</v>
      </c>
      <c r="AD22" s="31" t="str">
        <f t="shared" si="12"/>
        <v>3</v>
      </c>
      <c r="AE22" s="31">
        <f t="shared" si="26"/>
        <v>0.24096335461558924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465</v>
      </c>
      <c r="D23" s="25">
        <v>136</v>
      </c>
      <c r="E23" s="25">
        <v>0</v>
      </c>
      <c r="F23" s="25">
        <v>0</v>
      </c>
      <c r="G23" s="25">
        <v>0</v>
      </c>
      <c r="I23" s="25">
        <v>43</v>
      </c>
      <c r="J23" s="25">
        <v>30</v>
      </c>
      <c r="K23" s="25">
        <v>0</v>
      </c>
      <c r="L23" s="25">
        <v>0</v>
      </c>
      <c r="M23" s="25">
        <v>0</v>
      </c>
      <c r="O23" s="2">
        <f t="shared" si="0"/>
        <v>9.2473118279569888E-2</v>
      </c>
      <c r="P23" s="2">
        <f t="shared" si="1"/>
        <v>0.22058823529411764</v>
      </c>
      <c r="Q23" s="2">
        <f t="shared" si="2"/>
        <v>0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1.2236559139784946</v>
      </c>
      <c r="X23" s="3">
        <f t="shared" si="24"/>
        <v>2.9189466484268127</v>
      </c>
      <c r="Y23" s="3">
        <f t="shared" si="25"/>
        <v>0</v>
      </c>
      <c r="Z23" s="3">
        <f t="shared" si="19"/>
        <v>0</v>
      </c>
      <c r="AA23" s="3">
        <f t="shared" si="20"/>
        <v>0</v>
      </c>
      <c r="AB23" s="3">
        <f t="shared" si="6"/>
        <v>2.9189466484268127</v>
      </c>
      <c r="AC23" s="44">
        <f t="shared" si="11"/>
        <v>136</v>
      </c>
      <c r="AD23" s="3" t="str">
        <f t="shared" si="12"/>
        <v>4</v>
      </c>
      <c r="AE23" s="3">
        <f t="shared" ref="AE23:AI26" si="27">IF(C23&gt;0,((I23*((3*43)+C23))/(4*C23*43))*(1-(C23-I23)/(569-43)),0)</f>
        <v>6.3142401569974249E-2</v>
      </c>
      <c r="AF23" s="3">
        <f t="shared" si="27"/>
        <v>0.27137092789189243</v>
      </c>
      <c r="AG23" s="3">
        <f t="shared" si="27"/>
        <v>0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10</v>
      </c>
      <c r="D24" s="25">
        <v>0</v>
      </c>
      <c r="E24" s="25">
        <v>0</v>
      </c>
      <c r="F24" s="25">
        <v>0</v>
      </c>
      <c r="G24" s="25">
        <v>0</v>
      </c>
      <c r="I24" s="25">
        <v>1</v>
      </c>
      <c r="J24" s="25">
        <v>0</v>
      </c>
      <c r="K24" s="25">
        <v>0</v>
      </c>
      <c r="L24" s="25">
        <v>0</v>
      </c>
      <c r="M24" s="25">
        <v>0</v>
      </c>
      <c r="O24" s="2">
        <f t="shared" si="0"/>
        <v>0.1</v>
      </c>
      <c r="P24" s="2">
        <f t="shared" si="1"/>
        <v>0</v>
      </c>
      <c r="Q24" s="2">
        <f t="shared" si="2"/>
        <v>0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1.3232558139534885</v>
      </c>
      <c r="X24" s="3">
        <f t="shared" si="24"/>
        <v>0</v>
      </c>
      <c r="Y24" s="3">
        <f t="shared" si="25"/>
        <v>0</v>
      </c>
      <c r="Z24" s="3">
        <f t="shared" si="19"/>
        <v>0</v>
      </c>
      <c r="AA24" s="3">
        <f t="shared" si="20"/>
        <v>0</v>
      </c>
      <c r="AB24" s="3">
        <f t="shared" si="6"/>
        <v>1.3232558139534885</v>
      </c>
      <c r="AC24" s="44">
        <f t="shared" si="11"/>
        <v>10</v>
      </c>
      <c r="AD24" s="3" t="str">
        <f t="shared" si="12"/>
        <v>3</v>
      </c>
      <c r="AE24" s="3">
        <f t="shared" si="27"/>
        <v>7.9431205234768765E-2</v>
      </c>
      <c r="AF24" s="3">
        <f t="shared" si="27"/>
        <v>0</v>
      </c>
      <c r="AG24" s="3">
        <f t="shared" si="27"/>
        <v>0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509</v>
      </c>
      <c r="D25" s="25">
        <v>180</v>
      </c>
      <c r="E25" s="25">
        <v>5</v>
      </c>
      <c r="F25" s="25">
        <v>0</v>
      </c>
      <c r="G25" s="25">
        <v>0</v>
      </c>
      <c r="I25" s="25">
        <v>43</v>
      </c>
      <c r="J25" s="25">
        <v>32</v>
      </c>
      <c r="K25" s="25">
        <v>0</v>
      </c>
      <c r="L25" s="25">
        <v>0</v>
      </c>
      <c r="M25" s="25">
        <v>0</v>
      </c>
      <c r="O25" s="2">
        <f t="shared" si="0"/>
        <v>8.4479371316306479E-2</v>
      </c>
      <c r="P25" s="2">
        <f t="shared" si="1"/>
        <v>0.17777777777777778</v>
      </c>
      <c r="Q25" s="2">
        <f t="shared" si="2"/>
        <v>0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1.117878192534381</v>
      </c>
      <c r="X25" s="3">
        <f t="shared" si="24"/>
        <v>2.3524547803617573</v>
      </c>
      <c r="Y25" s="3">
        <f t="shared" si="25"/>
        <v>0</v>
      </c>
      <c r="Z25" s="3">
        <f t="shared" si="19"/>
        <v>0</v>
      </c>
      <c r="AA25" s="3">
        <f t="shared" si="20"/>
        <v>0</v>
      </c>
      <c r="AB25" s="3">
        <f t="shared" si="6"/>
        <v>2.3524547803617573</v>
      </c>
      <c r="AC25" s="44">
        <f t="shared" si="11"/>
        <v>180</v>
      </c>
      <c r="AD25" s="3" t="str">
        <f t="shared" si="12"/>
        <v>4</v>
      </c>
      <c r="AE25" s="3">
        <f t="shared" si="27"/>
        <v>3.574443290728857E-2</v>
      </c>
      <c r="AF25" s="3">
        <f t="shared" si="27"/>
        <v>0.2295163144398267</v>
      </c>
      <c r="AG25" s="3">
        <f t="shared" si="27"/>
        <v>0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33</v>
      </c>
      <c r="D26" s="1">
        <v>8</v>
      </c>
      <c r="E26" s="1">
        <v>0</v>
      </c>
      <c r="F26" s="1">
        <v>0</v>
      </c>
      <c r="G26" s="1">
        <v>0</v>
      </c>
      <c r="I26" s="1">
        <v>1</v>
      </c>
      <c r="J26" s="1">
        <v>0</v>
      </c>
      <c r="K26" s="1">
        <v>0</v>
      </c>
      <c r="L26" s="1">
        <v>0</v>
      </c>
      <c r="M26" s="1">
        <v>0</v>
      </c>
      <c r="O26" s="9">
        <f t="shared" si="0"/>
        <v>3.0303030303030304E-2</v>
      </c>
      <c r="P26" s="9">
        <f t="shared" si="1"/>
        <v>0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0.4009866102889359</v>
      </c>
      <c r="X26" s="10">
        <f t="shared" si="24"/>
        <v>0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0.4009866102889359</v>
      </c>
      <c r="AC26" s="45">
        <f t="shared" si="11"/>
        <v>33</v>
      </c>
      <c r="AD26" s="10" t="str">
        <f t="shared" si="12"/>
        <v>3</v>
      </c>
      <c r="AE26" s="10">
        <f t="shared" si="27"/>
        <v>2.6804877852715861E-2</v>
      </c>
      <c r="AF26" s="10">
        <f t="shared" si="27"/>
        <v>0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565</v>
      </c>
      <c r="D27" s="25">
        <v>458</v>
      </c>
      <c r="E27" s="25">
        <v>103</v>
      </c>
      <c r="F27" s="25">
        <v>3</v>
      </c>
      <c r="G27" s="25">
        <v>0</v>
      </c>
      <c r="I27" s="25">
        <v>51</v>
      </c>
      <c r="J27" s="25">
        <v>41</v>
      </c>
      <c r="K27" s="25">
        <v>15</v>
      </c>
      <c r="L27" s="25">
        <v>0</v>
      </c>
      <c r="M27" s="25">
        <v>0</v>
      </c>
      <c r="O27" s="2">
        <f t="shared" si="0"/>
        <v>9.0265486725663716E-2</v>
      </c>
      <c r="P27" s="2">
        <f t="shared" si="1"/>
        <v>8.9519650655021835E-2</v>
      </c>
      <c r="Q27" s="2">
        <f t="shared" si="2"/>
        <v>0.14563106796116504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1.0070796460176989</v>
      </c>
      <c r="X27" s="3">
        <f t="shared" si="24"/>
        <v>0.99875845534720431</v>
      </c>
      <c r="Y27" s="3">
        <f t="shared" si="25"/>
        <v>1.6247858366647627</v>
      </c>
      <c r="Z27" s="3">
        <f t="shared" si="19"/>
        <v>0</v>
      </c>
      <c r="AA27" s="3">
        <f t="shared" si="20"/>
        <v>0</v>
      </c>
      <c r="AB27" s="3">
        <f t="shared" si="6"/>
        <v>1.6247858366647627</v>
      </c>
      <c r="AC27" s="44">
        <f t="shared" si="11"/>
        <v>103</v>
      </c>
      <c r="AD27" s="3" t="str">
        <f t="shared" si="12"/>
        <v>5</v>
      </c>
      <c r="AE27" s="3">
        <f t="shared" ref="AE27:AI30" si="28">IF(C27&gt;0,((I27*((3*51)+C27))/(4*C27*51))*(1-(C27-I27)/(569-51)),0)</f>
        <v>2.4532750196466961E-3</v>
      </c>
      <c r="AF27" s="3">
        <f t="shared" si="28"/>
        <v>5.2278249314596618E-2</v>
      </c>
      <c r="AG27" s="3">
        <f t="shared" si="28"/>
        <v>0.15170591983841555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4</v>
      </c>
      <c r="AT27" s="24">
        <f t="shared" si="29"/>
        <v>2</v>
      </c>
      <c r="AU27" s="7">
        <f t="shared" si="29"/>
        <v>4</v>
      </c>
      <c r="AV27" s="7">
        <f t="shared" si="29"/>
        <v>1</v>
      </c>
      <c r="AW27" s="18">
        <f t="shared" si="29"/>
        <v>0</v>
      </c>
      <c r="AX27" s="4"/>
      <c r="AY27" t="s">
        <v>26</v>
      </c>
      <c r="AZ27" s="5">
        <f>MAX(W3:AA6)</f>
        <v>4.3769230769230774</v>
      </c>
      <c r="BA27" s="5">
        <f>_xlfn.IFNA(VLOOKUP(AZ27, W3:AI6,8,0), _xlfn.IFNA(VLOOKUP(AZ27, X3:AI6,8,0), _xlfn.IFNA(VLOOKUP(AZ27, Y3:AI6,8,0), _xlfn.IFNA(VLOOKUP(AZ27, Z3:AI6,8,0), VLOOKUP(AZ27, AA3:AI6,8,0)))))</f>
        <v>4.3977665852665854E-2</v>
      </c>
      <c r="BB27" t="s">
        <v>26</v>
      </c>
      <c r="BC27" s="5">
        <f>MAX(AE3:AI6)</f>
        <v>0.37809447496947496</v>
      </c>
      <c r="BE27" t="s">
        <v>26</v>
      </c>
      <c r="BF27" s="4">
        <f>MAX($W3:$AA3)</f>
        <v>0.98553234844625581</v>
      </c>
      <c r="BG27" s="5" t="str">
        <f>_xlfn.IFNA(VLOOKUP($BF27, $W3:$AI3,8,0), _xlfn.IFNA(VLOOKUP($BF27, $X3:$AI3,8,0), _xlfn.IFNA(VLOOKUP($BF27, $Y3:$AI3,8,0), _xlfn.IFNA(VLOOKUP($BF27, $Z3:$AI3,8,0), VLOOKUP($BF27, $AA3:$AI3,8,0)))))</f>
        <v>3</v>
      </c>
      <c r="BI27" t="s">
        <v>26</v>
      </c>
      <c r="BJ27" s="4">
        <f>MAX($W4:$AA4)</f>
        <v>0.99412763892259171</v>
      </c>
      <c r="BK27" s="5" t="str">
        <f>_xlfn.IFNA(VLOOKUP($BJ27, $W4:$AI4,8,0), _xlfn.IFNA(VLOOKUP($BJ27, $X4:$AI4,8,0), _xlfn.IFNA(VLOOKUP($BJ27, $Y4:$AI4,8,0), _xlfn.IFNA(VLOOKUP($BJ27, $Z4:$AI4,8,0), VLOOKUP($BJ27, $AA4:$AI4,8,0)))))</f>
        <v>3</v>
      </c>
      <c r="BM27" t="s">
        <v>26</v>
      </c>
      <c r="BN27" s="4">
        <f>MAX($W5:$AA5)</f>
        <v>0.99367983367983381</v>
      </c>
      <c r="BO27" s="5" t="str">
        <f>_xlfn.IFNA(VLOOKUP($BN27, $W5:$AI5,8,0), _xlfn.IFNA(VLOOKUP($BN27, $X5:$AI5,8,0), _xlfn.IFNA(VLOOKUP($BN27, $Y5:$AI5,8,0), _xlfn.IFNA(VLOOKUP($BN27, $Z5:$AI5,8,0), VLOOKUP($BN27, $AA5:$AI5,8,0)))))</f>
        <v>3</v>
      </c>
      <c r="BQ27" t="s">
        <v>26</v>
      </c>
      <c r="BR27" s="4">
        <f>MAX($W6:$AA6)</f>
        <v>4.3769230769230774</v>
      </c>
      <c r="BS27" s="5">
        <f>_xlfn.IFNA(VLOOKUP($BR27, $W6:$AI6,8,0), _xlfn.IFNA(VLOOKUP($BR27, $X6:$AI6,8,0), _xlfn.IFNA(VLOOKUP($BR27, $Y6:$AI6,8,0), _xlfn.IFNA(VLOOKUP($BR27, $Z6:$AI6,8,0), VLOOKUP($BR27, $AA6:$AI6,8,0)))))</f>
        <v>4.3977665852665854E-2</v>
      </c>
    </row>
    <row r="28" spans="1:71" x14ac:dyDescent="0.3">
      <c r="A28" s="32" t="s">
        <v>33</v>
      </c>
      <c r="B28" t="s">
        <v>28</v>
      </c>
      <c r="C28" s="25">
        <v>18</v>
      </c>
      <c r="D28" s="25">
        <v>1</v>
      </c>
      <c r="E28" s="25">
        <v>0</v>
      </c>
      <c r="F28" s="25">
        <v>0</v>
      </c>
      <c r="G28" s="25">
        <v>0</v>
      </c>
      <c r="I28" s="25">
        <v>1</v>
      </c>
      <c r="J28" s="25">
        <v>0</v>
      </c>
      <c r="K28" s="25">
        <v>0</v>
      </c>
      <c r="L28" s="25">
        <v>0</v>
      </c>
      <c r="M28" s="25">
        <v>0</v>
      </c>
      <c r="O28" s="2">
        <f t="shared" si="0"/>
        <v>5.5555555555555552E-2</v>
      </c>
      <c r="P28" s="2">
        <f t="shared" si="1"/>
        <v>0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0.61982570806100212</v>
      </c>
      <c r="X28" s="3">
        <f t="shared" si="24"/>
        <v>0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0.61982570806100212</v>
      </c>
      <c r="AC28" s="44">
        <f t="shared" si="11"/>
        <v>18</v>
      </c>
      <c r="AD28" s="3" t="str">
        <f t="shared" si="12"/>
        <v>3</v>
      </c>
      <c r="AE28" s="3">
        <f t="shared" si="28"/>
        <v>4.5040313422666366E-2</v>
      </c>
      <c r="AF28" s="3">
        <f t="shared" si="28"/>
        <v>0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3</v>
      </c>
      <c r="AT28" s="26">
        <f t="shared" si="29"/>
        <v>0</v>
      </c>
      <c r="AU28" s="4">
        <f t="shared" si="29"/>
        <v>0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3.308139534883721</v>
      </c>
      <c r="BA28" s="5">
        <f>_xlfn.IFNA(VLOOKUP(AZ28, W7:AI10,8,0), _xlfn.IFNA(VLOOKUP(AZ28, X7:AI10,8,0), _xlfn.IFNA(VLOOKUP(AZ28, Y7:AI10,8,0), _xlfn.IFNA(VLOOKUP(AZ28, Z7:AI10,8,0), VLOOKUP(AZ28, AA7:AI10,8,0)))))</f>
        <v>0.11695435504838943</v>
      </c>
      <c r="BB28" t="s">
        <v>31</v>
      </c>
      <c r="BC28" s="5">
        <f>MAX(AE7:AI10)</f>
        <v>0.37712456064326638</v>
      </c>
      <c r="BE28" t="s">
        <v>31</v>
      </c>
      <c r="BF28" s="4">
        <f>MAX($W7:$AA7)</f>
        <v>1.8903654485049834</v>
      </c>
      <c r="BG28" s="5">
        <f>_xlfn.IFNA(VLOOKUP($BF28, $W7:$AI7,8,0), _xlfn.IFNA(VLOOKUP($BF28, $X7:$AI7,8,0), _xlfn.IFNA(VLOOKUP($BF28, $Y7:$AI7,8,0), _xlfn.IFNA(VLOOKUP($BF28, $Z7:$AI7,8,0), VLOOKUP($BF28, $AA7:$AI7,8,0)))))</f>
        <v>0.13699545576049185</v>
      </c>
      <c r="BI28" t="s">
        <v>31</v>
      </c>
      <c r="BJ28" s="4">
        <f>MAX($W8:$AA8)</f>
        <v>0.63012181616832774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3.308139534883721</v>
      </c>
      <c r="BO28" s="5">
        <f>_xlfn.IFNA(VLOOKUP($BN28, $W9:$AI9,8,0), _xlfn.IFNA(VLOOKUP($BN28, $X9:$AI9,8,0), _xlfn.IFNA(VLOOKUP($BN28, $Y9:$AI9,8,0), _xlfn.IFNA(VLOOKUP($BN28, $Z9:$AI9,8,0), VLOOKUP($BN28, $AA9:$AI9,8,0)))))</f>
        <v>0.11695435504838943</v>
      </c>
      <c r="BQ28" t="s">
        <v>31</v>
      </c>
      <c r="BR28" s="4">
        <f>MAX($W10:$AA10)</f>
        <v>0.38919288645690836</v>
      </c>
      <c r="BS28" s="5">
        <f>_xlfn.IFNA(VLOOKUP($BR28, $W10:$AI10,8,0), _xlfn.IFNA(VLOOKUP($BR28, $X10:$AI10,8,0), _xlfn.IFNA(VLOOKUP($BR28, $Y10:$AI10,8,0), _xlfn.IFNA(VLOOKUP($BR28, $Z10:$AI10,8,0), VLOOKUP($BR28, $AA10:$AI10,8,0)))))</f>
        <v>3.353405315614618E-2</v>
      </c>
    </row>
    <row r="29" spans="1:71" x14ac:dyDescent="0.3">
      <c r="A29" s="32" t="s">
        <v>33</v>
      </c>
      <c r="B29" t="s">
        <v>29</v>
      </c>
      <c r="C29" s="25">
        <v>482</v>
      </c>
      <c r="D29" s="25">
        <v>181</v>
      </c>
      <c r="E29" s="25">
        <v>18</v>
      </c>
      <c r="F29" s="25">
        <v>0</v>
      </c>
      <c r="G29" s="25">
        <v>0</v>
      </c>
      <c r="I29" s="25">
        <v>36</v>
      </c>
      <c r="J29" s="25">
        <v>6</v>
      </c>
      <c r="K29" s="25">
        <v>0</v>
      </c>
      <c r="L29" s="25">
        <v>0</v>
      </c>
      <c r="M29" s="25">
        <v>0</v>
      </c>
      <c r="O29" s="2">
        <f t="shared" si="0"/>
        <v>7.4688796680497924E-2</v>
      </c>
      <c r="P29" s="2">
        <f t="shared" si="1"/>
        <v>3.3149171270718231E-2</v>
      </c>
      <c r="Q29" s="2">
        <f t="shared" si="2"/>
        <v>0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0.83329265316084933</v>
      </c>
      <c r="X29" s="3">
        <f t="shared" si="24"/>
        <v>0.36984075398115046</v>
      </c>
      <c r="Y29" s="3">
        <f t="shared" si="25"/>
        <v>0</v>
      </c>
      <c r="Z29" s="3">
        <f t="shared" si="19"/>
        <v>0</v>
      </c>
      <c r="AA29" s="3">
        <f t="shared" si="20"/>
        <v>0</v>
      </c>
      <c r="AB29" s="3">
        <f t="shared" si="6"/>
        <v>0.83329265316084933</v>
      </c>
      <c r="AC29" s="44">
        <f t="shared" si="11"/>
        <v>482</v>
      </c>
      <c r="AD29" s="3" t="str">
        <f t="shared" si="12"/>
        <v>3</v>
      </c>
      <c r="AE29" s="3">
        <f t="shared" si="28"/>
        <v>3.2314821184726006E-2</v>
      </c>
      <c r="AF29" s="3">
        <f t="shared" si="28"/>
        <v>3.593795290252879E-2</v>
      </c>
      <c r="AG29" s="3">
        <f t="shared" si="28"/>
        <v>0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3</v>
      </c>
      <c r="AT29" s="26">
        <f t="shared" si="29"/>
        <v>2</v>
      </c>
      <c r="AU29" s="4">
        <f t="shared" si="29"/>
        <v>2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1.1428118393234674</v>
      </c>
      <c r="BA29" s="5">
        <f>_xlfn.IFNA(VLOOKUP(AZ29, W11:AI14,8,0), _xlfn.IFNA(VLOOKUP(AZ29, X11:AI14,8,0), _xlfn.IFNA(VLOOKUP(AZ29, Y11:AI14,8,0), _xlfn.IFNA(VLOOKUP(AZ29, Z11:AI14,8,0), VLOOKUP(AZ29, AA11:AI14,8,0)))))</f>
        <v>5.4631453548427959E-2</v>
      </c>
      <c r="BB29" t="s">
        <v>32</v>
      </c>
      <c r="BC29" s="5">
        <f>MAX(AE11:AI14)</f>
        <v>0.14996476391825228</v>
      </c>
      <c r="BE29" t="s">
        <v>32</v>
      </c>
      <c r="BF29" s="4">
        <f>MAX($W11:$AA11)</f>
        <v>1.0252252252252252</v>
      </c>
      <c r="BG29" s="5" t="str">
        <f>_xlfn.IFNA(VLOOKUP($BF29, $W11:$AI11,8,0), _xlfn.IFNA(VLOOKUP($BF29, $X11:$AI11,8,0), _xlfn.IFNA(VLOOKUP($BF29, $Y11:$AI11,8,0), _xlfn.IFNA(VLOOKUP($BF29, $Z11:$AI11,8,0), VLOOKUP($BF29, $AA11:$AI11,8,0)))))</f>
        <v>3</v>
      </c>
      <c r="BI29" t="s">
        <v>32</v>
      </c>
      <c r="BJ29" s="4">
        <f>MAX($W12:$AA12)</f>
        <v>0.60147991543340384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1.1428118393234674</v>
      </c>
      <c r="BO29" s="5">
        <f>_xlfn.IFNA(VLOOKUP($BN29, $W13:$AI13,8,0), _xlfn.IFNA(VLOOKUP($BN29, $X13:$AI13,8,0), _xlfn.IFNA(VLOOKUP($BN29, $Y13:$AI13,8,0), _xlfn.IFNA(VLOOKUP($BN29, $Z13:$AI13,8,0), VLOOKUP($BN29, $AA13:$AI13,8,0)))))</f>
        <v>5.4631453548427959E-2</v>
      </c>
      <c r="BQ29" t="s">
        <v>32</v>
      </c>
      <c r="BR29" s="4">
        <f>MAX($W14:$AA14)</f>
        <v>0.77838577291381672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2" t="s">
        <v>33</v>
      </c>
      <c r="B30" s="1" t="s">
        <v>30</v>
      </c>
      <c r="C30" s="1">
        <v>21</v>
      </c>
      <c r="D30" s="1">
        <v>3</v>
      </c>
      <c r="E30" s="1">
        <v>0</v>
      </c>
      <c r="F30" s="1">
        <v>0</v>
      </c>
      <c r="G30" s="1">
        <v>0</v>
      </c>
      <c r="I30" s="1">
        <v>1</v>
      </c>
      <c r="J30" s="1">
        <v>0</v>
      </c>
      <c r="K30" s="1">
        <v>0</v>
      </c>
      <c r="L30" s="1">
        <v>0</v>
      </c>
      <c r="M30" s="1">
        <v>0</v>
      </c>
      <c r="O30" s="9">
        <f t="shared" si="0"/>
        <v>4.7619047619047616E-2</v>
      </c>
      <c r="P30" s="9">
        <f t="shared" si="1"/>
        <v>0</v>
      </c>
      <c r="Q30" s="9">
        <f t="shared" si="2"/>
        <v>0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0.53127917833800176</v>
      </c>
      <c r="X30" s="10">
        <f t="shared" si="24"/>
        <v>0</v>
      </c>
      <c r="Y30" s="10">
        <f t="shared" si="25"/>
        <v>0</v>
      </c>
      <c r="Z30" s="10">
        <f t="shared" si="19"/>
        <v>0</v>
      </c>
      <c r="AA30" s="10">
        <f t="shared" si="20"/>
        <v>0</v>
      </c>
      <c r="AB30" s="10">
        <f t="shared" si="6"/>
        <v>0.53127917833800176</v>
      </c>
      <c r="AC30" s="45">
        <f t="shared" si="11"/>
        <v>21</v>
      </c>
      <c r="AD30" s="10" t="str">
        <f t="shared" si="12"/>
        <v>3</v>
      </c>
      <c r="AE30" s="10">
        <f t="shared" si="28"/>
        <v>3.904805165309367E-2</v>
      </c>
      <c r="AF30" s="10">
        <f t="shared" si="28"/>
        <v>0</v>
      </c>
      <c r="AG30" s="10">
        <f t="shared" si="28"/>
        <v>0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2</v>
      </c>
      <c r="AT30" s="16">
        <f t="shared" si="29"/>
        <v>0</v>
      </c>
      <c r="AU30" s="13">
        <f t="shared" si="29"/>
        <v>1</v>
      </c>
      <c r="AV30" s="13">
        <f t="shared" si="29"/>
        <v>0</v>
      </c>
      <c r="AW30" s="20">
        <f t="shared" si="29"/>
        <v>0</v>
      </c>
      <c r="AX30" s="13"/>
      <c r="AY30" s="1" t="s">
        <v>33</v>
      </c>
      <c r="AZ30" s="14">
        <f>MAX(W15:AA18)</f>
        <v>1.3080459770114943</v>
      </c>
      <c r="BA30" s="14">
        <f>_xlfn.IFNA(VLOOKUP(AZ30, W15:AI18,8,0), _xlfn.IFNA(VLOOKUP(AZ30, X15:AI18,8,0), _xlfn.IFNA(VLOOKUP(AZ30, Y15:AI18,8,0), _xlfn.IFNA(VLOOKUP(AZ30, Z15:AI18,8,0), VLOOKUP(AZ30, AA15:AI18,8,0)))))</f>
        <v>4.3842172481010952E-2</v>
      </c>
      <c r="BB30" s="1" t="s">
        <v>33</v>
      </c>
      <c r="BC30" s="14">
        <f>MAX(AE15:AI18)</f>
        <v>9.6424941076594842E-2</v>
      </c>
      <c r="BE30" s="1" t="s">
        <v>33</v>
      </c>
      <c r="BF30" s="4">
        <f>MAX($W15:$AA15)</f>
        <v>1.3080459770114943</v>
      </c>
      <c r="BG30" s="14">
        <f>_xlfn.IFNA(VLOOKUP($BF30, $W15:$AI15,8,0), _xlfn.IFNA(VLOOKUP($BF30, $X15:$AI15,8,0), _xlfn.IFNA(VLOOKUP($BF30, $Y15:$AI15,8,0), _xlfn.IFNA(VLOOKUP($BF30, $Z15:$AI15,8,0), VLOOKUP($BF30, $AA15:$AI15,8,0)))))</f>
        <v>4.3842172481010952E-2</v>
      </c>
      <c r="BI30" s="1" t="s">
        <v>33</v>
      </c>
      <c r="BJ30" s="4">
        <f>MAX($W16:$AA16)</f>
        <v>1.1415673981191223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0.85307346326836575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1.258469890419222</v>
      </c>
      <c r="BS30" s="14" t="str">
        <f>_xlfn.IFNA(VLOOKUP($BR30, $W18:$AI18,8,0), _xlfn.IFNA(VLOOKUP($BR30, $X18:$AI18,8,0), _xlfn.IFNA(VLOOKUP($BR30, $Y18:$AI18,8,0), _xlfn.IFNA(VLOOKUP($BR30, $Z18:$AI18,8,0), VLOOKUP($BR30, $AA18:$AI18,8,0)))))</f>
        <v>3</v>
      </c>
    </row>
    <row r="31" spans="1:71" x14ac:dyDescent="0.3">
      <c r="A31" s="32" t="s">
        <v>34</v>
      </c>
      <c r="B31" t="s">
        <v>27</v>
      </c>
      <c r="C31" s="25">
        <v>551</v>
      </c>
      <c r="D31" s="25">
        <v>225</v>
      </c>
      <c r="E31" s="25">
        <v>15</v>
      </c>
      <c r="F31" s="25">
        <v>1</v>
      </c>
      <c r="G31" s="25">
        <v>0</v>
      </c>
      <c r="I31" s="25">
        <v>66</v>
      </c>
      <c r="J31" s="25">
        <v>27</v>
      </c>
      <c r="K31" s="25">
        <v>5</v>
      </c>
      <c r="L31" s="25">
        <v>0</v>
      </c>
      <c r="M31" s="25">
        <v>0</v>
      </c>
      <c r="O31" s="2">
        <f t="shared" si="0"/>
        <v>0.11978221415607986</v>
      </c>
      <c r="P31" s="2">
        <f t="shared" si="1"/>
        <v>0.12</v>
      </c>
      <c r="Q31" s="2">
        <f t="shared" si="2"/>
        <v>0.33333333333333331</v>
      </c>
      <c r="R31" s="2">
        <f t="shared" si="3"/>
        <v>0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0.98776927325810782</v>
      </c>
      <c r="X31" s="3">
        <f t="shared" si="24"/>
        <v>0.98956521739130432</v>
      </c>
      <c r="Y31" s="3">
        <f t="shared" si="25"/>
        <v>2.7487922705314007</v>
      </c>
      <c r="Z31" s="3">
        <f t="shared" si="19"/>
        <v>0</v>
      </c>
      <c r="AA31" s="3">
        <f t="shared" si="20"/>
        <v>0</v>
      </c>
      <c r="AB31" s="3">
        <f t="shared" si="6"/>
        <v>2.7487922705314007</v>
      </c>
      <c r="AC31" s="44">
        <f t="shared" si="11"/>
        <v>15</v>
      </c>
      <c r="AD31" s="3" t="str">
        <f t="shared" si="12"/>
        <v>5</v>
      </c>
      <c r="AE31" s="3">
        <f t="shared" ref="AE31:AI34" si="30">IF(C31&gt;0,((I31*((3*69)+C31))/(4*C31*69))*(1-(C31-I31)/(569-69)),0)</f>
        <v>9.8690128619900661E-3</v>
      </c>
      <c r="AF31" s="3">
        <f t="shared" si="30"/>
        <v>0.11344695652173913</v>
      </c>
      <c r="AG31" s="3">
        <f t="shared" si="30"/>
        <v>0.26275362318840584</v>
      </c>
      <c r="AH31" s="3">
        <f t="shared" si="30"/>
        <v>0</v>
      </c>
      <c r="AI31" s="3">
        <f t="shared" si="30"/>
        <v>0</v>
      </c>
      <c r="AY31" t="s">
        <v>34</v>
      </c>
      <c r="AZ31" s="5">
        <f>MAX(W19:AA22)</f>
        <v>5.0803571428571432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0.24096335461558924</v>
      </c>
      <c r="BE31" t="s">
        <v>34</v>
      </c>
      <c r="BF31" s="4">
        <f>MAX($W19:$AA19)</f>
        <v>3.5562500000000004</v>
      </c>
      <c r="BG31" s="5">
        <f>_xlfn.IFNA(VLOOKUP($BF31, $W19:$AI19,8,0), _xlfn.IFNA(VLOOKUP($BF31, $X19:$AI19,8,0), _xlfn.IFNA(VLOOKUP($BF31, $Y19:$AI19,8,0), _xlfn.IFNA(VLOOKUP($BF31, $Z19:$AI19,8,0), VLOOKUP($BF31, $AA19:$AI19,8,0)))))</f>
        <v>7.3504234997296816E-2</v>
      </c>
      <c r="BI31" t="s">
        <v>34</v>
      </c>
      <c r="BJ31" s="4">
        <f>MAX($W20:$AA20)</f>
        <v>3.2329545454545459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2.5401785714285716</v>
      </c>
      <c r="BO31" s="5">
        <f>_xlfn.IFNA(VLOOKUP($BN31, $W21:$AI21,8,0), _xlfn.IFNA(VLOOKUP($BN31, $X21:$AI21,8,0), _xlfn.IFNA(VLOOKUP($BN31, $Y21:$AI21,8,0), _xlfn.IFNA(VLOOKUP($BN31, $Z21:$AI21,8,0), VLOOKUP($BN31, $AA21:$AI21,8,0)))))</f>
        <v>4.9561433255630137E-2</v>
      </c>
      <c r="BQ31" t="s">
        <v>34</v>
      </c>
      <c r="BR31" s="4">
        <f>MAX($W22:$AA22)</f>
        <v>5.0803571428571432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19</v>
      </c>
      <c r="D32" s="25">
        <v>3</v>
      </c>
      <c r="E32" s="25">
        <v>0</v>
      </c>
      <c r="F32" s="25">
        <v>0</v>
      </c>
      <c r="G32" s="25">
        <v>0</v>
      </c>
      <c r="I32" s="25">
        <v>0</v>
      </c>
      <c r="J32" s="25">
        <v>0</v>
      </c>
      <c r="K32" s="25">
        <v>0</v>
      </c>
      <c r="L32" s="25">
        <v>0</v>
      </c>
      <c r="M32" s="25">
        <v>0</v>
      </c>
      <c r="O32" s="2">
        <f t="shared" si="0"/>
        <v>0</v>
      </c>
      <c r="P32" s="2">
        <f t="shared" si="1"/>
        <v>0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</v>
      </c>
      <c r="X32" s="3">
        <f t="shared" si="24"/>
        <v>0</v>
      </c>
      <c r="Y32" s="3">
        <f t="shared" si="25"/>
        <v>0</v>
      </c>
      <c r="Z32" s="3">
        <f t="shared" si="19"/>
        <v>0</v>
      </c>
      <c r="AA32" s="3">
        <f t="shared" si="20"/>
        <v>0</v>
      </c>
      <c r="AB32" s="3">
        <f t="shared" si="6"/>
        <v>0</v>
      </c>
      <c r="AC32" s="44">
        <f t="shared" si="11"/>
        <v>19</v>
      </c>
      <c r="AD32" s="3" t="str">
        <f t="shared" si="12"/>
        <v>3</v>
      </c>
      <c r="AE32" s="3">
        <f t="shared" si="30"/>
        <v>0</v>
      </c>
      <c r="AF32" s="3">
        <f t="shared" si="30"/>
        <v>0</v>
      </c>
      <c r="AG32" s="3">
        <f t="shared" si="30"/>
        <v>0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2.9189466484268127</v>
      </c>
      <c r="BA32" s="5">
        <f>_xlfn.IFNA(VLOOKUP(AZ32, W23:AI26,8,0), _xlfn.IFNA(VLOOKUP(AZ32, X23:AI26,8,0), _xlfn.IFNA(VLOOKUP(AZ32, Y23:AI26,8,0), _xlfn.IFNA(VLOOKUP(AZ32, Z23:AI26,8,0), VLOOKUP(AZ32, AA23:AI26,8,0)))))</f>
        <v>6.3142401569974249E-2</v>
      </c>
      <c r="BB32" t="s">
        <v>35</v>
      </c>
      <c r="BC32" s="5">
        <f>MAX(AE23:AI26)</f>
        <v>0.27137092789189243</v>
      </c>
      <c r="BE32" t="s">
        <v>35</v>
      </c>
      <c r="BF32" s="4">
        <f>MAX($W23:$AA23)</f>
        <v>2.9189466484268127</v>
      </c>
      <c r="BG32" s="5">
        <f>_xlfn.IFNA(VLOOKUP($BF32, $W23:$AI23,8,0), _xlfn.IFNA(VLOOKUP($BF32, $X23:$AI23,8,0), _xlfn.IFNA(VLOOKUP($BF32, $Y23:$AI23,8,0), _xlfn.IFNA(VLOOKUP($BF32, $Z23:$AI23,8,0), VLOOKUP($BF32, $AA23:$AI23,8,0)))))</f>
        <v>6.3142401569974249E-2</v>
      </c>
      <c r="BI32" t="s">
        <v>35</v>
      </c>
      <c r="BJ32" s="4">
        <f>MAX($W24:$AA24)</f>
        <v>1.3232558139534885</v>
      </c>
      <c r="BK32" s="5" t="str">
        <f>_xlfn.IFNA(VLOOKUP($BJ32, $W24:$AI24,8,0), _xlfn.IFNA(VLOOKUP($BJ32, $X24:$AI24,8,0), _xlfn.IFNA(VLOOKUP($BJ32, $Y24:$AI24,8,0), _xlfn.IFNA(VLOOKUP($BJ32, $Z24:$AI24,8,0), VLOOKUP($BJ32, $AA24:$AI24,8,0)))))</f>
        <v>3</v>
      </c>
      <c r="BM32" t="s">
        <v>35</v>
      </c>
      <c r="BN32" s="4">
        <f>MAX($W25:$AA25)</f>
        <v>2.3524547803617573</v>
      </c>
      <c r="BO32" s="5">
        <f>_xlfn.IFNA(VLOOKUP($BN32, $W25:$AI25,8,0), _xlfn.IFNA(VLOOKUP($BN32, $X25:$AI25,8,0), _xlfn.IFNA(VLOOKUP($BN32, $Y25:$AI25,8,0), _xlfn.IFNA(VLOOKUP($BN32, $Z25:$AI25,8,0), VLOOKUP($BN32, $AA25:$AI25,8,0)))))</f>
        <v>3.574443290728857E-2</v>
      </c>
      <c r="BQ32" t="s">
        <v>35</v>
      </c>
      <c r="BR32" s="4">
        <f>MAX($W26:$AA26)</f>
        <v>0.4009866102889359</v>
      </c>
      <c r="BS32" s="5" t="str">
        <f>_xlfn.IFNA(VLOOKUP($BR32, $W26:$AI26,8,0), _xlfn.IFNA(VLOOKUP($BR32, $X26:$AI26,8,0), _xlfn.IFNA(VLOOKUP($BR32, $Y26:$AI26,8,0), _xlfn.IFNA(VLOOKUP($BR32, $Z26:$AI26,8,0), VLOOKUP($BR32, $AA26:$AI26,8,0)))))</f>
        <v>3</v>
      </c>
    </row>
    <row r="33" spans="1:71" x14ac:dyDescent="0.3">
      <c r="A33" s="32" t="s">
        <v>34</v>
      </c>
      <c r="B33" t="s">
        <v>29</v>
      </c>
      <c r="C33" s="25">
        <v>483</v>
      </c>
      <c r="D33" s="25">
        <v>68</v>
      </c>
      <c r="E33" s="25">
        <v>5</v>
      </c>
      <c r="F33" s="25">
        <v>0</v>
      </c>
      <c r="G33" s="25">
        <v>0</v>
      </c>
      <c r="I33" s="25">
        <v>64</v>
      </c>
      <c r="J33" s="25">
        <v>14</v>
      </c>
      <c r="K33" s="25">
        <v>2</v>
      </c>
      <c r="L33" s="25">
        <v>0</v>
      </c>
      <c r="M33" s="25">
        <v>0</v>
      </c>
      <c r="O33" s="2">
        <f t="shared" si="0"/>
        <v>0.13250517598343686</v>
      </c>
      <c r="P33" s="2">
        <f t="shared" si="1"/>
        <v>0.20588235294117646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1.0926876106460228</v>
      </c>
      <c r="X33" s="3">
        <f t="shared" si="24"/>
        <v>1.6977834612105711</v>
      </c>
      <c r="Y33" s="3">
        <f t="shared" si="25"/>
        <v>3.2985507246376815</v>
      </c>
      <c r="Z33" s="3">
        <f t="shared" si="19"/>
        <v>0</v>
      </c>
      <c r="AA33" s="3">
        <f t="shared" si="20"/>
        <v>0</v>
      </c>
      <c r="AB33" s="3">
        <f t="shared" si="6"/>
        <v>3.2985507246376815</v>
      </c>
      <c r="AC33" s="44">
        <f t="shared" si="11"/>
        <v>5</v>
      </c>
      <c r="AD33" s="3" t="str">
        <f t="shared" si="12"/>
        <v>5</v>
      </c>
      <c r="AE33" s="3">
        <f t="shared" si="30"/>
        <v>5.3664596273291933E-2</v>
      </c>
      <c r="AF33" s="3">
        <f t="shared" si="30"/>
        <v>0.18298167092924128</v>
      </c>
      <c r="AG33" s="3">
        <f t="shared" si="30"/>
        <v>0.30540289855072467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1</v>
      </c>
      <c r="AU33" s="7">
        <f t="shared" si="31"/>
        <v>1</v>
      </c>
      <c r="AV33" s="7">
        <f t="shared" si="31"/>
        <v>1</v>
      </c>
      <c r="AW33" s="18">
        <f t="shared" si="31"/>
        <v>0</v>
      </c>
      <c r="AX33" s="4"/>
      <c r="AY33" t="s">
        <v>37</v>
      </c>
      <c r="AZ33" s="5">
        <f>MAX(W27:AA30)</f>
        <v>1.6247858366647627</v>
      </c>
      <c r="BA33" s="5">
        <f>_xlfn.IFNA(VLOOKUP(AZ33, W27:AI30,8,0), _xlfn.IFNA(VLOOKUP(AZ33, X27:AI30,8,0), _xlfn.IFNA(VLOOKUP(AZ33, Y27:AI30,8,0), _xlfn.IFNA(VLOOKUP(AZ33, Z27:AI30,8,0), VLOOKUP(AZ33, AA27:AI30,8,0)))))</f>
        <v>5.2278249314596618E-2</v>
      </c>
      <c r="BB33" t="s">
        <v>37</v>
      </c>
      <c r="BC33" s="5">
        <f>MAX(AE27:AI30)</f>
        <v>0.15170591983841555</v>
      </c>
      <c r="BE33" t="s">
        <v>37</v>
      </c>
      <c r="BF33" s="4">
        <f>MAX($W27:$AA27)</f>
        <v>1.6247858366647627</v>
      </c>
      <c r="BG33" s="5">
        <f>_xlfn.IFNA(VLOOKUP($BF33, $W27:$AI27,8,0), _xlfn.IFNA(VLOOKUP($BF33, $X27:$AI27,8,0), _xlfn.IFNA(VLOOKUP($BF33, $Y27:$AI27,8,0), _xlfn.IFNA(VLOOKUP($BF33, $Z27:$AI27,8,0), VLOOKUP($BF33, $AA27:$AI27,8,0)))))</f>
        <v>5.2278249314596618E-2</v>
      </c>
      <c r="BI33" t="s">
        <v>37</v>
      </c>
      <c r="BJ33" s="4">
        <f>MAX($W28:$AA28)</f>
        <v>0.61982570806100212</v>
      </c>
      <c r="BK33" s="5" t="str">
        <f>_xlfn.IFNA(VLOOKUP($BJ33, $W28:$AI28,8,0), _xlfn.IFNA(VLOOKUP($BJ33, $X28:$AI28,8,0), _xlfn.IFNA(VLOOKUP($BJ33, $Y28:$AI28,8,0), _xlfn.IFNA(VLOOKUP($BJ33, $Z28:$AI28,8,0), VLOOKUP($BJ33, $AA28:$AI28,8,0)))))</f>
        <v>3</v>
      </c>
      <c r="BM33" t="s">
        <v>37</v>
      </c>
      <c r="BN33" s="4">
        <f>MAX($W29:$AA29)</f>
        <v>0.83329265316084933</v>
      </c>
      <c r="BO33" s="5" t="str">
        <f>_xlfn.IFNA(VLOOKUP($BN33, $W29:$AI29,8,0), _xlfn.IFNA(VLOOKUP($BN33, $X29:$AI29,8,0), _xlfn.IFNA(VLOOKUP($BN33, $Y29:$AI29,8,0), _xlfn.IFNA(VLOOKUP($BN33, $Z29:$AI29,8,0), VLOOKUP($BN33, $AA29:$AI29,8,0)))))</f>
        <v>3</v>
      </c>
      <c r="BQ33" t="s">
        <v>37</v>
      </c>
      <c r="BR33" s="4">
        <f>MAX($W30:$AA30)</f>
        <v>0.53127917833800176</v>
      </c>
      <c r="BS33" s="5" t="str">
        <f>_xlfn.IFNA(VLOOKUP($BR33, $W30:$AI30,8,0), _xlfn.IFNA(VLOOKUP($BR33, $X30:$AI30,8,0), _xlfn.IFNA(VLOOKUP($BR33, $Y30:$AI30,8,0), _xlfn.IFNA(VLOOKUP($BR33, $Z30:$AI30,8,0), VLOOKUP($BR33, $AA30:$AI30,8,0)))))</f>
        <v>3</v>
      </c>
    </row>
    <row r="34" spans="1:71" s="1" customFormat="1" x14ac:dyDescent="0.3">
      <c r="A34" s="32" t="s">
        <v>34</v>
      </c>
      <c r="B34" s="1" t="s">
        <v>30</v>
      </c>
      <c r="C34" s="1">
        <v>45</v>
      </c>
      <c r="D34" s="1">
        <v>15</v>
      </c>
      <c r="E34" s="1">
        <v>0</v>
      </c>
      <c r="F34" s="1">
        <v>0</v>
      </c>
      <c r="G34" s="1">
        <v>0</v>
      </c>
      <c r="I34" s="1">
        <v>3</v>
      </c>
      <c r="J34" s="1">
        <v>1</v>
      </c>
      <c r="K34" s="1">
        <v>0</v>
      </c>
      <c r="L34" s="1">
        <v>0</v>
      </c>
      <c r="M34" s="1">
        <v>0</v>
      </c>
      <c r="O34" s="9">
        <f t="shared" si="0"/>
        <v>6.6666666666666666E-2</v>
      </c>
      <c r="P34" s="9">
        <f t="shared" si="1"/>
        <v>6.6666666666666666E-2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0.54975845410628021</v>
      </c>
      <c r="X34" s="10">
        <f t="shared" si="24"/>
        <v>0.54975845410628021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0.54975845410628021</v>
      </c>
      <c r="AC34" s="45">
        <f t="shared" si="11"/>
        <v>45</v>
      </c>
      <c r="AD34" s="10" t="str">
        <f t="shared" si="12"/>
        <v>3</v>
      </c>
      <c r="AE34" s="10">
        <f t="shared" si="30"/>
        <v>5.5756521739130441E-2</v>
      </c>
      <c r="AF34" s="10">
        <f t="shared" si="30"/>
        <v>5.2121739130434781E-2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1</v>
      </c>
      <c r="AT34" s="4">
        <f t="shared" si="31"/>
        <v>0</v>
      </c>
      <c r="AU34" s="4">
        <f t="shared" si="31"/>
        <v>0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3.2985507246376815</v>
      </c>
      <c r="BA34" s="14">
        <f>_xlfn.IFNA(VLOOKUP(AZ34, W31:AI34,8,0), _xlfn.IFNA(VLOOKUP(AZ34, X31:AI34,8,0), _xlfn.IFNA(VLOOKUP(AZ34, Y31:AI34,8,0), _xlfn.IFNA(VLOOKUP(AZ34, Z31:AI34,8,0), VLOOKUP(AZ34, AA31:AI34,8,0)))))</f>
        <v>0.18298167092924128</v>
      </c>
      <c r="BB34" s="1" t="s">
        <v>38</v>
      </c>
      <c r="BC34" s="14">
        <f>MAX(AE31:AI34)</f>
        <v>0.30540289855072467</v>
      </c>
      <c r="BE34" s="1" t="s">
        <v>38</v>
      </c>
      <c r="BF34" s="4">
        <f>MAX($W31:$AA31)</f>
        <v>2.7487922705314007</v>
      </c>
      <c r="BG34" s="14">
        <f>_xlfn.IFNA(VLOOKUP($BF34, $W31:$AI31,8,0), _xlfn.IFNA(VLOOKUP($BF34, $X31:$AI31,8,0), _xlfn.IFNA(VLOOKUP($BF34, $Y31:$AI31,8,0), _xlfn.IFNA(VLOOKUP($BF34, $Z31:$AI31,8,0), VLOOKUP($BF34, $AA31:$AI31,8,0)))))</f>
        <v>0.11344695652173913</v>
      </c>
      <c r="BI34" s="1" t="s">
        <v>38</v>
      </c>
      <c r="BJ34" s="4">
        <f>MAX($W32:$AA32)</f>
        <v>0</v>
      </c>
      <c r="BK34" s="5" t="str">
        <f>_xlfn.IFNA(VLOOKUP($BJ34, $W32:$AI32,8,0), _xlfn.IFNA(VLOOKUP($BJ34, $X32:$AI32,8,0), _xlfn.IFNA(VLOOKUP($BJ34, $Y32:$AI32,8,0), _xlfn.IFNA(VLOOKUP($BJ34, $Z32:$AI32,8,0), VLOOKUP($BJ34, $AA32:$AI32,8,0)))))</f>
        <v>3</v>
      </c>
      <c r="BM34" s="1" t="s">
        <v>38</v>
      </c>
      <c r="BN34" s="13">
        <f>MAX($W33:$AA33)</f>
        <v>3.2985507246376815</v>
      </c>
      <c r="BO34" s="14">
        <f>_xlfn.IFNA(VLOOKUP($BN34, $W33:$AI33,8,0), _xlfn.IFNA(VLOOKUP($BN34, $X33:$AI33,8,0), _xlfn.IFNA(VLOOKUP($BN34, $Y33:$AI33,8,0), _xlfn.IFNA(VLOOKUP($BN34, $Z33:$AI33,8,0), VLOOKUP($BN34, $AA33:$AI33,8,0)))))</f>
        <v>0.18298167092924128</v>
      </c>
      <c r="BQ34" s="1" t="s">
        <v>38</v>
      </c>
      <c r="BR34" s="13">
        <f>MAX($W34:$AA34)</f>
        <v>0.54975845410628021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566</v>
      </c>
      <c r="D35">
        <v>440</v>
      </c>
      <c r="E35">
        <v>82</v>
      </c>
      <c r="F35">
        <v>3</v>
      </c>
      <c r="G35">
        <v>0</v>
      </c>
      <c r="I35">
        <v>52</v>
      </c>
      <c r="J35">
        <v>35</v>
      </c>
      <c r="K35">
        <v>6</v>
      </c>
      <c r="L35">
        <v>0</v>
      </c>
      <c r="M35">
        <v>0</v>
      </c>
      <c r="O35" s="28">
        <f t="shared" ref="O35:O54" si="32">IF(I35&gt;0, I35/C35, 0)</f>
        <v>9.187279151943463E-2</v>
      </c>
      <c r="P35" s="28">
        <f t="shared" ref="P35:P54" si="33">IF(J35&gt;0, J35/D35, 0)</f>
        <v>7.9545454545454544E-2</v>
      </c>
      <c r="Q35" s="28">
        <f t="shared" ref="Q35:Q54" si="34">IF(K35&gt;0, K35/E35, 0)</f>
        <v>7.3170731707317069E-2</v>
      </c>
      <c r="R35" s="28">
        <f t="shared" ref="R35:R54" si="35">IF(L35&gt;0, L35/F35, 0)</f>
        <v>0</v>
      </c>
      <c r="S35" s="28">
        <f t="shared" ref="S35:S54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0.98633242216147754</v>
      </c>
      <c r="X35" s="29">
        <f t="shared" si="24"/>
        <v>0.85398799313893659</v>
      </c>
      <c r="Y35" s="29">
        <f t="shared" si="25"/>
        <v>0.78554993097100778</v>
      </c>
      <c r="Z35" s="29">
        <f t="shared" si="19"/>
        <v>0</v>
      </c>
      <c r="AA35" s="29">
        <f t="shared" si="20"/>
        <v>0</v>
      </c>
      <c r="AB35" s="29">
        <f t="shared" ref="AB35:AB54" si="37">MAX(W35:AA35)</f>
        <v>0.98633242216147754</v>
      </c>
      <c r="AC35" s="41">
        <f t="shared" si="11"/>
        <v>566</v>
      </c>
      <c r="AD35" s="29" t="str">
        <f t="shared" si="12"/>
        <v>3</v>
      </c>
      <c r="AE35" s="29">
        <f t="shared" ref="AE35:AI38" si="38">IF(C35&gt;0,((I35*((3*53)+C35))/(4*C35*53))*(1-(C35-I35)/(569-53)),0)</f>
        <v>1.2177814438275234E-3</v>
      </c>
      <c r="AF35" s="29">
        <f t="shared" si="38"/>
        <v>4.834812168415175E-2</v>
      </c>
      <c r="AG35" s="29">
        <f t="shared" si="38"/>
        <v>7.0928627232740071E-2</v>
      </c>
      <c r="AH35" s="29">
        <f t="shared" si="38"/>
        <v>0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1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298</v>
      </c>
      <c r="D36">
        <v>41</v>
      </c>
      <c r="E36">
        <v>0</v>
      </c>
      <c r="F36">
        <v>0</v>
      </c>
      <c r="G36">
        <v>0</v>
      </c>
      <c r="I36">
        <v>19</v>
      </c>
      <c r="J36">
        <v>3</v>
      </c>
      <c r="K36">
        <v>0</v>
      </c>
      <c r="L36">
        <v>0</v>
      </c>
      <c r="M36">
        <v>0</v>
      </c>
      <c r="O36" s="28">
        <f t="shared" si="32"/>
        <v>6.3758389261744972E-2</v>
      </c>
      <c r="P36" s="28">
        <f t="shared" si="33"/>
        <v>7.3170731707317069E-2</v>
      </c>
      <c r="Q36" s="28">
        <f t="shared" si="34"/>
        <v>0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0.68450044320628101</v>
      </c>
      <c r="X36" s="29">
        <f t="shared" si="24"/>
        <v>0.78554993097100778</v>
      </c>
      <c r="Y36" s="29">
        <f t="shared" si="25"/>
        <v>0</v>
      </c>
      <c r="Z36" s="29">
        <f t="shared" si="19"/>
        <v>0</v>
      </c>
      <c r="AA36" s="29">
        <f t="shared" si="20"/>
        <v>0</v>
      </c>
      <c r="AB36" s="29">
        <f t="shared" si="37"/>
        <v>0.78554993097100778</v>
      </c>
      <c r="AC36" s="41">
        <f t="shared" si="11"/>
        <v>41</v>
      </c>
      <c r="AD36" s="29" t="str">
        <f t="shared" si="12"/>
        <v>4</v>
      </c>
      <c r="AE36" s="29">
        <f t="shared" si="38"/>
        <v>6.3127170017463222E-2</v>
      </c>
      <c r="AF36" s="29">
        <f t="shared" si="38"/>
        <v>6.394546174509573E-2</v>
      </c>
      <c r="AG36" s="29">
        <f t="shared" si="38"/>
        <v>0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0</v>
      </c>
      <c r="AU36" s="4">
        <f t="shared" si="31"/>
        <v>1</v>
      </c>
      <c r="AV36" s="4">
        <f t="shared" si="31"/>
        <v>0</v>
      </c>
      <c r="AW36" s="22">
        <f t="shared" si="31"/>
        <v>0</v>
      </c>
      <c r="AX36" s="4"/>
      <c r="AY36" t="s">
        <v>42</v>
      </c>
      <c r="AZ36">
        <f>COUNTIF(AZ27:AZ34, "&gt;1.5")</f>
        <v>6</v>
      </c>
      <c r="BE36" t="s">
        <v>42</v>
      </c>
      <c r="BF36">
        <f>COUNTIF(BF27:BF34, "&gt;1.5")</f>
        <v>5</v>
      </c>
      <c r="BI36" t="s">
        <v>42</v>
      </c>
      <c r="BJ36">
        <f>COUNTIF(BJ27:BJ34, "&gt;1.5")</f>
        <v>1</v>
      </c>
      <c r="BM36" t="s">
        <v>42</v>
      </c>
      <c r="BN36">
        <f>COUNTIF(BN27:BN34, "&gt;1.5")</f>
        <v>4</v>
      </c>
      <c r="BQ36" t="s">
        <v>42</v>
      </c>
      <c r="BR36">
        <f>COUNTIF(BR27:BR34, "&gt;1.5")</f>
        <v>2</v>
      </c>
    </row>
    <row r="37" spans="1:71" x14ac:dyDescent="0.3">
      <c r="A37" s="32" t="s">
        <v>56</v>
      </c>
      <c r="B37" t="s">
        <v>29</v>
      </c>
      <c r="C37">
        <v>535</v>
      </c>
      <c r="D37">
        <v>285</v>
      </c>
      <c r="E37">
        <v>48</v>
      </c>
      <c r="F37">
        <v>5</v>
      </c>
      <c r="G37">
        <v>0</v>
      </c>
      <c r="I37">
        <v>48</v>
      </c>
      <c r="J37">
        <v>27</v>
      </c>
      <c r="K37">
        <v>7</v>
      </c>
      <c r="L37">
        <v>1</v>
      </c>
      <c r="M37">
        <v>0</v>
      </c>
      <c r="O37" s="28">
        <f t="shared" si="32"/>
        <v>8.9719626168224292E-2</v>
      </c>
      <c r="P37" s="28">
        <f t="shared" si="33"/>
        <v>9.4736842105263161E-2</v>
      </c>
      <c r="Q37" s="28">
        <f t="shared" si="34"/>
        <v>0.14583333333333334</v>
      </c>
      <c r="R37" s="28">
        <f t="shared" si="35"/>
        <v>0.2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0.96321636395697408</v>
      </c>
      <c r="X37" s="29">
        <f t="shared" si="24"/>
        <v>1.0170804369414101</v>
      </c>
      <c r="Y37" s="29">
        <f t="shared" si="25"/>
        <v>1.5656446540880504</v>
      </c>
      <c r="Z37" s="29">
        <f t="shared" si="19"/>
        <v>2.1471698113207549</v>
      </c>
      <c r="AA37" s="29">
        <f t="shared" si="20"/>
        <v>0</v>
      </c>
      <c r="AB37" s="29">
        <f t="shared" si="37"/>
        <v>2.1471698113207549</v>
      </c>
      <c r="AC37" s="41">
        <f t="shared" si="11"/>
        <v>5</v>
      </c>
      <c r="AD37" s="29" t="str">
        <f t="shared" si="12"/>
        <v>6</v>
      </c>
      <c r="AE37" s="29">
        <f t="shared" si="38"/>
        <v>1.6506665901178164E-2</v>
      </c>
      <c r="AF37" s="29">
        <f t="shared" si="38"/>
        <v>9.9205561072492551E-2</v>
      </c>
      <c r="AG37" s="29">
        <f t="shared" si="38"/>
        <v>0.13107962648091268</v>
      </c>
      <c r="AH37" s="29">
        <f t="shared" si="38"/>
        <v>0.15351762468919117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5</v>
      </c>
      <c r="BE37" t="s">
        <v>43</v>
      </c>
      <c r="BF37">
        <f>COUNTIF(BF27:BF34, "&gt;2")</f>
        <v>3</v>
      </c>
      <c r="BI37" t="s">
        <v>43</v>
      </c>
      <c r="BJ37">
        <f>COUNTIF(BJ27:BJ34, "&gt;2")</f>
        <v>1</v>
      </c>
      <c r="BM37" t="s">
        <v>43</v>
      </c>
      <c r="BN37">
        <f>COUNTIF(BN27:BN34, "&gt;2")</f>
        <v>4</v>
      </c>
      <c r="BQ37" t="s">
        <v>43</v>
      </c>
      <c r="BR37">
        <f>COUNTIF(BR27:BR34, "&gt;2")</f>
        <v>2</v>
      </c>
    </row>
    <row r="38" spans="1:71" x14ac:dyDescent="0.3">
      <c r="A38" s="32" t="s">
        <v>56</v>
      </c>
      <c r="B38" s="1" t="s">
        <v>30</v>
      </c>
      <c r="C38" s="1">
        <v>17</v>
      </c>
      <c r="D38" s="1">
        <v>1</v>
      </c>
      <c r="E38" s="1">
        <v>0</v>
      </c>
      <c r="F38" s="1">
        <v>0</v>
      </c>
      <c r="G38" s="1">
        <v>0</v>
      </c>
      <c r="H38" s="1"/>
      <c r="I38" s="1">
        <v>1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5.8823529411764705E-2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0.63152053274139852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0.63152053274139852</v>
      </c>
      <c r="AC38" s="42">
        <f t="shared" si="11"/>
        <v>17</v>
      </c>
      <c r="AD38" s="31" t="str">
        <f t="shared" si="12"/>
        <v>3</v>
      </c>
      <c r="AE38" s="31">
        <f t="shared" si="38"/>
        <v>4.7320376153971902E-2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513</v>
      </c>
      <c r="D39">
        <v>287</v>
      </c>
      <c r="E39">
        <v>24</v>
      </c>
      <c r="F39">
        <v>0</v>
      </c>
      <c r="G39">
        <v>0</v>
      </c>
      <c r="I39">
        <v>49</v>
      </c>
      <c r="J39">
        <v>26</v>
      </c>
      <c r="K39">
        <v>3</v>
      </c>
      <c r="L39">
        <v>0</v>
      </c>
      <c r="M39">
        <v>0</v>
      </c>
      <c r="O39" s="28">
        <f t="shared" si="32"/>
        <v>9.5516569200779722E-2</v>
      </c>
      <c r="P39" s="28">
        <f t="shared" si="33"/>
        <v>9.0592334494773524E-2</v>
      </c>
      <c r="Q39" s="28">
        <f t="shared" si="34"/>
        <v>0.125</v>
      </c>
      <c r="R39" s="28">
        <f t="shared" si="35"/>
        <v>0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0.953489962723573</v>
      </c>
      <c r="X39" s="29">
        <f t="shared" si="24"/>
        <v>0.90433400574607259</v>
      </c>
      <c r="Y39" s="29">
        <f t="shared" si="25"/>
        <v>1.2478070175438596</v>
      </c>
      <c r="Z39" s="29">
        <f t="shared" si="19"/>
        <v>0</v>
      </c>
      <c r="AA39" s="29">
        <f t="shared" si="20"/>
        <v>0</v>
      </c>
      <c r="AB39" s="29">
        <f t="shared" si="37"/>
        <v>1.2478070175438596</v>
      </c>
      <c r="AC39" s="41">
        <f t="shared" si="11"/>
        <v>24</v>
      </c>
      <c r="AD39" s="29" t="str">
        <f t="shared" si="12"/>
        <v>5</v>
      </c>
      <c r="AE39" s="29">
        <f t="shared" ref="AE39:AI42" si="39">IF(C39&gt;0,((I39*((3*57)+C39))/(4*C39*57))*(1-(C39-I39)/(569-57)),0)</f>
        <v>2.6864035087719298E-2</v>
      </c>
      <c r="AF39" s="29">
        <f t="shared" si="39"/>
        <v>8.9212527316767529E-2</v>
      </c>
      <c r="AG39" s="29">
        <f t="shared" si="39"/>
        <v>0.10252300061677631</v>
      </c>
      <c r="AH39" s="29">
        <f t="shared" si="39"/>
        <v>0</v>
      </c>
      <c r="AI39" s="29">
        <f t="shared" si="39"/>
        <v>0</v>
      </c>
      <c r="AY39" s="1" t="s">
        <v>45</v>
      </c>
      <c r="AZ39" s="1"/>
      <c r="BB39" t="s">
        <v>52</v>
      </c>
    </row>
    <row r="40" spans="1:71" x14ac:dyDescent="0.3">
      <c r="A40" s="32" t="s">
        <v>57</v>
      </c>
      <c r="B40" t="s">
        <v>28</v>
      </c>
      <c r="C40">
        <v>495</v>
      </c>
      <c r="D40">
        <v>160</v>
      </c>
      <c r="E40">
        <v>1</v>
      </c>
      <c r="F40">
        <v>0</v>
      </c>
      <c r="G40">
        <v>0</v>
      </c>
      <c r="I40">
        <v>42</v>
      </c>
      <c r="J40">
        <v>5</v>
      </c>
      <c r="K40">
        <v>0</v>
      </c>
      <c r="L40">
        <v>0</v>
      </c>
      <c r="M40">
        <v>0</v>
      </c>
      <c r="O40" s="28">
        <f t="shared" si="32"/>
        <v>8.4848484848484854E-2</v>
      </c>
      <c r="P40" s="28">
        <f t="shared" si="33"/>
        <v>3.125E-2</v>
      </c>
      <c r="Q40" s="28">
        <f t="shared" si="34"/>
        <v>0</v>
      </c>
      <c r="R40" s="28">
        <f t="shared" si="35"/>
        <v>0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0.84699627857522597</v>
      </c>
      <c r="X40" s="29">
        <f t="shared" si="24"/>
        <v>0.3119517543859649</v>
      </c>
      <c r="Y40" s="29">
        <f t="shared" si="25"/>
        <v>0</v>
      </c>
      <c r="Z40" s="29">
        <f t="shared" si="19"/>
        <v>0</v>
      </c>
      <c r="AA40" s="29">
        <f t="shared" si="20"/>
        <v>0</v>
      </c>
      <c r="AB40" s="29">
        <f t="shared" si="37"/>
        <v>0.84699627857522597</v>
      </c>
      <c r="AC40" s="41">
        <f t="shared" si="11"/>
        <v>495</v>
      </c>
      <c r="AD40" s="29" t="str">
        <f t="shared" si="12"/>
        <v>3</v>
      </c>
      <c r="AE40" s="29">
        <f t="shared" si="39"/>
        <v>2.8560481459330146E-2</v>
      </c>
      <c r="AF40" s="29">
        <f t="shared" si="39"/>
        <v>3.1633075914884866E-2</v>
      </c>
      <c r="AG40" s="29">
        <f t="shared" si="39"/>
        <v>0</v>
      </c>
      <c r="AH40" s="29">
        <f t="shared" si="39"/>
        <v>0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  <c r="BB40" t="str">
        <f>ROUND(AZ27, 2) &amp; " (" &amp; ROUND(BA27, 2) &amp; ")"</f>
        <v>4.38 (0.04)</v>
      </c>
    </row>
    <row r="41" spans="1:71" x14ac:dyDescent="0.3">
      <c r="A41" s="32" t="s">
        <v>57</v>
      </c>
      <c r="B41" t="s">
        <v>29</v>
      </c>
      <c r="C41">
        <v>499</v>
      </c>
      <c r="D41">
        <v>223</v>
      </c>
      <c r="E41">
        <v>14</v>
      </c>
      <c r="F41">
        <v>4</v>
      </c>
      <c r="G41">
        <v>0</v>
      </c>
      <c r="I41">
        <v>46</v>
      </c>
      <c r="J41">
        <v>22</v>
      </c>
      <c r="K41">
        <v>3</v>
      </c>
      <c r="L41">
        <v>1</v>
      </c>
      <c r="M41">
        <v>0</v>
      </c>
      <c r="O41" s="28">
        <f t="shared" si="32"/>
        <v>9.2184368737474945E-2</v>
      </c>
      <c r="P41" s="28">
        <f t="shared" si="33"/>
        <v>9.8654708520179366E-2</v>
      </c>
      <c r="Q41" s="28">
        <f t="shared" si="34"/>
        <v>0.21428571428571427</v>
      </c>
      <c r="R41" s="28">
        <f t="shared" si="35"/>
        <v>0.25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0.92022641774777625</v>
      </c>
      <c r="X41" s="29">
        <f t="shared" si="24"/>
        <v>0.9848163008417905</v>
      </c>
      <c r="Y41" s="29">
        <f t="shared" si="25"/>
        <v>2.1390977443609023</v>
      </c>
      <c r="Z41" s="29">
        <f t="shared" si="19"/>
        <v>2.4956140350877192</v>
      </c>
      <c r="AA41" s="29">
        <f t="shared" si="20"/>
        <v>0</v>
      </c>
      <c r="AB41" s="29">
        <f t="shared" si="37"/>
        <v>2.4956140350877192</v>
      </c>
      <c r="AC41" s="41">
        <f t="shared" si="11"/>
        <v>4</v>
      </c>
      <c r="AD41" s="29" t="str">
        <f t="shared" si="12"/>
        <v>6</v>
      </c>
      <c r="AE41" s="29">
        <f t="shared" si="39"/>
        <v>3.1216146657349786E-2</v>
      </c>
      <c r="AF41" s="29">
        <f t="shared" si="39"/>
        <v>0.10355465369561796</v>
      </c>
      <c r="AG41" s="29">
        <f t="shared" si="39"/>
        <v>0.17013664532424813</v>
      </c>
      <c r="AH41" s="29">
        <f t="shared" si="39"/>
        <v>0.19076163308662283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dU(class)</v>
      </c>
      <c r="BB41" t="str">
        <f t="shared" ref="BB41:BB43" si="40">ROUND(AZ28, 2) &amp; " (" &amp; ROUND(BA28, 2) &amp; ")"</f>
        <v>3.31 (0.12)</v>
      </c>
    </row>
    <row r="42" spans="1:71" x14ac:dyDescent="0.3">
      <c r="A42" s="34" t="s">
        <v>57</v>
      </c>
      <c r="B42" s="1" t="s">
        <v>30</v>
      </c>
      <c r="C42" s="1">
        <v>19</v>
      </c>
      <c r="D42" s="1">
        <v>2</v>
      </c>
      <c r="E42" s="1">
        <v>1</v>
      </c>
      <c r="F42" s="1">
        <v>0</v>
      </c>
      <c r="G42" s="1">
        <v>0</v>
      </c>
      <c r="H42" s="1"/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/>
      <c r="O42" s="30">
        <f t="shared" si="32"/>
        <v>0</v>
      </c>
      <c r="P42" s="30">
        <f t="shared" si="33"/>
        <v>0</v>
      </c>
      <c r="Q42" s="30">
        <f t="shared" si="34"/>
        <v>0</v>
      </c>
      <c r="R42" s="30">
        <f t="shared" si="35"/>
        <v>0</v>
      </c>
      <c r="S42" s="30">
        <f t="shared" si="36"/>
        <v>0</v>
      </c>
      <c r="T42" s="30"/>
      <c r="U42" s="30">
        <f>57/569</f>
        <v>0.10017574692442882</v>
      </c>
      <c r="V42" s="30"/>
      <c r="W42" s="31">
        <f t="shared" si="23"/>
        <v>0</v>
      </c>
      <c r="X42" s="31">
        <f t="shared" si="24"/>
        <v>0</v>
      </c>
      <c r="Y42" s="31">
        <f t="shared" si="25"/>
        <v>0</v>
      </c>
      <c r="Z42" s="31">
        <f t="shared" si="19"/>
        <v>0</v>
      </c>
      <c r="AA42" s="31">
        <f t="shared" si="20"/>
        <v>0</v>
      </c>
      <c r="AB42" s="31">
        <f t="shared" si="37"/>
        <v>0</v>
      </c>
      <c r="AC42" s="42">
        <f t="shared" si="11"/>
        <v>19</v>
      </c>
      <c r="AD42" s="31" t="str">
        <f t="shared" si="12"/>
        <v>3</v>
      </c>
      <c r="AE42" s="31">
        <f t="shared" si="39"/>
        <v>0</v>
      </c>
      <c r="AF42" s="31">
        <f t="shared" si="39"/>
        <v>0</v>
      </c>
      <c r="AG42" s="31">
        <f t="shared" si="39"/>
        <v>0</v>
      </c>
      <c r="AH42" s="31">
        <f t="shared" si="39"/>
        <v>0</v>
      </c>
      <c r="AI42" s="31">
        <f t="shared" si="39"/>
        <v>0</v>
      </c>
      <c r="AY42" t="s">
        <v>32</v>
      </c>
      <c r="AZ42" t="str">
        <f>IF(COUNTIF(W11:AA11,AZ29), B11, IF(COUNTIF(W12:AA12,AZ29), B12, IF(COUNTIF(W13:AA13,AZ29), B13, B14)))</f>
        <v>dU(class)</v>
      </c>
      <c r="BB42" t="str">
        <f t="shared" si="40"/>
        <v>1.14 (0.05)</v>
      </c>
    </row>
    <row r="43" spans="1:71" x14ac:dyDescent="0.3">
      <c r="A43" s="32" t="s">
        <v>35</v>
      </c>
      <c r="B43" t="s">
        <v>27</v>
      </c>
      <c r="C43" s="25">
        <v>559</v>
      </c>
      <c r="D43" s="25">
        <v>331</v>
      </c>
      <c r="E43" s="25">
        <v>51</v>
      </c>
      <c r="F43" s="25">
        <v>2</v>
      </c>
      <c r="G43" s="25">
        <v>0</v>
      </c>
      <c r="I43" s="25">
        <v>39</v>
      </c>
      <c r="J43" s="25">
        <v>25</v>
      </c>
      <c r="K43" s="25">
        <v>4</v>
      </c>
      <c r="L43" s="25">
        <v>0</v>
      </c>
      <c r="M43" s="25">
        <v>0</v>
      </c>
      <c r="O43" s="2">
        <f t="shared" si="32"/>
        <v>6.9767441860465115E-2</v>
      </c>
      <c r="P43" s="2">
        <f t="shared" si="33"/>
        <v>7.5528700906344406E-2</v>
      </c>
      <c r="Q43" s="2">
        <f t="shared" si="34"/>
        <v>7.8431372549019607E-2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1.0178890876565294</v>
      </c>
      <c r="X43" s="3">
        <f t="shared" si="24"/>
        <v>1.101944379889999</v>
      </c>
      <c r="Y43" s="3">
        <f t="shared" si="25"/>
        <v>1.1442936148818501</v>
      </c>
      <c r="Z43" s="3">
        <f t="shared" si="19"/>
        <v>0</v>
      </c>
      <c r="AA43" s="3">
        <f t="shared" si="20"/>
        <v>0</v>
      </c>
      <c r="AB43" s="3">
        <f t="shared" si="37"/>
        <v>1.1442936148818501</v>
      </c>
      <c r="AC43" s="44">
        <f t="shared" si="11"/>
        <v>51</v>
      </c>
      <c r="AD43" s="3" t="str">
        <f t="shared" si="12"/>
        <v>5</v>
      </c>
      <c r="AE43" s="3">
        <f t="shared" ref="AE43:AI46" si="41">IF(C43&gt;0,((I43*((3*39)+C43))/(4*C43*39))*(1-(C43-I43)/(569-39)),0)</f>
        <v>5.704256252742429E-3</v>
      </c>
      <c r="AF43" s="3">
        <f t="shared" si="41"/>
        <v>9.1672184244720303E-2</v>
      </c>
      <c r="AG43" s="3">
        <f t="shared" si="41"/>
        <v>7.6974302057542909E-2</v>
      </c>
      <c r="AH43" s="3">
        <f t="shared" si="41"/>
        <v>0</v>
      </c>
      <c r="AI43" s="3">
        <f t="shared" si="41"/>
        <v>0</v>
      </c>
      <c r="AY43" t="s">
        <v>33</v>
      </c>
      <c r="AZ43" t="str">
        <f>IF(COUNTIF(W15:AA15,AZ30), B15, IF(COUNTIF(W16:AA16,AZ30), B16, IF(COUNTIF(W17:AA17,AZ30), B17, B18)))</f>
        <v>dE(class)</v>
      </c>
      <c r="BB43" t="str">
        <f t="shared" si="40"/>
        <v>1.31 (0.04)</v>
      </c>
    </row>
    <row r="44" spans="1:71" x14ac:dyDescent="0.3">
      <c r="A44" s="32" t="s">
        <v>35</v>
      </c>
      <c r="B44" t="s">
        <v>28</v>
      </c>
      <c r="C44" s="25">
        <v>556</v>
      </c>
      <c r="D44" s="25">
        <v>362</v>
      </c>
      <c r="E44" s="25">
        <v>2</v>
      </c>
      <c r="F44" s="25">
        <v>0</v>
      </c>
      <c r="G44" s="25">
        <v>0</v>
      </c>
      <c r="I44" s="25">
        <v>38</v>
      </c>
      <c r="J44" s="25">
        <v>31</v>
      </c>
      <c r="K44" s="25">
        <v>0</v>
      </c>
      <c r="L44" s="25">
        <v>0</v>
      </c>
      <c r="M44" s="25">
        <v>0</v>
      </c>
      <c r="O44" s="2">
        <f t="shared" si="32"/>
        <v>6.83453237410072E-2</v>
      </c>
      <c r="P44" s="2">
        <f t="shared" si="33"/>
        <v>8.5635359116022103E-2</v>
      </c>
      <c r="Q44" s="2">
        <f t="shared" si="34"/>
        <v>0</v>
      </c>
      <c r="R44" s="2">
        <f t="shared" si="35"/>
        <v>0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0.99714074893931004</v>
      </c>
      <c r="X44" s="3">
        <f t="shared" si="24"/>
        <v>1.2493979317183737</v>
      </c>
      <c r="Y44" s="3">
        <f t="shared" si="25"/>
        <v>0</v>
      </c>
      <c r="Z44" s="3">
        <f t="shared" si="19"/>
        <v>0</v>
      </c>
      <c r="AA44" s="3">
        <f t="shared" si="20"/>
        <v>0</v>
      </c>
      <c r="AB44" s="3">
        <f t="shared" si="37"/>
        <v>1.2493979317183737</v>
      </c>
      <c r="AC44" s="44">
        <f t="shared" si="11"/>
        <v>362</v>
      </c>
      <c r="AD44" s="3" t="str">
        <f t="shared" si="12"/>
        <v>4</v>
      </c>
      <c r="AE44" s="3">
        <f t="shared" si="41"/>
        <v>6.6758204466905412E-3</v>
      </c>
      <c r="AF44" s="3">
        <f t="shared" si="41"/>
        <v>9.872820593007188E-2</v>
      </c>
      <c r="AG44" s="3">
        <f t="shared" si="41"/>
        <v>0</v>
      </c>
      <c r="AH44" s="3">
        <f t="shared" si="41"/>
        <v>0</v>
      </c>
      <c r="AI44" s="3">
        <f t="shared" si="41"/>
        <v>0</v>
      </c>
      <c r="AY44" t="s">
        <v>34</v>
      </c>
      <c r="AZ44" t="str">
        <f>IF(COUNTIF(W19:AA19,AZ31), B19, IF(COUNTIF(W20:AA20,AZ31), B20, IF(COUNTIF(W21:AA21,AZ31), B21, B22)))</f>
        <v>dU</v>
      </c>
      <c r="BB44" t="str">
        <f>ROUND(AZ31, 2) &amp; " (" &amp; ROUND(BA31, 2) &amp; ")"</f>
        <v>5.08 (3)</v>
      </c>
    </row>
    <row r="45" spans="1:71" x14ac:dyDescent="0.3">
      <c r="A45" s="32" t="s">
        <v>35</v>
      </c>
      <c r="B45" t="s">
        <v>29</v>
      </c>
      <c r="C45" s="25">
        <v>564</v>
      </c>
      <c r="D45" s="25">
        <v>403</v>
      </c>
      <c r="E45" s="25">
        <v>76</v>
      </c>
      <c r="F45" s="25">
        <v>2</v>
      </c>
      <c r="G45" s="25">
        <v>0</v>
      </c>
      <c r="I45" s="25">
        <v>39</v>
      </c>
      <c r="J45" s="25">
        <v>30</v>
      </c>
      <c r="K45" s="25">
        <v>4</v>
      </c>
      <c r="L45" s="25">
        <v>0</v>
      </c>
      <c r="M45" s="25">
        <v>0</v>
      </c>
      <c r="O45" s="2">
        <f t="shared" si="32"/>
        <v>6.9148936170212769E-2</v>
      </c>
      <c r="P45" s="2">
        <f t="shared" si="33"/>
        <v>7.4441687344913146E-2</v>
      </c>
      <c r="Q45" s="2">
        <f t="shared" si="34"/>
        <v>5.2631578947368418E-2</v>
      </c>
      <c r="R45" s="2">
        <f t="shared" si="35"/>
        <v>0</v>
      </c>
      <c r="S45" s="2">
        <f t="shared" si="36"/>
        <v>0</v>
      </c>
      <c r="T45" s="2"/>
      <c r="U45" s="2">
        <f>39/569</f>
        <v>6.8541300527240778E-2</v>
      </c>
      <c r="V45" s="2"/>
      <c r="W45" s="3">
        <f t="shared" si="23"/>
        <v>1.0088652482269502</v>
      </c>
      <c r="X45" s="3">
        <f t="shared" si="24"/>
        <v>1.0860851307501429</v>
      </c>
      <c r="Y45" s="3">
        <f t="shared" si="25"/>
        <v>0.76788124156545201</v>
      </c>
      <c r="Z45" s="3">
        <f t="shared" si="19"/>
        <v>0</v>
      </c>
      <c r="AA45" s="3">
        <f t="shared" si="20"/>
        <v>0</v>
      </c>
      <c r="AB45" s="3">
        <f t="shared" si="37"/>
        <v>1.0860851307501429</v>
      </c>
      <c r="AC45" s="44">
        <f t="shared" si="11"/>
        <v>403</v>
      </c>
      <c r="AD45" s="3" t="str">
        <f t="shared" si="12"/>
        <v>4</v>
      </c>
      <c r="AE45" s="3">
        <f t="shared" si="41"/>
        <v>2.8477519068647122E-3</v>
      </c>
      <c r="AF45" s="3">
        <f t="shared" si="41"/>
        <v>7.350531391919099E-2</v>
      </c>
      <c r="AG45" s="3">
        <f t="shared" si="41"/>
        <v>5.6268937947190185E-2</v>
      </c>
      <c r="AH45" s="3">
        <f t="shared" si="41"/>
        <v>0</v>
      </c>
      <c r="AI45" s="3">
        <f t="shared" si="41"/>
        <v>0</v>
      </c>
      <c r="AY45" t="s">
        <v>35</v>
      </c>
      <c r="AZ45" t="str">
        <f>IF(COUNTIF(W23:AA23,AZ32), B23, IF(COUNTIF(W24:AA24,AZ32), B24, IF(COUNTIF(W25:AA25,AZ32), B25, B26)))</f>
        <v>dE(class)</v>
      </c>
      <c r="BB45" t="str">
        <f t="shared" ref="BB45:BB47" si="42">ROUND(AZ32, 2) &amp; " (" &amp; ROUND(BA32, 2) &amp; ")"</f>
        <v>2.92 (0.06)</v>
      </c>
    </row>
    <row r="46" spans="1:71" x14ac:dyDescent="0.3">
      <c r="A46" s="32" t="s">
        <v>35</v>
      </c>
      <c r="B46" s="1" t="s">
        <v>30</v>
      </c>
      <c r="C46" s="1">
        <v>556</v>
      </c>
      <c r="D46" s="1">
        <v>364</v>
      </c>
      <c r="E46" s="1">
        <v>1</v>
      </c>
      <c r="F46" s="1">
        <v>0</v>
      </c>
      <c r="G46" s="1">
        <v>0</v>
      </c>
      <c r="H46" s="1"/>
      <c r="I46" s="1">
        <v>38</v>
      </c>
      <c r="J46" s="1">
        <v>31</v>
      </c>
      <c r="K46" s="1">
        <v>0</v>
      </c>
      <c r="L46" s="1">
        <v>0</v>
      </c>
      <c r="M46" s="1">
        <v>0</v>
      </c>
      <c r="N46" s="1"/>
      <c r="O46" s="9">
        <f t="shared" si="32"/>
        <v>6.83453237410072E-2</v>
      </c>
      <c r="P46" s="9">
        <f t="shared" si="33"/>
        <v>8.5164835164835168E-2</v>
      </c>
      <c r="Q46" s="9">
        <f t="shared" si="34"/>
        <v>0</v>
      </c>
      <c r="R46" s="9">
        <f t="shared" si="35"/>
        <v>0</v>
      </c>
      <c r="S46" s="9">
        <f t="shared" si="36"/>
        <v>0</v>
      </c>
      <c r="T46" s="9"/>
      <c r="U46" s="9">
        <f>39/569</f>
        <v>6.8541300527240778E-2</v>
      </c>
      <c r="V46" s="9"/>
      <c r="W46" s="10">
        <f t="shared" si="23"/>
        <v>0.99714074893931004</v>
      </c>
      <c r="X46" s="10">
        <f t="shared" si="24"/>
        <v>1.2425331079177233</v>
      </c>
      <c r="Y46" s="10">
        <f t="shared" si="25"/>
        <v>0</v>
      </c>
      <c r="Z46" s="10">
        <f t="shared" si="19"/>
        <v>0</v>
      </c>
      <c r="AA46" s="10">
        <f t="shared" si="20"/>
        <v>0</v>
      </c>
      <c r="AB46" s="10">
        <f t="shared" si="37"/>
        <v>1.2425331079177233</v>
      </c>
      <c r="AC46" s="45">
        <f t="shared" si="11"/>
        <v>364</v>
      </c>
      <c r="AD46" s="10" t="str">
        <f t="shared" si="12"/>
        <v>4</v>
      </c>
      <c r="AE46" s="10">
        <f t="shared" si="41"/>
        <v>6.6758204466905412E-3</v>
      </c>
      <c r="AF46" s="10">
        <f t="shared" si="41"/>
        <v>9.7604793005736407E-2</v>
      </c>
      <c r="AG46" s="10">
        <f t="shared" si="41"/>
        <v>0</v>
      </c>
      <c r="AH46" s="10">
        <f t="shared" si="41"/>
        <v>0</v>
      </c>
      <c r="AI46" s="10">
        <f t="shared" si="41"/>
        <v>0</v>
      </c>
      <c r="AY46" t="s">
        <v>37</v>
      </c>
      <c r="AZ46" t="str">
        <f>IF(COUNTIF(W27:AA27,AZ33), B27, IF(COUNTIF(W28:AA28,AZ33), B28, IF(COUNTIF(W29:AA29,AZ33), B29, B30)))</f>
        <v>dE(class)</v>
      </c>
      <c r="BB46" t="str">
        <f t="shared" si="42"/>
        <v>1.62 (0.05)</v>
      </c>
    </row>
    <row r="47" spans="1:71" x14ac:dyDescent="0.3">
      <c r="A47" s="32" t="s">
        <v>37</v>
      </c>
      <c r="B47" t="s">
        <v>27</v>
      </c>
      <c r="C47" s="25">
        <v>414</v>
      </c>
      <c r="D47" s="25">
        <v>65</v>
      </c>
      <c r="E47" s="25">
        <v>0</v>
      </c>
      <c r="F47" s="25">
        <v>0</v>
      </c>
      <c r="G47" s="25">
        <v>0</v>
      </c>
      <c r="I47" s="25">
        <v>45</v>
      </c>
      <c r="J47" s="25">
        <v>3</v>
      </c>
      <c r="K47" s="25">
        <v>0</v>
      </c>
      <c r="L47" s="25">
        <v>0</v>
      </c>
      <c r="M47" s="25">
        <v>0</v>
      </c>
      <c r="O47" s="2">
        <f t="shared" si="32"/>
        <v>0.10869565217391304</v>
      </c>
      <c r="P47" s="2">
        <f t="shared" si="33"/>
        <v>4.6153846153846156E-2</v>
      </c>
      <c r="Q47" s="2">
        <f t="shared" si="34"/>
        <v>0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1.1044254658385093</v>
      </c>
      <c r="X47" s="3">
        <f t="shared" si="24"/>
        <v>0.46895604395604401</v>
      </c>
      <c r="Y47" s="3">
        <f t="shared" si="25"/>
        <v>0</v>
      </c>
      <c r="Z47" s="3">
        <f t="shared" si="19"/>
        <v>0</v>
      </c>
      <c r="AA47" s="3">
        <f t="shared" si="20"/>
        <v>0</v>
      </c>
      <c r="AB47" s="3">
        <f t="shared" si="37"/>
        <v>1.1044254658385093</v>
      </c>
      <c r="AC47" s="44">
        <f t="shared" si="11"/>
        <v>414</v>
      </c>
      <c r="AD47" s="3" t="str">
        <f t="shared" si="12"/>
        <v>3</v>
      </c>
      <c r="AE47" s="3">
        <f t="shared" ref="AE47:AI50" si="43">IF(C47&gt;0,((I47*((3*56)+C47))/(4*C47*56))*(1-(C47-I47)/(569-56)),0)</f>
        <v>7.9274272638117024E-2</v>
      </c>
      <c r="AF47" s="3">
        <f t="shared" si="43"/>
        <v>4.2206076087655038E-2</v>
      </c>
      <c r="AG47" s="3">
        <f t="shared" si="43"/>
        <v>0</v>
      </c>
      <c r="AH47" s="3">
        <f t="shared" si="43"/>
        <v>0</v>
      </c>
      <c r="AI47" s="3">
        <f t="shared" si="43"/>
        <v>0</v>
      </c>
      <c r="AY47" t="s">
        <v>38</v>
      </c>
      <c r="AZ47" t="str">
        <f>IF(COUNTIF(W31:AA31,AZ34), B31, IF(COUNTIF(W32:AA32,AZ34), B32, IF(COUNTIF(W33:AA33,AZ34), B33, B34)))</f>
        <v>dU(class)</v>
      </c>
      <c r="BB47" t="str">
        <f t="shared" si="42"/>
        <v>3.3 (0.18)</v>
      </c>
    </row>
    <row r="48" spans="1:71" x14ac:dyDescent="0.3">
      <c r="A48" s="32" t="s">
        <v>37</v>
      </c>
      <c r="B48" t="s">
        <v>28</v>
      </c>
      <c r="C48" s="25">
        <v>45</v>
      </c>
      <c r="D48" s="25">
        <v>4</v>
      </c>
      <c r="E48" s="25">
        <v>0</v>
      </c>
      <c r="F48" s="25">
        <v>0</v>
      </c>
      <c r="G48" s="25">
        <v>0</v>
      </c>
      <c r="I48" s="25">
        <v>4</v>
      </c>
      <c r="J48" s="25">
        <v>1</v>
      </c>
      <c r="K48" s="25">
        <v>0</v>
      </c>
      <c r="L48" s="25">
        <v>0</v>
      </c>
      <c r="M48" s="25">
        <v>0</v>
      </c>
      <c r="O48" s="2">
        <f t="shared" si="32"/>
        <v>8.8888888888888892E-2</v>
      </c>
      <c r="P48" s="2">
        <f t="shared" si="33"/>
        <v>0.25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0.90317460317460319</v>
      </c>
      <c r="X48" s="3">
        <f t="shared" si="24"/>
        <v>2.5401785714285716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3">
        <f t="shared" si="37"/>
        <v>2.5401785714285716</v>
      </c>
      <c r="AC48" s="44">
        <f t="shared" si="11"/>
        <v>4</v>
      </c>
      <c r="AD48" s="3" t="str">
        <f t="shared" si="12"/>
        <v>4</v>
      </c>
      <c r="AE48" s="3">
        <f t="shared" si="43"/>
        <v>7.7768495312354968E-2</v>
      </c>
      <c r="AF48" s="3">
        <f t="shared" si="43"/>
        <v>0.1908416875522139</v>
      </c>
      <c r="AG48" s="3">
        <f t="shared" si="43"/>
        <v>0</v>
      </c>
      <c r="AH48" s="3">
        <f t="shared" si="43"/>
        <v>0</v>
      </c>
      <c r="AI48" s="3">
        <f t="shared" si="43"/>
        <v>0</v>
      </c>
    </row>
    <row r="49" spans="1:53" x14ac:dyDescent="0.3">
      <c r="A49" s="32" t="s">
        <v>37</v>
      </c>
      <c r="B49" t="s">
        <v>29</v>
      </c>
      <c r="C49" s="25">
        <v>414</v>
      </c>
      <c r="D49" s="25">
        <v>90</v>
      </c>
      <c r="E49" s="25">
        <v>5</v>
      </c>
      <c r="F49" s="25">
        <v>0</v>
      </c>
      <c r="G49" s="25">
        <v>0</v>
      </c>
      <c r="I49" s="25">
        <v>49</v>
      </c>
      <c r="J49" s="25">
        <v>8</v>
      </c>
      <c r="K49" s="25">
        <v>0</v>
      </c>
      <c r="L49" s="25">
        <v>0</v>
      </c>
      <c r="M49" s="25">
        <v>0</v>
      </c>
      <c r="O49" s="2">
        <f t="shared" si="32"/>
        <v>0.11835748792270531</v>
      </c>
      <c r="P49" s="2">
        <f t="shared" si="33"/>
        <v>8.8888888888888892E-2</v>
      </c>
      <c r="Q49" s="2">
        <f t="shared" si="34"/>
        <v>0</v>
      </c>
      <c r="R49" s="2">
        <f t="shared" si="35"/>
        <v>0</v>
      </c>
      <c r="S49" s="2">
        <f t="shared" si="36"/>
        <v>0</v>
      </c>
      <c r="T49" s="2"/>
      <c r="U49" s="2">
        <f>56/569</f>
        <v>9.8418277680140595E-2</v>
      </c>
      <c r="V49" s="2"/>
      <c r="W49" s="3">
        <f t="shared" si="23"/>
        <v>1.2025966183574879</v>
      </c>
      <c r="X49" s="3">
        <f t="shared" si="24"/>
        <v>0.90317460317460319</v>
      </c>
      <c r="Y49" s="3">
        <f t="shared" si="25"/>
        <v>0</v>
      </c>
      <c r="Z49" s="3">
        <f t="shared" si="19"/>
        <v>0</v>
      </c>
      <c r="AA49" s="3">
        <f t="shared" si="20"/>
        <v>0</v>
      </c>
      <c r="AB49" s="27">
        <f t="shared" si="37"/>
        <v>1.2025966183574879</v>
      </c>
      <c r="AC49" s="43">
        <f t="shared" si="11"/>
        <v>414</v>
      </c>
      <c r="AD49" s="27" t="str">
        <f t="shared" si="12"/>
        <v>3</v>
      </c>
      <c r="AE49" s="3">
        <f t="shared" si="43"/>
        <v>8.8718676724016163E-2</v>
      </c>
      <c r="AF49" s="3">
        <f t="shared" si="43"/>
        <v>8.6015965840527245E-2</v>
      </c>
      <c r="AG49" s="3">
        <f t="shared" si="43"/>
        <v>0</v>
      </c>
      <c r="AH49" s="3">
        <f t="shared" si="43"/>
        <v>0</v>
      </c>
      <c r="AI49" s="3">
        <f t="shared" si="43"/>
        <v>0</v>
      </c>
      <c r="AY49" t="s">
        <v>46</v>
      </c>
      <c r="AZ49" t="s">
        <v>47</v>
      </c>
    </row>
    <row r="50" spans="1:53" x14ac:dyDescent="0.3">
      <c r="A50" s="32" t="s">
        <v>37</v>
      </c>
      <c r="B50" s="1" t="s">
        <v>30</v>
      </c>
      <c r="C50" s="1">
        <v>461</v>
      </c>
      <c r="D50" s="1">
        <v>37</v>
      </c>
      <c r="E50" s="1">
        <v>3</v>
      </c>
      <c r="F50" s="1">
        <v>0</v>
      </c>
      <c r="G50" s="1">
        <v>0</v>
      </c>
      <c r="H50" s="1"/>
      <c r="I50" s="1">
        <v>45</v>
      </c>
      <c r="J50" s="1">
        <v>3</v>
      </c>
      <c r="K50" s="1">
        <v>0</v>
      </c>
      <c r="L50" s="1">
        <v>0</v>
      </c>
      <c r="M50" s="1">
        <v>0</v>
      </c>
      <c r="N50" s="1"/>
      <c r="O50" s="9">
        <f t="shared" si="32"/>
        <v>9.7613882863340565E-2</v>
      </c>
      <c r="P50" s="9">
        <f t="shared" si="33"/>
        <v>8.1081081081081086E-2</v>
      </c>
      <c r="Q50" s="9">
        <f t="shared" si="34"/>
        <v>0</v>
      </c>
      <c r="R50" s="9">
        <f t="shared" si="35"/>
        <v>0</v>
      </c>
      <c r="S50" s="9">
        <f t="shared" si="36"/>
        <v>0</v>
      </c>
      <c r="T50" s="9"/>
      <c r="U50" s="9">
        <f>56/569</f>
        <v>9.8418277680140595E-2</v>
      </c>
      <c r="V50" s="9"/>
      <c r="W50" s="10">
        <f t="shared" si="23"/>
        <v>0.99182677409358544</v>
      </c>
      <c r="X50" s="10">
        <f t="shared" si="24"/>
        <v>0.82384169884169889</v>
      </c>
      <c r="Y50" s="10">
        <f t="shared" si="25"/>
        <v>0</v>
      </c>
      <c r="Z50" s="10">
        <f t="shared" si="19"/>
        <v>0</v>
      </c>
      <c r="AA50" s="10">
        <f t="shared" si="20"/>
        <v>0</v>
      </c>
      <c r="AB50" s="10">
        <f t="shared" si="37"/>
        <v>0.99182677409358544</v>
      </c>
      <c r="AC50" s="45">
        <f t="shared" si="11"/>
        <v>461</v>
      </c>
      <c r="AD50" s="10" t="str">
        <f t="shared" si="12"/>
        <v>3</v>
      </c>
      <c r="AE50" s="10">
        <f t="shared" si="43"/>
        <v>5.1828493413577335E-2</v>
      </c>
      <c r="AF50" s="10">
        <f t="shared" si="43"/>
        <v>6.9285686062001847E-2</v>
      </c>
      <c r="AG50" s="10">
        <f t="shared" si="43"/>
        <v>0</v>
      </c>
      <c r="AH50" s="10">
        <f t="shared" si="43"/>
        <v>0</v>
      </c>
      <c r="AI50" s="10">
        <f t="shared" si="43"/>
        <v>0</v>
      </c>
      <c r="AY50" t="s">
        <v>27</v>
      </c>
      <c r="AZ50">
        <f>COUNTIF(AZ$40:AZ$47, AY50)</f>
        <v>3</v>
      </c>
    </row>
    <row r="51" spans="1:53" x14ac:dyDescent="0.3">
      <c r="A51" s="32" t="s">
        <v>38</v>
      </c>
      <c r="B51" t="s">
        <v>27</v>
      </c>
      <c r="C51" s="25">
        <v>559</v>
      </c>
      <c r="D51" s="25">
        <v>322</v>
      </c>
      <c r="E51" s="25">
        <v>44</v>
      </c>
      <c r="F51" s="25">
        <v>2</v>
      </c>
      <c r="G51" s="25">
        <v>0</v>
      </c>
      <c r="I51" s="25">
        <v>53</v>
      </c>
      <c r="J51" s="25">
        <v>37</v>
      </c>
      <c r="K51" s="25">
        <v>3</v>
      </c>
      <c r="L51" s="25">
        <v>0</v>
      </c>
      <c r="M51" s="25">
        <v>0</v>
      </c>
      <c r="O51" s="2">
        <f t="shared" si="32"/>
        <v>9.4812164579606437E-2</v>
      </c>
      <c r="P51" s="2">
        <f t="shared" si="33"/>
        <v>0.11490683229813664</v>
      </c>
      <c r="Q51" s="2">
        <f t="shared" si="34"/>
        <v>6.8181818181818177E-2</v>
      </c>
      <c r="R51" s="2">
        <f t="shared" si="35"/>
        <v>0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1.0178890876565296</v>
      </c>
      <c r="X51" s="3">
        <f t="shared" si="24"/>
        <v>1.2336224071252784</v>
      </c>
      <c r="Y51" s="3">
        <f t="shared" si="25"/>
        <v>0.73198970840480271</v>
      </c>
      <c r="Z51" s="3">
        <f t="shared" si="19"/>
        <v>0</v>
      </c>
      <c r="AA51" s="3">
        <f t="shared" si="20"/>
        <v>0</v>
      </c>
      <c r="AB51" s="3">
        <f t="shared" si="37"/>
        <v>1.2336224071252784</v>
      </c>
      <c r="AC51" s="44">
        <f t="shared" si="11"/>
        <v>322</v>
      </c>
      <c r="AD51" s="3" t="str">
        <f t="shared" si="12"/>
        <v>4</v>
      </c>
      <c r="AE51" s="3">
        <f t="shared" ref="AE51:AI54" si="44">IF(C51&gt;0,((I51*((3*53)+C51))/(4*C51*53))*(1-(C51-I51)/(569-53)),0)</f>
        <v>6.2230450278043681E-3</v>
      </c>
      <c r="AF51" s="3">
        <f t="shared" si="44"/>
        <v>0.11671249308430473</v>
      </c>
      <c r="AG51" s="3">
        <f t="shared" si="44"/>
        <v>6.0099749690853237E-2</v>
      </c>
      <c r="AH51" s="3">
        <f t="shared" si="44"/>
        <v>0</v>
      </c>
      <c r="AI51" s="3">
        <f t="shared" si="44"/>
        <v>0</v>
      </c>
      <c r="AY51" t="s">
        <v>28</v>
      </c>
      <c r="AZ51">
        <f t="shared" ref="AZ51:AZ53" si="45">COUNTIF(AZ$40:AZ$47, AY51)</f>
        <v>0</v>
      </c>
    </row>
    <row r="52" spans="1:53" x14ac:dyDescent="0.3">
      <c r="A52" s="32" t="s">
        <v>38</v>
      </c>
      <c r="B52" t="s">
        <v>28</v>
      </c>
      <c r="C52" s="25">
        <v>505</v>
      </c>
      <c r="D52" s="25">
        <v>29</v>
      </c>
      <c r="E52" s="25">
        <v>1</v>
      </c>
      <c r="F52" s="25">
        <v>0</v>
      </c>
      <c r="G52" s="25">
        <v>0</v>
      </c>
      <c r="I52" s="25">
        <v>51</v>
      </c>
      <c r="J52" s="25">
        <v>1</v>
      </c>
      <c r="K52" s="25">
        <v>0</v>
      </c>
      <c r="L52" s="25">
        <v>0</v>
      </c>
      <c r="M52" s="25">
        <v>0</v>
      </c>
      <c r="O52" s="2">
        <f t="shared" si="32"/>
        <v>0.100990099009901</v>
      </c>
      <c r="P52" s="2">
        <f t="shared" si="33"/>
        <v>3.4482758620689655E-2</v>
      </c>
      <c r="Q52" s="2">
        <f t="shared" si="34"/>
        <v>0</v>
      </c>
      <c r="R52" s="2">
        <f t="shared" si="35"/>
        <v>0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1.0842144591817673</v>
      </c>
      <c r="X52" s="3">
        <f t="shared" si="24"/>
        <v>0.37020169160702671</v>
      </c>
      <c r="Y52" s="3">
        <f t="shared" si="25"/>
        <v>0</v>
      </c>
      <c r="Z52" s="3">
        <f t="shared" si="19"/>
        <v>0</v>
      </c>
      <c r="AA52" s="3">
        <f t="shared" si="20"/>
        <v>0</v>
      </c>
      <c r="AB52" s="3">
        <f t="shared" si="37"/>
        <v>1.0842144591817673</v>
      </c>
      <c r="AC52" s="44">
        <f t="shared" si="11"/>
        <v>505</v>
      </c>
      <c r="AD52" s="3" t="str">
        <f t="shared" si="12"/>
        <v>3</v>
      </c>
      <c r="AE52" s="3">
        <f t="shared" si="44"/>
        <v>3.8006073534075653E-2</v>
      </c>
      <c r="AF52" s="3">
        <f t="shared" si="44"/>
        <v>2.8919721797723341E-2</v>
      </c>
      <c r="AG52" s="3">
        <f t="shared" si="44"/>
        <v>0</v>
      </c>
      <c r="AH52" s="3">
        <f t="shared" si="44"/>
        <v>0</v>
      </c>
      <c r="AI52" s="3">
        <f t="shared" si="44"/>
        <v>0</v>
      </c>
      <c r="AY52" t="s">
        <v>29</v>
      </c>
      <c r="AZ52">
        <f t="shared" si="45"/>
        <v>3</v>
      </c>
    </row>
    <row r="53" spans="1:53" x14ac:dyDescent="0.3">
      <c r="A53" s="32" t="s">
        <v>38</v>
      </c>
      <c r="B53" t="s">
        <v>29</v>
      </c>
      <c r="C53" s="25">
        <v>505</v>
      </c>
      <c r="D53" s="25">
        <v>112</v>
      </c>
      <c r="E53" s="25">
        <v>3</v>
      </c>
      <c r="F53" s="25">
        <v>0</v>
      </c>
      <c r="G53" s="25">
        <v>0</v>
      </c>
      <c r="I53" s="25">
        <v>49</v>
      </c>
      <c r="J53" s="25">
        <v>10</v>
      </c>
      <c r="K53" s="25">
        <v>0</v>
      </c>
      <c r="L53" s="25">
        <v>0</v>
      </c>
      <c r="M53" s="25">
        <v>0</v>
      </c>
      <c r="O53" s="2">
        <f t="shared" si="32"/>
        <v>9.7029702970297033E-2</v>
      </c>
      <c r="P53" s="2">
        <f t="shared" si="33"/>
        <v>8.9285714285714288E-2</v>
      </c>
      <c r="Q53" s="2">
        <f t="shared" si="34"/>
        <v>0</v>
      </c>
      <c r="R53" s="2">
        <f t="shared" si="35"/>
        <v>0</v>
      </c>
      <c r="S53" s="2">
        <f t="shared" si="36"/>
        <v>0</v>
      </c>
      <c r="T53" s="2"/>
      <c r="U53" s="2">
        <f>53/569</f>
        <v>9.3145869947275917E-2</v>
      </c>
      <c r="V53" s="2"/>
      <c r="W53" s="3">
        <f t="shared" si="23"/>
        <v>1.0416962450962077</v>
      </c>
      <c r="X53" s="3">
        <f t="shared" si="24"/>
        <v>0.95855795148247991</v>
      </c>
      <c r="Y53" s="3">
        <f t="shared" si="25"/>
        <v>0</v>
      </c>
      <c r="Z53" s="3">
        <f t="shared" si="19"/>
        <v>0</v>
      </c>
      <c r="AA53" s="3">
        <f t="shared" si="20"/>
        <v>0</v>
      </c>
      <c r="AB53" s="3">
        <f t="shared" si="37"/>
        <v>1.0416962450962077</v>
      </c>
      <c r="AC53" s="44">
        <f t="shared" si="11"/>
        <v>505</v>
      </c>
      <c r="AD53" s="3" t="str">
        <f t="shared" si="12"/>
        <v>3</v>
      </c>
      <c r="AE53" s="3">
        <f t="shared" si="44"/>
        <v>3.5337715430165215E-2</v>
      </c>
      <c r="AF53" s="3">
        <f t="shared" si="44"/>
        <v>9.1572705760671974E-2</v>
      </c>
      <c r="AG53" s="3">
        <f t="shared" si="44"/>
        <v>0</v>
      </c>
      <c r="AH53" s="3">
        <f t="shared" si="44"/>
        <v>0</v>
      </c>
      <c r="AI53" s="3">
        <f t="shared" si="44"/>
        <v>0</v>
      </c>
      <c r="AY53" t="s">
        <v>30</v>
      </c>
      <c r="AZ53">
        <f t="shared" si="45"/>
        <v>2</v>
      </c>
    </row>
    <row r="54" spans="1:53" x14ac:dyDescent="0.3">
      <c r="A54" s="33" t="s">
        <v>38</v>
      </c>
      <c r="B54" s="1" t="s">
        <v>30</v>
      </c>
      <c r="C54" s="1">
        <v>491</v>
      </c>
      <c r="D54" s="1">
        <v>32</v>
      </c>
      <c r="E54" s="1">
        <v>3</v>
      </c>
      <c r="F54" s="1">
        <v>0</v>
      </c>
      <c r="G54" s="1">
        <v>0</v>
      </c>
      <c r="H54" s="1"/>
      <c r="I54" s="1">
        <v>50</v>
      </c>
      <c r="J54" s="1">
        <v>1</v>
      </c>
      <c r="K54" s="1">
        <v>0</v>
      </c>
      <c r="L54" s="1">
        <v>0</v>
      </c>
      <c r="M54" s="1">
        <v>0</v>
      </c>
      <c r="N54" s="1"/>
      <c r="O54" s="9">
        <f t="shared" si="32"/>
        <v>0.10183299389002037</v>
      </c>
      <c r="P54" s="9">
        <f t="shared" si="33"/>
        <v>3.125E-2</v>
      </c>
      <c r="Q54" s="9">
        <f t="shared" si="34"/>
        <v>0</v>
      </c>
      <c r="R54" s="9">
        <f t="shared" si="35"/>
        <v>0</v>
      </c>
      <c r="S54" s="9">
        <f t="shared" si="36"/>
        <v>0</v>
      </c>
      <c r="T54" s="9"/>
      <c r="U54" s="9">
        <f>53/569</f>
        <v>9.3145869947275917E-2</v>
      </c>
      <c r="V54" s="9"/>
      <c r="W54" s="10">
        <f t="shared" si="23"/>
        <v>1.0932636513853131</v>
      </c>
      <c r="X54" s="10">
        <f t="shared" si="24"/>
        <v>0.33549528301886794</v>
      </c>
      <c r="Y54" s="10">
        <f t="shared" si="25"/>
        <v>0</v>
      </c>
      <c r="Z54" s="10">
        <f t="shared" si="19"/>
        <v>0</v>
      </c>
      <c r="AA54" s="10">
        <f t="shared" si="20"/>
        <v>0</v>
      </c>
      <c r="AB54" s="10">
        <f t="shared" si="37"/>
        <v>1.0932636513853131</v>
      </c>
      <c r="AC54" s="45">
        <f t="shared" si="11"/>
        <v>491</v>
      </c>
      <c r="AD54" s="10" t="str">
        <f t="shared" si="12"/>
        <v>3</v>
      </c>
      <c r="AE54" s="10">
        <f t="shared" si="44"/>
        <v>4.5381366572861764E-2</v>
      </c>
      <c r="AF54" s="10">
        <f t="shared" si="44"/>
        <v>2.6463029746233727E-2</v>
      </c>
      <c r="AG54" s="10">
        <f t="shared" si="44"/>
        <v>0</v>
      </c>
      <c r="AH54" s="10">
        <f t="shared" si="44"/>
        <v>0</v>
      </c>
      <c r="AI54" s="10">
        <f t="shared" si="44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5</v>
      </c>
      <c r="BA56">
        <f>SUM(COUNTIF(AB3, "&gt;2"), COUNTIF(AB7, "&gt;2"), COUNTIF(AB11, "&gt;2"), COUNTIF(AB15, "&gt;2"), COUNTIF(AB19, "&gt;2"), COUNTIF(AB23, "&gt;2"), COUNTIF(AB27, "&gt;2"), COUNTIF(AB31, "&gt;2"))</f>
        <v>3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1</v>
      </c>
      <c r="BA57">
        <f t="shared" ref="BA57:BA59" si="46">SUM(COUNTIF(AB4, "&gt;2"), COUNTIF(AB8, "&gt;2"), COUNTIF(AB12, "&gt;2"), COUNTIF(AB16, "&gt;2"), COUNTIF(AB20, "&gt;2"), COUNTIF(AB24, "&gt;2"), COUNTIF(AB28, "&gt;2"), COUNTIF(AB32, "&gt;2"))</f>
        <v>1</v>
      </c>
    </row>
    <row r="58" spans="1:53" x14ac:dyDescent="0.3">
      <c r="AY58" t="s">
        <v>29</v>
      </c>
      <c r="AZ58">
        <f t="shared" ref="AZ58:AZ59" si="47">SUM(COUNTIF(AB5, "&gt;1.5"), COUNTIF(AB9, "&gt;1.5"), COUNTIF(AB13, "&gt;1.5"), COUNTIF(AB17, "&gt;1.5"), COUNTIF(AB21, "&gt;1.5"), COUNTIF(AB25, "&gt;1.5"), COUNTIF(AB29, "&gt;1.5"), COUNTIF(AB33, "&gt;1.5"))</f>
        <v>4</v>
      </c>
      <c r="BA58">
        <f t="shared" si="46"/>
        <v>4</v>
      </c>
    </row>
    <row r="59" spans="1:53" x14ac:dyDescent="0.3">
      <c r="AY59" t="s">
        <v>30</v>
      </c>
      <c r="AZ59">
        <f t="shared" si="47"/>
        <v>2</v>
      </c>
      <c r="BA59">
        <f t="shared" si="46"/>
        <v>2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153A5-96E8-498F-85C4-F03821904A7D}">
  <sheetPr codeName="Sheet5"/>
  <dimension ref="A1:BS59"/>
  <sheetViews>
    <sheetView topLeftCell="U1" zoomScale="70" zoomScaleNormal="70" workbookViewId="0">
      <selection activeCell="AD3" sqref="AD3:AD54"/>
    </sheetView>
  </sheetViews>
  <sheetFormatPr defaultRowHeight="14.4" x14ac:dyDescent="0.3"/>
  <cols>
    <col min="3" max="5" width="9.6640625" bestFit="1" customWidth="1"/>
    <col min="6" max="7" width="9.6640625" customWidth="1"/>
    <col min="38" max="38" width="12.77734375" bestFit="1" customWidth="1"/>
    <col min="45" max="47" width="9.33203125" bestFit="1" customWidth="1"/>
    <col min="48" max="50" width="9.33203125" customWidth="1"/>
  </cols>
  <sheetData>
    <row r="1" spans="1:61" x14ac:dyDescent="0.3">
      <c r="A1" t="s">
        <v>0</v>
      </c>
      <c r="E1" t="s">
        <v>1</v>
      </c>
      <c r="K1" t="s">
        <v>2</v>
      </c>
      <c r="P1" t="s">
        <v>3</v>
      </c>
      <c r="U1" t="s">
        <v>4</v>
      </c>
      <c r="Y1" t="s">
        <v>5</v>
      </c>
      <c r="AG1" t="s">
        <v>6</v>
      </c>
      <c r="AN1" t="s">
        <v>7</v>
      </c>
      <c r="AU1" t="s">
        <v>8</v>
      </c>
      <c r="BA1" t="s">
        <v>9</v>
      </c>
      <c r="BG1" t="s">
        <v>10</v>
      </c>
    </row>
    <row r="2" spans="1:61" s="1" customFormat="1" x14ac:dyDescent="0.3">
      <c r="C2" s="1" t="s">
        <v>11</v>
      </c>
      <c r="D2" s="1" t="s">
        <v>12</v>
      </c>
      <c r="E2" s="1" t="s">
        <v>13</v>
      </c>
      <c r="F2" s="1" t="s">
        <v>14</v>
      </c>
      <c r="G2" s="1" t="s">
        <v>15</v>
      </c>
      <c r="I2" s="1" t="s">
        <v>16</v>
      </c>
      <c r="J2" s="1" t="s">
        <v>17</v>
      </c>
      <c r="K2" s="1" t="s">
        <v>18</v>
      </c>
      <c r="L2" s="1" t="s">
        <v>19</v>
      </c>
      <c r="M2" s="1" t="s">
        <v>20</v>
      </c>
      <c r="O2" s="1" t="s">
        <v>16</v>
      </c>
      <c r="P2" s="1" t="s">
        <v>17</v>
      </c>
      <c r="Q2" s="1" t="s">
        <v>18</v>
      </c>
      <c r="R2" s="1" t="s">
        <v>19</v>
      </c>
      <c r="S2" s="1" t="s">
        <v>20</v>
      </c>
      <c r="W2" s="1" t="s">
        <v>16</v>
      </c>
      <c r="X2" s="1" t="s">
        <v>17</v>
      </c>
      <c r="Y2" s="1" t="s">
        <v>18</v>
      </c>
      <c r="Z2" s="1" t="s">
        <v>19</v>
      </c>
      <c r="AA2" s="1" t="s">
        <v>20</v>
      </c>
      <c r="AB2" s="1" t="s">
        <v>51</v>
      </c>
      <c r="AC2" s="1" t="s">
        <v>89</v>
      </c>
      <c r="AD2" s="1" t="s">
        <v>90</v>
      </c>
      <c r="AE2" s="1" t="s">
        <v>16</v>
      </c>
      <c r="AF2" s="1" t="s">
        <v>17</v>
      </c>
      <c r="AG2" s="1" t="s">
        <v>18</v>
      </c>
      <c r="AH2" s="1" t="s">
        <v>19</v>
      </c>
      <c r="AI2" s="1" t="s">
        <v>20</v>
      </c>
      <c r="AL2" s="1" t="s">
        <v>21</v>
      </c>
      <c r="AM2" s="1" t="s">
        <v>22</v>
      </c>
      <c r="AN2" s="1" t="s">
        <v>23</v>
      </c>
      <c r="AO2" s="1" t="s">
        <v>24</v>
      </c>
      <c r="AP2" s="1" t="s">
        <v>25</v>
      </c>
      <c r="AS2" s="1" t="s">
        <v>21</v>
      </c>
      <c r="AT2" s="1" t="s">
        <v>22</v>
      </c>
      <c r="AU2" s="1" t="s">
        <v>23</v>
      </c>
      <c r="AV2" s="1" t="s">
        <v>24</v>
      </c>
      <c r="AW2" s="1" t="s">
        <v>25</v>
      </c>
      <c r="AY2" s="1" t="s">
        <v>21</v>
      </c>
      <c r="AZ2" s="1" t="s">
        <v>22</v>
      </c>
      <c r="BA2" s="1" t="s">
        <v>23</v>
      </c>
      <c r="BB2" s="1" t="s">
        <v>24</v>
      </c>
      <c r="BC2" s="1" t="s">
        <v>25</v>
      </c>
      <c r="BE2" s="1" t="s">
        <v>21</v>
      </c>
      <c r="BF2" s="1" t="s">
        <v>22</v>
      </c>
      <c r="BG2" s="1" t="s">
        <v>23</v>
      </c>
      <c r="BH2" s="1" t="s">
        <v>24</v>
      </c>
      <c r="BI2" s="1" t="s">
        <v>25</v>
      </c>
    </row>
    <row r="3" spans="1:61" x14ac:dyDescent="0.3">
      <c r="A3" s="32" t="s">
        <v>53</v>
      </c>
      <c r="B3" t="s">
        <v>27</v>
      </c>
      <c r="C3">
        <v>565</v>
      </c>
      <c r="D3">
        <v>248</v>
      </c>
      <c r="E3">
        <v>15</v>
      </c>
      <c r="F3">
        <v>2</v>
      </c>
      <c r="G3">
        <v>0</v>
      </c>
      <c r="I3">
        <v>65</v>
      </c>
      <c r="J3">
        <v>21</v>
      </c>
      <c r="K3">
        <v>3</v>
      </c>
      <c r="L3">
        <v>0</v>
      </c>
      <c r="M3">
        <v>0</v>
      </c>
      <c r="O3" s="28">
        <f t="shared" ref="O3:O34" si="0">IF(I3&gt;0, I3/C3, 0)</f>
        <v>0.11504424778761062</v>
      </c>
      <c r="P3" s="28">
        <f t="shared" ref="P3:P34" si="1">IF(J3&gt;0, J3/D3, 0)</f>
        <v>8.4677419354838704E-2</v>
      </c>
      <c r="Q3" s="28">
        <f t="shared" ref="Q3:Q34" si="2">IF(K3&gt;0, K3/E3, 0)</f>
        <v>0.2</v>
      </c>
      <c r="R3" s="28">
        <f t="shared" ref="R3:R34" si="3">IF(L3&gt;0, L3/F3, 0)</f>
        <v>0</v>
      </c>
      <c r="S3" s="28">
        <f t="shared" ref="S3:S34" si="4">IF(M3&gt;0, M3/G3, 0)</f>
        <v>0</v>
      </c>
      <c r="T3" s="28"/>
      <c r="U3" s="28">
        <f>65/569</f>
        <v>0.11423550087873462</v>
      </c>
      <c r="V3" s="28"/>
      <c r="W3" s="29">
        <f t="shared" ref="W3:AA10" si="5">O3/$U3</f>
        <v>1.0070796460176992</v>
      </c>
      <c r="X3" s="29">
        <f t="shared" si="5"/>
        <v>0.74125310173697267</v>
      </c>
      <c r="Y3" s="29">
        <f t="shared" si="5"/>
        <v>1.7507692307692309</v>
      </c>
      <c r="Z3" s="29">
        <f t="shared" si="5"/>
        <v>0</v>
      </c>
      <c r="AA3" s="29">
        <f t="shared" si="5"/>
        <v>0</v>
      </c>
      <c r="AB3" s="29">
        <f t="shared" ref="AB3:AB34" si="6">MAX(W3:AA3)</f>
        <v>1.7507692307692309</v>
      </c>
      <c r="AC3" s="41">
        <f>INDEX(C3:AA3, 1, MATCH(AB3, W3:AA3, 0))</f>
        <v>15</v>
      </c>
      <c r="AD3" s="29" t="str">
        <f>LEFT(INDEX(C$2:G$2, 1, MATCH(AB3, W3:AA3, 0)),1)</f>
        <v>5</v>
      </c>
      <c r="AE3" s="29">
        <f t="shared" ref="AE3:AI6" si="7">IF(C3&gt;0,((I3*((3*65)+C3))/(4*C3*65))*(1-(C3-I3)/(569-65)),0)</f>
        <v>2.6689141733389427E-3</v>
      </c>
      <c r="AF3" s="29">
        <f t="shared" si="7"/>
        <v>7.9295259511993385E-2</v>
      </c>
      <c r="AG3" s="29">
        <f t="shared" si="7"/>
        <v>0.15769230769230769</v>
      </c>
      <c r="AH3" s="29">
        <f t="shared" si="7"/>
        <v>0</v>
      </c>
      <c r="AI3" s="29">
        <f t="shared" si="7"/>
        <v>0</v>
      </c>
      <c r="AJ3" s="2"/>
      <c r="AK3" t="s">
        <v>27</v>
      </c>
      <c r="AL3" s="2">
        <f t="shared" ref="AL3:AP6" si="8">AVERAGE(O7,O11,O19,O23,O27,O31)</f>
        <v>0.10901924107917212</v>
      </c>
      <c r="AM3" s="2">
        <f t="shared" si="8"/>
        <v>0.1076145923506618</v>
      </c>
      <c r="AN3" s="2">
        <f t="shared" si="8"/>
        <v>0.18964646464646462</v>
      </c>
      <c r="AO3" s="2">
        <f t="shared" si="8"/>
        <v>0.23737373737373738</v>
      </c>
      <c r="AP3" s="2">
        <f t="shared" si="8"/>
        <v>0</v>
      </c>
      <c r="AR3" t="s">
        <v>27</v>
      </c>
      <c r="AS3" s="4">
        <f>AVERAGE(W3,W7,W11,W15,W19,W23,W27,W31)</f>
        <v>0.99517845787277559</v>
      </c>
      <c r="AT3" s="4">
        <f>AVERAGE(X3,X7,X11,X15,X19,X23,X27,X31)</f>
        <v>0.91658110061322395</v>
      </c>
      <c r="AU3" s="4">
        <f>AVERAGE(Y3,Y7,Y11,Y15,Y19,Y23,Y27,Y31)</f>
        <v>1.4767411172728779</v>
      </c>
      <c r="AV3" s="4">
        <f>AVERAGE(Z3,Z7,Z11,Z15,Z19,Z23,Z27,Z31)</f>
        <v>1.5085350551138279</v>
      </c>
      <c r="AW3" s="4">
        <f>AVERAGE(AA3,AA7,AA11,AA15,AA19,AA23,AA27,AA31)</f>
        <v>0</v>
      </c>
      <c r="AX3" s="4"/>
      <c r="AY3" s="4">
        <f t="shared" ref="AY3:BC6" si="9">AVERAGE(AE3,AE7,AE11,AE15,AE19,AE23,AE27,AE31)</f>
        <v>7.9334302019093538E-3</v>
      </c>
      <c r="AZ3" s="4">
        <f t="shared" si="9"/>
        <v>6.8168593198331795E-2</v>
      </c>
      <c r="BA3" s="4">
        <f t="shared" si="9"/>
        <v>0.14478006856346756</v>
      </c>
      <c r="BB3" s="4">
        <f t="shared" si="9"/>
        <v>0.1357710565883874</v>
      </c>
      <c r="BC3" s="4">
        <f t="shared" si="9"/>
        <v>0</v>
      </c>
      <c r="BE3" s="5">
        <f>MAX(AE3,AE7,AE11,AE15,AE19,AE23,AE27,AE31)</f>
        <v>2.7739447291563333E-2</v>
      </c>
      <c r="BF3" s="5">
        <f t="shared" ref="BF3:BI6" si="10">MAX(AF3,AF7,AF11,AF15,AF19,AF23,AF27,AF31)</f>
        <v>0.12520603349169634</v>
      </c>
      <c r="BG3" s="5">
        <f t="shared" si="10"/>
        <v>0.35471673254281949</v>
      </c>
      <c r="BH3" s="5">
        <f t="shared" si="10"/>
        <v>0.75362318840579712</v>
      </c>
      <c r="BI3" s="5">
        <f t="shared" si="10"/>
        <v>0</v>
      </c>
    </row>
    <row r="4" spans="1:61" x14ac:dyDescent="0.3">
      <c r="A4" s="32" t="s">
        <v>53</v>
      </c>
      <c r="B4" t="s">
        <v>28</v>
      </c>
      <c r="C4">
        <v>568</v>
      </c>
      <c r="D4">
        <v>443</v>
      </c>
      <c r="E4">
        <v>61</v>
      </c>
      <c r="F4">
        <v>1</v>
      </c>
      <c r="G4">
        <v>0</v>
      </c>
      <c r="I4">
        <v>65</v>
      </c>
      <c r="J4">
        <v>52</v>
      </c>
      <c r="K4">
        <v>3</v>
      </c>
      <c r="L4">
        <v>0</v>
      </c>
      <c r="M4">
        <v>0</v>
      </c>
      <c r="O4" s="28">
        <f t="shared" si="0"/>
        <v>0.11443661971830986</v>
      </c>
      <c r="P4" s="28">
        <f t="shared" si="1"/>
        <v>0.11738148984198646</v>
      </c>
      <c r="Q4" s="28">
        <f t="shared" si="2"/>
        <v>4.9180327868852458E-2</v>
      </c>
      <c r="R4" s="28">
        <f t="shared" si="3"/>
        <v>0</v>
      </c>
      <c r="S4" s="28">
        <f t="shared" si="4"/>
        <v>0</v>
      </c>
      <c r="T4" s="28"/>
      <c r="U4" s="28">
        <f>65/569</f>
        <v>0.11423550087873462</v>
      </c>
      <c r="V4" s="28"/>
      <c r="W4" s="29">
        <f t="shared" si="5"/>
        <v>1.0017605633802817</v>
      </c>
      <c r="X4" s="29">
        <f t="shared" si="5"/>
        <v>1.0275395033860046</v>
      </c>
      <c r="Y4" s="29">
        <f t="shared" si="5"/>
        <v>0.43051702395964692</v>
      </c>
      <c r="Z4" s="29">
        <f t="shared" si="5"/>
        <v>0</v>
      </c>
      <c r="AA4" s="29">
        <f t="shared" si="5"/>
        <v>0</v>
      </c>
      <c r="AB4" s="29">
        <f t="shared" si="6"/>
        <v>1.0275395033860046</v>
      </c>
      <c r="AC4" s="41">
        <f t="shared" ref="AC4:AC54" si="11">INDEX(C4:AA4, 1, MATCH(AB4, W4:AA4, 0))</f>
        <v>443</v>
      </c>
      <c r="AD4" s="29" t="str">
        <f t="shared" ref="AD4:AD54" si="12">LEFT(INDEX(C$2:G$2, 1, MATCH(AB4, W4:AA4, 0)),1)</f>
        <v>4</v>
      </c>
      <c r="AE4" s="29">
        <f t="shared" si="7"/>
        <v>6.6632433489827614E-4</v>
      </c>
      <c r="AF4" s="29">
        <f t="shared" si="7"/>
        <v>6.4579526317675287E-2</v>
      </c>
      <c r="AG4" s="29">
        <f t="shared" si="7"/>
        <v>4.2851137933105146E-2</v>
      </c>
      <c r="AH4" s="29">
        <f t="shared" si="7"/>
        <v>0</v>
      </c>
      <c r="AI4" s="29">
        <f t="shared" si="7"/>
        <v>0</v>
      </c>
      <c r="AJ4" s="2"/>
      <c r="AK4" t="s">
        <v>28</v>
      </c>
      <c r="AL4" s="6">
        <f t="shared" si="8"/>
        <v>0.10534304652782066</v>
      </c>
      <c r="AM4" s="6">
        <f t="shared" si="8"/>
        <v>7.719411531410944E-2</v>
      </c>
      <c r="AN4" s="6">
        <f t="shared" si="8"/>
        <v>1.1111111111111112E-2</v>
      </c>
      <c r="AO4" s="6">
        <f t="shared" si="8"/>
        <v>0</v>
      </c>
      <c r="AP4" s="6">
        <f t="shared" si="8"/>
        <v>0</v>
      </c>
      <c r="AR4" t="s">
        <v>28</v>
      </c>
      <c r="AS4" s="7">
        <f t="shared" ref="AS4:AS6" si="13">AVERAGE(W4,W8,W12,W16,W20,W24,W28,W32)</f>
        <v>1.1587862831726712</v>
      </c>
      <c r="AT4" s="7">
        <f t="shared" ref="AT4:AW6" si="14">AVERAGE(X4,X8,X12,X16,X20,X24,X28,X32)</f>
        <v>0.7758288256617879</v>
      </c>
      <c r="AU4" s="7">
        <f t="shared" si="14"/>
        <v>0.16408594582441324</v>
      </c>
      <c r="AV4" s="7">
        <f t="shared" si="14"/>
        <v>0</v>
      </c>
      <c r="AW4" s="7">
        <f t="shared" si="14"/>
        <v>0</v>
      </c>
      <c r="AX4" s="4"/>
      <c r="AY4" s="7">
        <f t="shared" si="9"/>
        <v>4.9949060971226381E-2</v>
      </c>
      <c r="AZ4" s="7">
        <f t="shared" si="9"/>
        <v>6.5505570298847182E-2</v>
      </c>
      <c r="BA4" s="7">
        <f t="shared" si="9"/>
        <v>1.3113488359774141E-2</v>
      </c>
      <c r="BB4" s="7">
        <f t="shared" si="9"/>
        <v>0</v>
      </c>
      <c r="BC4" s="7">
        <f t="shared" si="9"/>
        <v>0</v>
      </c>
      <c r="BE4" s="5">
        <f t="shared" ref="BE4:BE6" si="15">MAX(AE4,AE8,AE12,AE16,AE20,AE24,AE28,AE32)</f>
        <v>0.17584962756052142</v>
      </c>
      <c r="BF4" s="5">
        <f t="shared" si="10"/>
        <v>0.19240942028985508</v>
      </c>
      <c r="BG4" s="8">
        <f t="shared" si="10"/>
        <v>6.2056768945087985E-2</v>
      </c>
      <c r="BH4" s="8">
        <f t="shared" si="10"/>
        <v>0</v>
      </c>
      <c r="BI4" s="8">
        <f t="shared" si="10"/>
        <v>0</v>
      </c>
    </row>
    <row r="5" spans="1:61" x14ac:dyDescent="0.3">
      <c r="A5" s="32" t="s">
        <v>53</v>
      </c>
      <c r="B5" t="s">
        <v>29</v>
      </c>
      <c r="C5">
        <v>557</v>
      </c>
      <c r="D5">
        <v>354</v>
      </c>
      <c r="E5">
        <v>10</v>
      </c>
      <c r="F5">
        <v>0</v>
      </c>
      <c r="G5">
        <v>0</v>
      </c>
      <c r="I5">
        <v>65</v>
      </c>
      <c r="J5">
        <v>35</v>
      </c>
      <c r="K5">
        <v>1</v>
      </c>
      <c r="L5">
        <v>0</v>
      </c>
      <c r="M5">
        <v>0</v>
      </c>
      <c r="O5" s="28">
        <f t="shared" si="0"/>
        <v>0.11669658886894076</v>
      </c>
      <c r="P5" s="28">
        <f t="shared" si="1"/>
        <v>9.8870056497175146E-2</v>
      </c>
      <c r="Q5" s="28">
        <f t="shared" si="2"/>
        <v>0.1</v>
      </c>
      <c r="R5" s="28">
        <f t="shared" si="3"/>
        <v>0</v>
      </c>
      <c r="S5" s="28">
        <f t="shared" si="4"/>
        <v>0</v>
      </c>
      <c r="T5" s="28"/>
      <c r="U5" s="28">
        <f>65/569</f>
        <v>0.11423550087873462</v>
      </c>
      <c r="V5" s="28"/>
      <c r="W5" s="29">
        <f t="shared" si="5"/>
        <v>1.0215439856373429</v>
      </c>
      <c r="X5" s="29">
        <f t="shared" si="5"/>
        <v>0.86549326379834868</v>
      </c>
      <c r="Y5" s="29">
        <f t="shared" si="5"/>
        <v>0.87538461538461543</v>
      </c>
      <c r="Z5" s="29">
        <f t="shared" si="5"/>
        <v>0</v>
      </c>
      <c r="AA5" s="29">
        <f t="shared" si="5"/>
        <v>0</v>
      </c>
      <c r="AB5" s="29">
        <f t="shared" si="6"/>
        <v>1.0215439856373429</v>
      </c>
      <c r="AC5" s="41">
        <f t="shared" si="11"/>
        <v>557</v>
      </c>
      <c r="AD5" s="29" t="str">
        <f t="shared" si="12"/>
        <v>3</v>
      </c>
      <c r="AE5" s="29">
        <f t="shared" si="7"/>
        <v>8.0362486107549043E-3</v>
      </c>
      <c r="AF5" s="29">
        <f t="shared" si="7"/>
        <v>7.6631084311169065E-2</v>
      </c>
      <c r="AG5" s="29">
        <f t="shared" si="7"/>
        <v>7.7438186813186802E-2</v>
      </c>
      <c r="AH5" s="29">
        <f t="shared" si="7"/>
        <v>0</v>
      </c>
      <c r="AI5" s="29">
        <f t="shared" si="7"/>
        <v>0</v>
      </c>
      <c r="AJ5" s="2"/>
      <c r="AK5" t="s">
        <v>29</v>
      </c>
      <c r="AL5" s="6">
        <f t="shared" si="8"/>
        <v>0.10767395007477343</v>
      </c>
      <c r="AM5" s="6">
        <f t="shared" si="8"/>
        <v>9.8610811842118659E-2</v>
      </c>
      <c r="AN5" s="6">
        <f t="shared" si="8"/>
        <v>0.13000253248640345</v>
      </c>
      <c r="AO5" s="6">
        <f t="shared" si="8"/>
        <v>8.8888888888888892E-2</v>
      </c>
      <c r="AP5" s="6">
        <f t="shared" si="8"/>
        <v>0</v>
      </c>
      <c r="AR5" t="s">
        <v>29</v>
      </c>
      <c r="AS5" s="7">
        <f t="shared" si="13"/>
        <v>0.99850099734526276</v>
      </c>
      <c r="AT5" s="7">
        <f t="shared" si="14"/>
        <v>0.86645651453211348</v>
      </c>
      <c r="AU5" s="7">
        <f t="shared" si="14"/>
        <v>1.000626824856272</v>
      </c>
      <c r="AV5" s="7">
        <f t="shared" si="14"/>
        <v>0.72020954457364339</v>
      </c>
      <c r="AW5" s="7">
        <f t="shared" si="14"/>
        <v>0</v>
      </c>
      <c r="AX5" s="4"/>
      <c r="AY5" s="7">
        <f t="shared" si="9"/>
        <v>7.3717486115313906E-3</v>
      </c>
      <c r="AZ5" s="7">
        <f t="shared" si="9"/>
        <v>7.1477852246157464E-2</v>
      </c>
      <c r="BA5" s="7">
        <f t="shared" si="9"/>
        <v>9.2621431439441959E-2</v>
      </c>
      <c r="BB5" s="7">
        <f t="shared" si="9"/>
        <v>5.1062091347718629E-2</v>
      </c>
      <c r="BC5" s="7">
        <f t="shared" si="9"/>
        <v>0</v>
      </c>
      <c r="BE5" s="5">
        <f t="shared" si="15"/>
        <v>1.601635352731667E-2</v>
      </c>
      <c r="BF5" s="5">
        <f t="shared" si="10"/>
        <v>0.12849584061035024</v>
      </c>
      <c r="BG5" s="8">
        <f t="shared" si="10"/>
        <v>0.31071884057971016</v>
      </c>
      <c r="BH5" s="8">
        <f t="shared" si="10"/>
        <v>0.25185974288603208</v>
      </c>
      <c r="BI5" s="8">
        <f t="shared" si="10"/>
        <v>0</v>
      </c>
    </row>
    <row r="6" spans="1:61" s="1" customFormat="1" x14ac:dyDescent="0.3">
      <c r="A6" s="32" t="s">
        <v>53</v>
      </c>
      <c r="B6" s="1" t="s">
        <v>30</v>
      </c>
      <c r="C6" s="1">
        <v>16</v>
      </c>
      <c r="D6" s="1">
        <v>1</v>
      </c>
      <c r="E6" s="1">
        <v>0</v>
      </c>
      <c r="F6" s="1">
        <v>0</v>
      </c>
      <c r="G6" s="1">
        <v>0</v>
      </c>
      <c r="I6" s="1">
        <v>1</v>
      </c>
      <c r="J6" s="1">
        <v>1</v>
      </c>
      <c r="K6" s="1">
        <v>0</v>
      </c>
      <c r="L6" s="1">
        <v>0</v>
      </c>
      <c r="M6" s="1">
        <v>0</v>
      </c>
      <c r="O6" s="30">
        <f t="shared" si="0"/>
        <v>6.25E-2</v>
      </c>
      <c r="P6" s="30">
        <f t="shared" si="1"/>
        <v>1</v>
      </c>
      <c r="Q6" s="30">
        <f t="shared" si="2"/>
        <v>0</v>
      </c>
      <c r="R6" s="30">
        <f t="shared" si="3"/>
        <v>0</v>
      </c>
      <c r="S6" s="30">
        <f t="shared" si="4"/>
        <v>0</v>
      </c>
      <c r="T6" s="30"/>
      <c r="U6" s="30">
        <f>65/569</f>
        <v>0.11423550087873462</v>
      </c>
      <c r="V6" s="30"/>
      <c r="W6" s="31">
        <f t="shared" si="5"/>
        <v>0.54711538461538467</v>
      </c>
      <c r="X6" s="31">
        <f t="shared" si="5"/>
        <v>8.7538461538461547</v>
      </c>
      <c r="Y6" s="31">
        <f t="shared" si="5"/>
        <v>0</v>
      </c>
      <c r="Z6" s="31">
        <f t="shared" si="5"/>
        <v>0</v>
      </c>
      <c r="AA6" s="31">
        <f t="shared" si="5"/>
        <v>0</v>
      </c>
      <c r="AB6" s="31">
        <f t="shared" si="6"/>
        <v>8.7538461538461547</v>
      </c>
      <c r="AC6" s="41">
        <f t="shared" si="11"/>
        <v>1</v>
      </c>
      <c r="AD6" s="29" t="str">
        <f t="shared" si="12"/>
        <v>4</v>
      </c>
      <c r="AE6" s="31">
        <f t="shared" si="7"/>
        <v>4.9211595695970695E-2</v>
      </c>
      <c r="AF6" s="31">
        <f t="shared" si="7"/>
        <v>0.75384615384615383</v>
      </c>
      <c r="AG6" s="31">
        <f t="shared" si="7"/>
        <v>0</v>
      </c>
      <c r="AH6" s="31">
        <f t="shared" si="7"/>
        <v>0</v>
      </c>
      <c r="AI6" s="31">
        <f t="shared" si="7"/>
        <v>0</v>
      </c>
      <c r="AJ6" s="9"/>
      <c r="AK6" s="1" t="s">
        <v>30</v>
      </c>
      <c r="AL6" s="11">
        <f t="shared" si="8"/>
        <v>0.10069505822517873</v>
      </c>
      <c r="AM6" s="11">
        <f t="shared" si="8"/>
        <v>3.9457070707070711E-2</v>
      </c>
      <c r="AN6" s="11">
        <f t="shared" si="8"/>
        <v>4.9019607843137254E-2</v>
      </c>
      <c r="AO6" s="11">
        <f t="shared" si="8"/>
        <v>0</v>
      </c>
      <c r="AP6" s="11">
        <f t="shared" si="8"/>
        <v>0</v>
      </c>
      <c r="AR6" s="1" t="s">
        <v>30</v>
      </c>
      <c r="AS6" s="12">
        <f t="shared" si="13"/>
        <v>1.1017411324712481</v>
      </c>
      <c r="AT6" s="12">
        <f t="shared" si="14"/>
        <v>1.5076511790230689</v>
      </c>
      <c r="AU6" s="12">
        <f t="shared" si="14"/>
        <v>0.5231268263951252</v>
      </c>
      <c r="AV6" s="12">
        <f t="shared" si="14"/>
        <v>1.2262931034482758</v>
      </c>
      <c r="AW6" s="12">
        <f t="shared" si="14"/>
        <v>0</v>
      </c>
      <c r="AX6" s="13"/>
      <c r="AY6" s="12">
        <f t="shared" si="9"/>
        <v>5.8209848044622363E-2</v>
      </c>
      <c r="AZ6" s="12">
        <f t="shared" si="9"/>
        <v>0.12130672844374067</v>
      </c>
      <c r="BA6" s="12">
        <f t="shared" si="9"/>
        <v>4.2885393455692609E-2</v>
      </c>
      <c r="BB6" s="12">
        <f t="shared" si="9"/>
        <v>4.7863785121328224E-2</v>
      </c>
      <c r="BC6" s="12">
        <f t="shared" si="9"/>
        <v>0</v>
      </c>
      <c r="BE6" s="14">
        <f t="shared" si="15"/>
        <v>0.17584962756052142</v>
      </c>
      <c r="BF6" s="14">
        <f t="shared" si="10"/>
        <v>0.75384615384615383</v>
      </c>
      <c r="BG6" s="15">
        <f t="shared" si="10"/>
        <v>0.27367703838292073</v>
      </c>
      <c r="BH6" s="15">
        <f t="shared" si="10"/>
        <v>0.38291028097062579</v>
      </c>
      <c r="BI6" s="15">
        <f t="shared" si="10"/>
        <v>0</v>
      </c>
    </row>
    <row r="7" spans="1:61" x14ac:dyDescent="0.3">
      <c r="A7" s="32" t="s">
        <v>26</v>
      </c>
      <c r="B7" t="s">
        <v>27</v>
      </c>
      <c r="C7">
        <v>536</v>
      </c>
      <c r="D7">
        <v>146</v>
      </c>
      <c r="E7">
        <v>28</v>
      </c>
      <c r="F7">
        <v>3</v>
      </c>
      <c r="G7">
        <v>0</v>
      </c>
      <c r="I7">
        <v>81</v>
      </c>
      <c r="J7">
        <v>21</v>
      </c>
      <c r="K7">
        <v>7</v>
      </c>
      <c r="L7">
        <v>1</v>
      </c>
      <c r="M7">
        <v>0</v>
      </c>
      <c r="O7" s="2">
        <f t="shared" si="0"/>
        <v>0.15111940298507462</v>
      </c>
      <c r="P7" s="2">
        <f t="shared" si="1"/>
        <v>0.14383561643835616</v>
      </c>
      <c r="Q7" s="2">
        <f t="shared" si="2"/>
        <v>0.25</v>
      </c>
      <c r="R7" s="2">
        <f t="shared" si="3"/>
        <v>0.33333333333333331</v>
      </c>
      <c r="S7" s="2">
        <f t="shared" si="4"/>
        <v>0</v>
      </c>
      <c r="T7" s="2"/>
      <c r="U7" s="2">
        <f t="shared" ref="U7:U14" si="16">86/569</f>
        <v>0.15114235500878734</v>
      </c>
      <c r="V7" s="2"/>
      <c r="W7" s="3">
        <f t="shared" si="5"/>
        <v>0.99984814300590075</v>
      </c>
      <c r="X7" s="3">
        <f t="shared" si="5"/>
        <v>0.95165657852819374</v>
      </c>
      <c r="Y7" s="3">
        <f t="shared" si="5"/>
        <v>1.6540697674418605</v>
      </c>
      <c r="Z7" s="3">
        <f t="shared" si="5"/>
        <v>2.2054263565891472</v>
      </c>
      <c r="AA7" s="3">
        <f t="shared" si="5"/>
        <v>0</v>
      </c>
      <c r="AB7" s="3">
        <f t="shared" si="6"/>
        <v>2.2054263565891472</v>
      </c>
      <c r="AC7" s="41">
        <f t="shared" si="11"/>
        <v>3</v>
      </c>
      <c r="AD7" s="29" t="str">
        <f t="shared" si="12"/>
        <v>6</v>
      </c>
      <c r="AE7" s="3">
        <f t="shared" ref="AE7:AI14" si="17">IF(C7&gt;0,((I7*((3*86)+C7))/(4*C7*86))*(1-(C7-I7)/(569-86)),0)</f>
        <v>2.022056049378991E-2</v>
      </c>
      <c r="AF7" s="3">
        <f t="shared" si="17"/>
        <v>0.12520603349169634</v>
      </c>
      <c r="AG7" s="3">
        <f t="shared" si="17"/>
        <v>0.19881193124368049</v>
      </c>
      <c r="AH7" s="3">
        <f t="shared" si="17"/>
        <v>0.25185974288603208</v>
      </c>
      <c r="AI7" s="3">
        <f t="shared" si="17"/>
        <v>0</v>
      </c>
      <c r="AJ7" s="2"/>
    </row>
    <row r="8" spans="1:61" x14ac:dyDescent="0.3">
      <c r="A8" s="32" t="s">
        <v>26</v>
      </c>
      <c r="B8" t="s">
        <v>28</v>
      </c>
      <c r="C8">
        <v>19</v>
      </c>
      <c r="D8">
        <v>2</v>
      </c>
      <c r="E8">
        <v>0</v>
      </c>
      <c r="F8">
        <v>0</v>
      </c>
      <c r="G8">
        <v>0</v>
      </c>
      <c r="I8">
        <v>1</v>
      </c>
      <c r="J8">
        <v>0</v>
      </c>
      <c r="K8">
        <v>0</v>
      </c>
      <c r="L8">
        <v>0</v>
      </c>
      <c r="M8">
        <v>0</v>
      </c>
      <c r="O8" s="2">
        <f t="shared" si="0"/>
        <v>5.2631578947368418E-2</v>
      </c>
      <c r="P8" s="2">
        <f t="shared" si="1"/>
        <v>0</v>
      </c>
      <c r="Q8" s="2">
        <f t="shared" si="2"/>
        <v>0</v>
      </c>
      <c r="R8" s="2">
        <f t="shared" si="3"/>
        <v>0</v>
      </c>
      <c r="S8" s="2">
        <f t="shared" si="4"/>
        <v>0</v>
      </c>
      <c r="T8" s="2"/>
      <c r="U8" s="2">
        <f t="shared" si="16"/>
        <v>0.15114235500878734</v>
      </c>
      <c r="V8" s="2"/>
      <c r="W8" s="3">
        <f t="shared" si="5"/>
        <v>0.34822521419828639</v>
      </c>
      <c r="X8" s="3">
        <f t="shared" si="5"/>
        <v>0</v>
      </c>
      <c r="Y8" s="3">
        <f t="shared" si="5"/>
        <v>0</v>
      </c>
      <c r="Z8" s="3">
        <f t="shared" si="5"/>
        <v>0</v>
      </c>
      <c r="AA8" s="3">
        <f t="shared" si="5"/>
        <v>0</v>
      </c>
      <c r="AB8" s="3">
        <f t="shared" si="6"/>
        <v>0.34822521419828639</v>
      </c>
      <c r="AC8" s="41">
        <f t="shared" si="11"/>
        <v>19</v>
      </c>
      <c r="AD8" s="29" t="str">
        <f t="shared" si="12"/>
        <v>3</v>
      </c>
      <c r="AE8" s="3">
        <f t="shared" si="17"/>
        <v>4.0801257440872152E-2</v>
      </c>
      <c r="AF8" s="3">
        <f t="shared" si="17"/>
        <v>0</v>
      </c>
      <c r="AG8" s="3">
        <f t="shared" si="17"/>
        <v>0</v>
      </c>
      <c r="AH8" s="3">
        <f t="shared" si="17"/>
        <v>0</v>
      </c>
      <c r="AI8" s="3">
        <f t="shared" si="17"/>
        <v>0</v>
      </c>
      <c r="AJ8" s="2"/>
    </row>
    <row r="9" spans="1:61" x14ac:dyDescent="0.3">
      <c r="A9" s="32" t="s">
        <v>26</v>
      </c>
      <c r="B9" t="s">
        <v>29</v>
      </c>
      <c r="C9">
        <v>543</v>
      </c>
      <c r="D9">
        <v>176</v>
      </c>
      <c r="E9">
        <v>21</v>
      </c>
      <c r="F9">
        <v>3</v>
      </c>
      <c r="G9">
        <v>0</v>
      </c>
      <c r="I9">
        <v>82</v>
      </c>
      <c r="J9">
        <v>26</v>
      </c>
      <c r="K9">
        <v>2</v>
      </c>
      <c r="L9">
        <v>1</v>
      </c>
      <c r="M9">
        <v>0</v>
      </c>
      <c r="O9" s="2">
        <f t="shared" si="0"/>
        <v>0.15101289134438306</v>
      </c>
      <c r="P9" s="2">
        <f t="shared" si="1"/>
        <v>0.14772727272727273</v>
      </c>
      <c r="Q9" s="2">
        <f t="shared" si="2"/>
        <v>9.5238095238095233E-2</v>
      </c>
      <c r="R9" s="2">
        <f t="shared" si="3"/>
        <v>0.33333333333333331</v>
      </c>
      <c r="S9" s="2">
        <f t="shared" si="4"/>
        <v>0</v>
      </c>
      <c r="T9" s="2"/>
      <c r="U9" s="2">
        <f t="shared" si="16"/>
        <v>0.15114235500878734</v>
      </c>
      <c r="V9" s="2"/>
      <c r="W9" s="3">
        <f t="shared" si="5"/>
        <v>0.99914343226690661</v>
      </c>
      <c r="X9" s="3">
        <f t="shared" si="5"/>
        <v>0.97740486257928128</v>
      </c>
      <c r="Y9" s="3">
        <f t="shared" si="5"/>
        <v>0.63012181616832774</v>
      </c>
      <c r="Z9" s="3">
        <f t="shared" si="5"/>
        <v>2.2054263565891472</v>
      </c>
      <c r="AA9" s="3">
        <f t="shared" si="5"/>
        <v>0</v>
      </c>
      <c r="AB9" s="3">
        <f t="shared" si="6"/>
        <v>2.2054263565891472</v>
      </c>
      <c r="AC9" s="41">
        <f t="shared" si="11"/>
        <v>3</v>
      </c>
      <c r="AD9" s="29" t="str">
        <f t="shared" si="12"/>
        <v>6</v>
      </c>
      <c r="AE9" s="3">
        <f t="shared" si="17"/>
        <v>1.601635352731667E-2</v>
      </c>
      <c r="AF9" s="3">
        <f t="shared" si="17"/>
        <v>0.12849584061035024</v>
      </c>
      <c r="AG9" s="3">
        <f t="shared" si="17"/>
        <v>7.4203999092053413E-2</v>
      </c>
      <c r="AH9" s="3">
        <f t="shared" si="17"/>
        <v>0.25185974288603208</v>
      </c>
      <c r="AI9" s="3">
        <f t="shared" si="17"/>
        <v>0</v>
      </c>
      <c r="AJ9" s="2"/>
    </row>
    <row r="10" spans="1:61" s="1" customFormat="1" x14ac:dyDescent="0.3">
      <c r="A10" s="32" t="s">
        <v>26</v>
      </c>
      <c r="B10" s="1" t="s">
        <v>30</v>
      </c>
      <c r="C10" s="1">
        <v>14</v>
      </c>
      <c r="D10" s="1">
        <v>0</v>
      </c>
      <c r="E10" s="1">
        <v>0</v>
      </c>
      <c r="F10" s="1">
        <v>0</v>
      </c>
      <c r="G10" s="1">
        <v>0</v>
      </c>
      <c r="I10" s="1">
        <v>1</v>
      </c>
      <c r="J10" s="1">
        <v>0</v>
      </c>
      <c r="K10" s="1">
        <v>0</v>
      </c>
      <c r="L10" s="1">
        <v>0</v>
      </c>
      <c r="M10" s="1">
        <v>0</v>
      </c>
      <c r="O10" s="9">
        <f t="shared" si="0"/>
        <v>7.1428571428571425E-2</v>
      </c>
      <c r="P10" s="9">
        <f t="shared" si="1"/>
        <v>0</v>
      </c>
      <c r="Q10" s="9">
        <f t="shared" si="2"/>
        <v>0</v>
      </c>
      <c r="R10" s="9">
        <f t="shared" si="3"/>
        <v>0</v>
      </c>
      <c r="S10" s="9">
        <f t="shared" si="4"/>
        <v>0</v>
      </c>
      <c r="T10" s="9"/>
      <c r="U10" s="9">
        <f t="shared" si="16"/>
        <v>0.15114235500878734</v>
      </c>
      <c r="V10" s="9"/>
      <c r="W10" s="10">
        <f t="shared" si="5"/>
        <v>0.47259136212624586</v>
      </c>
      <c r="X10" s="10">
        <f t="shared" si="5"/>
        <v>0</v>
      </c>
      <c r="Y10" s="10">
        <f t="shared" si="5"/>
        <v>0</v>
      </c>
      <c r="Z10" s="10">
        <f t="shared" si="5"/>
        <v>0</v>
      </c>
      <c r="AA10" s="10">
        <f t="shared" si="5"/>
        <v>0</v>
      </c>
      <c r="AB10" s="10">
        <f t="shared" si="6"/>
        <v>0.47259136212624586</v>
      </c>
      <c r="AC10" s="41">
        <f t="shared" si="11"/>
        <v>14</v>
      </c>
      <c r="AD10" s="29" t="str">
        <f t="shared" si="12"/>
        <v>3</v>
      </c>
      <c r="AE10" s="10">
        <f t="shared" si="17"/>
        <v>5.4958282605256467E-2</v>
      </c>
      <c r="AF10" s="10">
        <f t="shared" si="17"/>
        <v>0</v>
      </c>
      <c r="AG10" s="10">
        <f t="shared" si="17"/>
        <v>0</v>
      </c>
      <c r="AH10" s="10">
        <f t="shared" si="17"/>
        <v>0</v>
      </c>
      <c r="AI10" s="10">
        <f t="shared" si="17"/>
        <v>0</v>
      </c>
      <c r="AJ10" s="9"/>
      <c r="AR10" s="1" t="s">
        <v>40</v>
      </c>
    </row>
    <row r="11" spans="1:61" x14ac:dyDescent="0.3">
      <c r="A11" s="32" t="s">
        <v>54</v>
      </c>
      <c r="B11" t="s">
        <v>27</v>
      </c>
      <c r="C11">
        <v>561</v>
      </c>
      <c r="D11">
        <v>394</v>
      </c>
      <c r="E11">
        <v>24</v>
      </c>
      <c r="F11">
        <v>1</v>
      </c>
      <c r="G11">
        <v>0</v>
      </c>
      <c r="I11">
        <v>86</v>
      </c>
      <c r="J11">
        <v>62</v>
      </c>
      <c r="K11">
        <v>4</v>
      </c>
      <c r="L11">
        <v>0</v>
      </c>
      <c r="M11">
        <v>0</v>
      </c>
      <c r="O11" s="28">
        <f t="shared" si="0"/>
        <v>0.15329768270944741</v>
      </c>
      <c r="P11" s="28">
        <f t="shared" si="1"/>
        <v>0.15736040609137056</v>
      </c>
      <c r="Q11" s="28">
        <f t="shared" si="2"/>
        <v>0.16666666666666666</v>
      </c>
      <c r="R11" s="28">
        <f t="shared" si="3"/>
        <v>0</v>
      </c>
      <c r="S11" s="28">
        <f t="shared" si="4"/>
        <v>0</v>
      </c>
      <c r="T11" s="28"/>
      <c r="U11" s="28">
        <f t="shared" si="16"/>
        <v>0.15114235500878734</v>
      </c>
      <c r="V11" s="28"/>
      <c r="W11" s="29">
        <f t="shared" ref="W11:Y18" si="18">IF(O11&gt;0, O11/$U11, 0)</f>
        <v>1.0142602495543671</v>
      </c>
      <c r="X11" s="29">
        <f t="shared" si="18"/>
        <v>1.0411403612324401</v>
      </c>
      <c r="Y11" s="29">
        <f t="shared" si="18"/>
        <v>1.1027131782945736</v>
      </c>
      <c r="Z11" s="29">
        <f t="shared" ref="Z11:Z54" si="19">R11/$U11</f>
        <v>0</v>
      </c>
      <c r="AA11" s="29">
        <f t="shared" ref="AA11:AA54" si="20">S11/$U11</f>
        <v>0</v>
      </c>
      <c r="AB11" s="29">
        <f t="shared" si="6"/>
        <v>1.1027131782945736</v>
      </c>
      <c r="AC11" s="41">
        <f t="shared" si="11"/>
        <v>24</v>
      </c>
      <c r="AD11" s="29" t="str">
        <f t="shared" si="12"/>
        <v>5</v>
      </c>
      <c r="AE11" s="29">
        <f t="shared" si="17"/>
        <v>6.045105789351312E-3</v>
      </c>
      <c r="AF11" s="29">
        <f t="shared" si="17"/>
        <v>9.3242613393203874E-2</v>
      </c>
      <c r="AG11" s="29">
        <f t="shared" si="17"/>
        <v>0.13097043670855602</v>
      </c>
      <c r="AH11" s="29">
        <f t="shared" si="17"/>
        <v>0</v>
      </c>
      <c r="AI11" s="29">
        <f t="shared" si="17"/>
        <v>0</v>
      </c>
      <c r="AJ11" s="2"/>
      <c r="AR11" t="s">
        <v>27</v>
      </c>
      <c r="AS11" s="5">
        <f t="shared" ref="AS11:AW14" si="21">MAX(W3,W7,W11,W15,W19,W23,W27,W31)</f>
        <v>1.0503940045186533</v>
      </c>
      <c r="AT11" s="5">
        <f t="shared" si="21"/>
        <v>1.0620333772507686</v>
      </c>
      <c r="AU11" s="5">
        <f t="shared" si="21"/>
        <v>3.7483530961791831</v>
      </c>
      <c r="AV11" s="5">
        <f t="shared" si="21"/>
        <v>8.2463768115942031</v>
      </c>
      <c r="AW11" s="5">
        <f t="shared" si="21"/>
        <v>0</v>
      </c>
      <c r="AX11" s="5"/>
    </row>
    <row r="12" spans="1:61" x14ac:dyDescent="0.3">
      <c r="A12" s="32" t="s">
        <v>54</v>
      </c>
      <c r="B12" t="s">
        <v>28</v>
      </c>
      <c r="C12">
        <v>507</v>
      </c>
      <c r="D12">
        <v>119</v>
      </c>
      <c r="E12">
        <v>3</v>
      </c>
      <c r="F12">
        <v>0</v>
      </c>
      <c r="G12">
        <v>0</v>
      </c>
      <c r="I12">
        <v>72</v>
      </c>
      <c r="J12">
        <v>5</v>
      </c>
      <c r="K12">
        <v>0</v>
      </c>
      <c r="L12">
        <v>0</v>
      </c>
      <c r="M12">
        <v>0</v>
      </c>
      <c r="O12" s="28">
        <f t="shared" si="0"/>
        <v>0.14201183431952663</v>
      </c>
      <c r="P12" s="28">
        <f t="shared" si="1"/>
        <v>4.2016806722689079E-2</v>
      </c>
      <c r="Q12" s="28">
        <f t="shared" si="2"/>
        <v>0</v>
      </c>
      <c r="R12" s="28">
        <f t="shared" si="3"/>
        <v>0</v>
      </c>
      <c r="S12" s="28">
        <f t="shared" si="4"/>
        <v>0</v>
      </c>
      <c r="T12" s="28"/>
      <c r="U12" s="28">
        <f t="shared" si="16"/>
        <v>0.15114235500878734</v>
      </c>
      <c r="V12" s="28"/>
      <c r="W12" s="29">
        <f t="shared" si="18"/>
        <v>0.93958992706756583</v>
      </c>
      <c r="X12" s="29">
        <f t="shared" si="18"/>
        <v>0.27799491889779171</v>
      </c>
      <c r="Y12" s="29">
        <f t="shared" si="18"/>
        <v>0</v>
      </c>
      <c r="Z12" s="29">
        <f t="shared" si="19"/>
        <v>0</v>
      </c>
      <c r="AA12" s="29">
        <f t="shared" si="20"/>
        <v>0</v>
      </c>
      <c r="AB12" s="29">
        <f t="shared" si="6"/>
        <v>0.93958992706756583</v>
      </c>
      <c r="AC12" s="41">
        <f t="shared" si="11"/>
        <v>507</v>
      </c>
      <c r="AD12" s="29" t="str">
        <f t="shared" si="12"/>
        <v>3</v>
      </c>
      <c r="AE12" s="29">
        <f t="shared" si="17"/>
        <v>3.1384964106438783E-2</v>
      </c>
      <c r="AF12" s="29">
        <f t="shared" si="17"/>
        <v>3.5179137377903638E-2</v>
      </c>
      <c r="AG12" s="29">
        <f t="shared" si="17"/>
        <v>0</v>
      </c>
      <c r="AH12" s="29">
        <f t="shared" si="17"/>
        <v>0</v>
      </c>
      <c r="AI12" s="29">
        <f t="shared" si="17"/>
        <v>0</v>
      </c>
      <c r="AJ12" s="2"/>
      <c r="AR12" t="s">
        <v>28</v>
      </c>
      <c r="AS12" s="8">
        <f t="shared" si="21"/>
        <v>3.5562500000000004</v>
      </c>
      <c r="AT12" s="8">
        <f t="shared" si="21"/>
        <v>2.0615942028985508</v>
      </c>
      <c r="AU12" s="8">
        <f t="shared" si="21"/>
        <v>0.88217054263565897</v>
      </c>
      <c r="AV12" s="5">
        <f t="shared" si="21"/>
        <v>0</v>
      </c>
      <c r="AW12" s="5">
        <f t="shared" si="21"/>
        <v>0</v>
      </c>
      <c r="AX12" s="5"/>
    </row>
    <row r="13" spans="1:61" x14ac:dyDescent="0.3">
      <c r="A13" s="32" t="s">
        <v>54</v>
      </c>
      <c r="B13" t="s">
        <v>29</v>
      </c>
      <c r="C13">
        <v>560</v>
      </c>
      <c r="D13">
        <v>308</v>
      </c>
      <c r="E13">
        <v>36</v>
      </c>
      <c r="F13">
        <v>0</v>
      </c>
      <c r="G13">
        <v>0</v>
      </c>
      <c r="I13">
        <v>86</v>
      </c>
      <c r="J13">
        <v>41</v>
      </c>
      <c r="K13">
        <v>3</v>
      </c>
      <c r="L13">
        <v>0</v>
      </c>
      <c r="M13">
        <v>0</v>
      </c>
      <c r="O13" s="28">
        <f t="shared" si="0"/>
        <v>0.15357142857142858</v>
      </c>
      <c r="P13" s="28">
        <f t="shared" si="1"/>
        <v>0.13311688311688311</v>
      </c>
      <c r="Q13" s="28">
        <f t="shared" si="2"/>
        <v>8.3333333333333329E-2</v>
      </c>
      <c r="R13" s="28">
        <f t="shared" si="3"/>
        <v>0</v>
      </c>
      <c r="S13" s="28">
        <f t="shared" si="4"/>
        <v>0</v>
      </c>
      <c r="T13" s="28"/>
      <c r="U13" s="28">
        <f t="shared" si="16"/>
        <v>0.15114235500878734</v>
      </c>
      <c r="V13" s="28"/>
      <c r="W13" s="29">
        <f t="shared" si="18"/>
        <v>1.0160714285714287</v>
      </c>
      <c r="X13" s="29">
        <f t="shared" si="18"/>
        <v>0.88073844759891273</v>
      </c>
      <c r="Y13" s="29">
        <f t="shared" si="18"/>
        <v>0.5513565891472868</v>
      </c>
      <c r="Z13" s="29">
        <f t="shared" si="19"/>
        <v>0</v>
      </c>
      <c r="AA13" s="29">
        <f t="shared" si="20"/>
        <v>0</v>
      </c>
      <c r="AB13" s="29">
        <f t="shared" si="6"/>
        <v>1.0160714285714287</v>
      </c>
      <c r="AC13" s="41">
        <f t="shared" si="11"/>
        <v>560</v>
      </c>
      <c r="AD13" s="29" t="str">
        <f t="shared" si="12"/>
        <v>3</v>
      </c>
      <c r="AE13" s="29">
        <f t="shared" si="17"/>
        <v>6.804569653948548E-3</v>
      </c>
      <c r="AF13" s="29">
        <f t="shared" si="17"/>
        <v>9.7948490913968289E-2</v>
      </c>
      <c r="AG13" s="29">
        <f t="shared" si="17"/>
        <v>6.6354903943377147E-2</v>
      </c>
      <c r="AH13" s="29">
        <f t="shared" si="17"/>
        <v>0</v>
      </c>
      <c r="AI13" s="29">
        <f t="shared" si="17"/>
        <v>0</v>
      </c>
      <c r="AJ13" s="2"/>
      <c r="AR13" t="s">
        <v>29</v>
      </c>
      <c r="AS13" s="8">
        <f t="shared" si="21"/>
        <v>1.0215439856373429</v>
      </c>
      <c r="AT13" s="8">
        <f t="shared" si="21"/>
        <v>1.0210521708683473</v>
      </c>
      <c r="AU13" s="8">
        <f t="shared" si="21"/>
        <v>3.2985507246376815</v>
      </c>
      <c r="AV13" s="5">
        <f t="shared" si="21"/>
        <v>3.5562500000000004</v>
      </c>
      <c r="AW13" s="5">
        <f t="shared" si="21"/>
        <v>0</v>
      </c>
      <c r="AX13" s="5"/>
    </row>
    <row r="14" spans="1:61" s="1" customFormat="1" x14ac:dyDescent="0.3">
      <c r="A14" s="32" t="s">
        <v>54</v>
      </c>
      <c r="B14" s="1" t="s">
        <v>30</v>
      </c>
      <c r="C14" s="1">
        <v>74</v>
      </c>
      <c r="D14" s="1">
        <v>16</v>
      </c>
      <c r="E14" s="1">
        <v>0</v>
      </c>
      <c r="F14" s="1">
        <v>0</v>
      </c>
      <c r="G14" s="1">
        <v>0</v>
      </c>
      <c r="I14" s="1">
        <v>8</v>
      </c>
      <c r="J14" s="1">
        <v>1</v>
      </c>
      <c r="K14" s="1">
        <v>0</v>
      </c>
      <c r="L14" s="1">
        <v>0</v>
      </c>
      <c r="M14" s="1">
        <v>0</v>
      </c>
      <c r="O14" s="30">
        <f t="shared" si="0"/>
        <v>0.10810810810810811</v>
      </c>
      <c r="P14" s="30">
        <f t="shared" si="1"/>
        <v>6.25E-2</v>
      </c>
      <c r="Q14" s="30">
        <f t="shared" si="2"/>
        <v>0</v>
      </c>
      <c r="R14" s="30">
        <f t="shared" si="3"/>
        <v>0</v>
      </c>
      <c r="S14" s="30">
        <f t="shared" si="4"/>
        <v>0</v>
      </c>
      <c r="T14" s="30"/>
      <c r="U14" s="30">
        <f t="shared" si="16"/>
        <v>0.15114235500878734</v>
      </c>
      <c r="V14" s="30"/>
      <c r="W14" s="31">
        <f t="shared" si="18"/>
        <v>0.71527341294783164</v>
      </c>
      <c r="X14" s="31">
        <f t="shared" si="18"/>
        <v>0.41351744186046513</v>
      </c>
      <c r="Y14" s="31">
        <f t="shared" si="18"/>
        <v>0</v>
      </c>
      <c r="Z14" s="31">
        <f t="shared" si="19"/>
        <v>0</v>
      </c>
      <c r="AA14" s="31">
        <f t="shared" si="20"/>
        <v>0</v>
      </c>
      <c r="AB14" s="31">
        <f t="shared" si="6"/>
        <v>0.71527341294783164</v>
      </c>
      <c r="AC14" s="41">
        <f t="shared" si="11"/>
        <v>74</v>
      </c>
      <c r="AD14" s="29" t="str">
        <f t="shared" si="12"/>
        <v>3</v>
      </c>
      <c r="AE14" s="31">
        <f t="shared" si="17"/>
        <v>9.007967956400717E-2</v>
      </c>
      <c r="AF14" s="31">
        <f t="shared" si="17"/>
        <v>4.8235952621695798E-2</v>
      </c>
      <c r="AG14" s="31">
        <f t="shared" si="17"/>
        <v>0</v>
      </c>
      <c r="AH14" s="31">
        <f t="shared" si="17"/>
        <v>0</v>
      </c>
      <c r="AI14" s="31">
        <f t="shared" si="17"/>
        <v>0</v>
      </c>
      <c r="AJ14" s="9"/>
      <c r="AR14" s="1" t="s">
        <v>30</v>
      </c>
      <c r="AS14" s="15">
        <f t="shared" si="21"/>
        <v>3.5562500000000004</v>
      </c>
      <c r="AT14" s="15">
        <f t="shared" si="21"/>
        <v>8.7538461538461547</v>
      </c>
      <c r="AU14" s="15">
        <f t="shared" si="21"/>
        <v>3.2814302191464821</v>
      </c>
      <c r="AV14" s="14">
        <f t="shared" si="21"/>
        <v>9.8103448275862064</v>
      </c>
      <c r="AW14" s="14">
        <f t="shared" si="21"/>
        <v>0</v>
      </c>
      <c r="AX14" s="14"/>
    </row>
    <row r="15" spans="1:61" x14ac:dyDescent="0.3">
      <c r="A15" s="32" t="s">
        <v>31</v>
      </c>
      <c r="B15" t="s">
        <v>27</v>
      </c>
      <c r="C15" s="25">
        <v>559</v>
      </c>
      <c r="D15" s="25">
        <v>309</v>
      </c>
      <c r="E15" s="25">
        <v>13</v>
      </c>
      <c r="F15" s="25">
        <v>1</v>
      </c>
      <c r="G15" s="25">
        <v>0</v>
      </c>
      <c r="I15" s="25">
        <v>25</v>
      </c>
      <c r="J15" s="25">
        <v>10</v>
      </c>
      <c r="K15" s="25">
        <v>0</v>
      </c>
      <c r="L15" s="25">
        <v>0</v>
      </c>
      <c r="M15" s="25">
        <v>0</v>
      </c>
      <c r="O15" s="2">
        <f t="shared" si="0"/>
        <v>4.4722719141323794E-2</v>
      </c>
      <c r="P15" s="2">
        <f t="shared" si="1"/>
        <v>3.2362459546925564E-2</v>
      </c>
      <c r="Q15" s="2">
        <f t="shared" si="2"/>
        <v>0</v>
      </c>
      <c r="R15" s="2">
        <f t="shared" si="3"/>
        <v>0</v>
      </c>
      <c r="S15" s="2">
        <f t="shared" si="4"/>
        <v>0</v>
      </c>
      <c r="T15" s="2"/>
      <c r="U15" s="2">
        <f>29/569</f>
        <v>5.0966608084358524E-2</v>
      </c>
      <c r="V15" s="2"/>
      <c r="W15" s="3">
        <f t="shared" si="18"/>
        <v>0.87749059280735309</v>
      </c>
      <c r="X15" s="3">
        <f t="shared" si="18"/>
        <v>0.63497377524829812</v>
      </c>
      <c r="Y15" s="3">
        <f t="shared" si="18"/>
        <v>0</v>
      </c>
      <c r="Z15" s="3">
        <f t="shared" si="19"/>
        <v>0</v>
      </c>
      <c r="AA15" s="3">
        <f t="shared" si="20"/>
        <v>0</v>
      </c>
      <c r="AB15" s="3">
        <f t="shared" si="6"/>
        <v>0.87749059280735309</v>
      </c>
      <c r="AC15" s="41">
        <f t="shared" si="11"/>
        <v>559</v>
      </c>
      <c r="AD15" s="29" t="str">
        <f t="shared" si="12"/>
        <v>3</v>
      </c>
      <c r="AE15" s="3">
        <f t="shared" ref="AE15:AI18" si="22">IF(C15&gt;0,((I15*((3*29)+C15))/(4*C15*29))*(1-(C15-I15)/(569-29)),0)</f>
        <v>2.7673253415033592E-3</v>
      </c>
      <c r="AF15" s="3">
        <f t="shared" si="22"/>
        <v>4.9306253022356132E-2</v>
      </c>
      <c r="AG15" s="3">
        <f t="shared" si="22"/>
        <v>0</v>
      </c>
      <c r="AH15" s="3">
        <f t="shared" si="22"/>
        <v>0</v>
      </c>
      <c r="AI15" s="3">
        <f t="shared" si="22"/>
        <v>0</v>
      </c>
      <c r="AJ15" s="2"/>
    </row>
    <row r="16" spans="1:61" x14ac:dyDescent="0.3">
      <c r="A16" s="32" t="s">
        <v>31</v>
      </c>
      <c r="B16" t="s">
        <v>28</v>
      </c>
      <c r="C16" s="25">
        <v>328</v>
      </c>
      <c r="D16" s="25">
        <v>76</v>
      </c>
      <c r="E16" s="25">
        <v>1</v>
      </c>
      <c r="F16" s="25">
        <v>0</v>
      </c>
      <c r="G16" s="25">
        <v>0</v>
      </c>
      <c r="I16" s="25">
        <v>14</v>
      </c>
      <c r="J16" s="25">
        <v>3</v>
      </c>
      <c r="K16" s="25">
        <v>0</v>
      </c>
      <c r="L16" s="25">
        <v>0</v>
      </c>
      <c r="M16" s="25">
        <v>0</v>
      </c>
      <c r="O16" s="2">
        <f t="shared" si="0"/>
        <v>4.2682926829268296E-2</v>
      </c>
      <c r="P16" s="2">
        <f t="shared" si="1"/>
        <v>3.9473684210526314E-2</v>
      </c>
      <c r="Q16" s="2">
        <f t="shared" si="2"/>
        <v>0</v>
      </c>
      <c r="R16" s="2">
        <f t="shared" si="3"/>
        <v>0</v>
      </c>
      <c r="S16" s="2">
        <f t="shared" si="4"/>
        <v>0</v>
      </c>
      <c r="T16" s="2"/>
      <c r="U16" s="2">
        <f>29/569</f>
        <v>5.0966608084358524E-2</v>
      </c>
      <c r="V16" s="2"/>
      <c r="W16" s="3">
        <f t="shared" si="18"/>
        <v>0.83746846089150551</v>
      </c>
      <c r="X16" s="3">
        <f t="shared" si="18"/>
        <v>0.7745009074410163</v>
      </c>
      <c r="Y16" s="3">
        <f t="shared" si="18"/>
        <v>0</v>
      </c>
      <c r="Z16" s="3">
        <f t="shared" si="19"/>
        <v>0</v>
      </c>
      <c r="AA16" s="3">
        <f t="shared" si="20"/>
        <v>0</v>
      </c>
      <c r="AB16" s="3">
        <f t="shared" si="6"/>
        <v>0.83746846089150551</v>
      </c>
      <c r="AC16" s="41">
        <f t="shared" si="11"/>
        <v>328</v>
      </c>
      <c r="AD16" s="29" t="str">
        <f t="shared" si="12"/>
        <v>3</v>
      </c>
      <c r="AE16" s="3">
        <f t="shared" si="22"/>
        <v>6.3908552160234236E-2</v>
      </c>
      <c r="AF16" s="3">
        <f t="shared" si="22"/>
        <v>4.7968970558580355E-2</v>
      </c>
      <c r="AG16" s="3">
        <f t="shared" si="22"/>
        <v>0</v>
      </c>
      <c r="AH16" s="3">
        <f t="shared" si="22"/>
        <v>0</v>
      </c>
      <c r="AI16" s="3">
        <f t="shared" si="22"/>
        <v>0</v>
      </c>
      <c r="AJ16" s="2"/>
    </row>
    <row r="17" spans="1:71" x14ac:dyDescent="0.3">
      <c r="A17" s="32" t="s">
        <v>31</v>
      </c>
      <c r="B17" t="s">
        <v>29</v>
      </c>
      <c r="C17" s="25">
        <v>561</v>
      </c>
      <c r="D17" s="25">
        <v>458</v>
      </c>
      <c r="E17" s="25">
        <v>38</v>
      </c>
      <c r="F17" s="25">
        <v>5</v>
      </c>
      <c r="G17" s="25">
        <v>0</v>
      </c>
      <c r="I17" s="25">
        <v>28</v>
      </c>
      <c r="J17" s="25">
        <v>15</v>
      </c>
      <c r="K17" s="25">
        <v>0</v>
      </c>
      <c r="L17" s="25">
        <v>0</v>
      </c>
      <c r="M17" s="25">
        <v>0</v>
      </c>
      <c r="O17" s="2">
        <f t="shared" si="0"/>
        <v>4.9910873440285206E-2</v>
      </c>
      <c r="P17" s="2">
        <f t="shared" si="1"/>
        <v>3.2751091703056769E-2</v>
      </c>
      <c r="Q17" s="2">
        <f t="shared" si="2"/>
        <v>0</v>
      </c>
      <c r="R17" s="2">
        <f t="shared" si="3"/>
        <v>0</v>
      </c>
      <c r="S17" s="2">
        <f t="shared" si="4"/>
        <v>0</v>
      </c>
      <c r="T17" s="2"/>
      <c r="U17" s="2">
        <f>29/569</f>
        <v>5.0966608084358524E-2</v>
      </c>
      <c r="V17" s="2"/>
      <c r="W17" s="3">
        <f t="shared" si="18"/>
        <v>0.97928575819042352</v>
      </c>
      <c r="X17" s="3">
        <f t="shared" si="18"/>
        <v>0.64259900617376897</v>
      </c>
      <c r="Y17" s="3">
        <f t="shared" si="18"/>
        <v>0</v>
      </c>
      <c r="Z17" s="3">
        <f t="shared" si="19"/>
        <v>0</v>
      </c>
      <c r="AA17" s="3">
        <f t="shared" si="20"/>
        <v>0</v>
      </c>
      <c r="AB17" s="3">
        <f t="shared" si="6"/>
        <v>0.97928575819042352</v>
      </c>
      <c r="AC17" s="41">
        <f t="shared" si="11"/>
        <v>561</v>
      </c>
      <c r="AD17" s="29" t="str">
        <f t="shared" si="12"/>
        <v>3</v>
      </c>
      <c r="AE17" s="3">
        <f t="shared" si="22"/>
        <v>3.6142356629172024E-3</v>
      </c>
      <c r="AF17" s="3">
        <f t="shared" si="22"/>
        <v>2.7640269203098589E-2</v>
      </c>
      <c r="AG17" s="3">
        <f t="shared" si="22"/>
        <v>0</v>
      </c>
      <c r="AH17" s="3">
        <f t="shared" si="22"/>
        <v>0</v>
      </c>
      <c r="AI17" s="3">
        <f t="shared" si="22"/>
        <v>0</v>
      </c>
      <c r="AJ17" s="2"/>
    </row>
    <row r="18" spans="1:71" s="1" customFormat="1" x14ac:dyDescent="0.3">
      <c r="A18" s="32" t="s">
        <v>31</v>
      </c>
      <c r="B18" s="1" t="s">
        <v>30</v>
      </c>
      <c r="C18" s="1">
        <v>559</v>
      </c>
      <c r="D18" s="1">
        <v>464</v>
      </c>
      <c r="E18" s="1">
        <v>152</v>
      </c>
      <c r="F18" s="1">
        <v>2</v>
      </c>
      <c r="G18" s="1">
        <v>0</v>
      </c>
      <c r="I18" s="1">
        <v>28</v>
      </c>
      <c r="J18" s="1">
        <v>18</v>
      </c>
      <c r="K18" s="1">
        <v>7</v>
      </c>
      <c r="L18" s="1">
        <v>1</v>
      </c>
      <c r="M18" s="1">
        <v>0</v>
      </c>
      <c r="O18" s="9">
        <f t="shared" si="0"/>
        <v>5.008944543828265E-2</v>
      </c>
      <c r="P18" s="9">
        <f t="shared" si="1"/>
        <v>3.8793103448275863E-2</v>
      </c>
      <c r="Q18" s="9">
        <f t="shared" si="2"/>
        <v>4.6052631578947366E-2</v>
      </c>
      <c r="R18" s="9">
        <f t="shared" si="3"/>
        <v>0.5</v>
      </c>
      <c r="S18" s="9">
        <f t="shared" si="4"/>
        <v>0</v>
      </c>
      <c r="T18" s="9"/>
      <c r="U18" s="9">
        <f>29/569</f>
        <v>5.0966608084358524E-2</v>
      </c>
      <c r="V18" s="9"/>
      <c r="W18" s="10">
        <f t="shared" si="18"/>
        <v>0.98278946394423539</v>
      </c>
      <c r="X18" s="10">
        <f t="shared" si="18"/>
        <v>0.76114744351961949</v>
      </c>
      <c r="Y18" s="10">
        <f t="shared" si="18"/>
        <v>0.90358439201451901</v>
      </c>
      <c r="Z18" s="10">
        <f t="shared" si="19"/>
        <v>9.8103448275862064</v>
      </c>
      <c r="AA18" s="10">
        <f t="shared" si="20"/>
        <v>0</v>
      </c>
      <c r="AB18" s="10">
        <f t="shared" si="6"/>
        <v>9.8103448275862064</v>
      </c>
      <c r="AC18" s="41">
        <f t="shared" si="11"/>
        <v>2</v>
      </c>
      <c r="AD18" s="29" t="str">
        <f t="shared" si="12"/>
        <v>6</v>
      </c>
      <c r="AE18" s="10">
        <f t="shared" si="22"/>
        <v>4.6491065737256738E-3</v>
      </c>
      <c r="AF18" s="10">
        <f t="shared" si="22"/>
        <v>3.2076149425287352E-2</v>
      </c>
      <c r="AG18" s="10">
        <f t="shared" si="22"/>
        <v>6.9406109262620155E-2</v>
      </c>
      <c r="AH18" s="10">
        <f t="shared" si="22"/>
        <v>0.38291028097062579</v>
      </c>
      <c r="AI18" s="10">
        <f t="shared" si="22"/>
        <v>0</v>
      </c>
      <c r="AJ18" s="9"/>
    </row>
    <row r="19" spans="1:71" x14ac:dyDescent="0.3">
      <c r="A19" s="32" t="s">
        <v>55</v>
      </c>
      <c r="B19" t="s">
        <v>27</v>
      </c>
      <c r="C19">
        <v>566</v>
      </c>
      <c r="D19">
        <v>522</v>
      </c>
      <c r="E19">
        <v>192</v>
      </c>
      <c r="F19">
        <v>22</v>
      </c>
      <c r="G19">
        <v>0</v>
      </c>
      <c r="I19">
        <v>32</v>
      </c>
      <c r="J19">
        <v>26</v>
      </c>
      <c r="K19">
        <v>10</v>
      </c>
      <c r="L19">
        <v>2</v>
      </c>
      <c r="M19">
        <v>0</v>
      </c>
      <c r="O19" s="28">
        <f t="shared" si="0"/>
        <v>5.6537102473498232E-2</v>
      </c>
      <c r="P19" s="28">
        <f t="shared" si="1"/>
        <v>4.9808429118773943E-2</v>
      </c>
      <c r="Q19" s="28">
        <f t="shared" si="2"/>
        <v>5.2083333333333336E-2</v>
      </c>
      <c r="R19" s="28">
        <f t="shared" si="3"/>
        <v>9.0909090909090912E-2</v>
      </c>
      <c r="S19" s="28">
        <f t="shared" si="4"/>
        <v>0</v>
      </c>
      <c r="T19" s="28"/>
      <c r="U19" s="28">
        <f>32/569</f>
        <v>5.6239015817223195E-2</v>
      </c>
      <c r="V19" s="28"/>
      <c r="W19" s="29">
        <f t="shared" ref="W19:W54" si="23">O19/$U19</f>
        <v>1.0053003533568905</v>
      </c>
      <c r="X19" s="29">
        <f t="shared" ref="X19:X54" si="24">P19/$U19</f>
        <v>0.88565613026819923</v>
      </c>
      <c r="Y19" s="29">
        <f t="shared" ref="Y19:Y54" si="25">Q19/$U19</f>
        <v>0.92610677083333348</v>
      </c>
      <c r="Z19" s="29">
        <f t="shared" si="19"/>
        <v>1.6164772727272729</v>
      </c>
      <c r="AA19" s="29">
        <f t="shared" si="20"/>
        <v>0</v>
      </c>
      <c r="AB19" s="29">
        <f t="shared" si="6"/>
        <v>1.6164772727272729</v>
      </c>
      <c r="AC19" s="41">
        <f t="shared" si="11"/>
        <v>22</v>
      </c>
      <c r="AD19" s="29" t="str">
        <f t="shared" si="12"/>
        <v>6</v>
      </c>
      <c r="AE19" s="29">
        <f t="shared" ref="AE19:AI22" si="26">IF(C19&gt;0,((I19*((3*32)+C19))/(4*C19*32))*(1-(C19-I19)/(569-32)),0)</f>
        <v>1.6335353455593647E-3</v>
      </c>
      <c r="AF19" s="29">
        <f t="shared" si="26"/>
        <v>1.8360771313598315E-2</v>
      </c>
      <c r="AG19" s="29">
        <f t="shared" si="26"/>
        <v>7.7470321229050287E-2</v>
      </c>
      <c r="AH19" s="29">
        <f t="shared" si="26"/>
        <v>8.0685521415270023E-2</v>
      </c>
      <c r="AI19" s="29">
        <f t="shared" si="26"/>
        <v>0</v>
      </c>
      <c r="AJ19" s="2"/>
      <c r="AR19" t="s">
        <v>27</v>
      </c>
      <c r="AT19" s="5"/>
    </row>
    <row r="20" spans="1:71" x14ac:dyDescent="0.3">
      <c r="A20" s="32" t="s">
        <v>55</v>
      </c>
      <c r="B20" t="s">
        <v>28</v>
      </c>
      <c r="C20">
        <v>20</v>
      </c>
      <c r="D20">
        <v>3</v>
      </c>
      <c r="E20">
        <v>0</v>
      </c>
      <c r="F20">
        <v>0</v>
      </c>
      <c r="G20">
        <v>0</v>
      </c>
      <c r="I20">
        <v>4</v>
      </c>
      <c r="J20">
        <v>0</v>
      </c>
      <c r="K20">
        <v>0</v>
      </c>
      <c r="L20">
        <v>0</v>
      </c>
      <c r="M20">
        <v>0</v>
      </c>
      <c r="O20" s="28">
        <f t="shared" si="0"/>
        <v>0.2</v>
      </c>
      <c r="P20" s="28">
        <f t="shared" si="1"/>
        <v>0</v>
      </c>
      <c r="Q20" s="28">
        <f t="shared" si="2"/>
        <v>0</v>
      </c>
      <c r="R20" s="28">
        <f t="shared" si="3"/>
        <v>0</v>
      </c>
      <c r="S20" s="28">
        <f t="shared" si="4"/>
        <v>0</v>
      </c>
      <c r="T20" s="28"/>
      <c r="U20" s="28">
        <f>32/569</f>
        <v>5.6239015817223195E-2</v>
      </c>
      <c r="V20" s="28"/>
      <c r="W20" s="29">
        <f t="shared" si="23"/>
        <v>3.5562500000000004</v>
      </c>
      <c r="X20" s="29">
        <f t="shared" si="24"/>
        <v>0</v>
      </c>
      <c r="Y20" s="29">
        <f t="shared" si="25"/>
        <v>0</v>
      </c>
      <c r="Z20" s="29">
        <f t="shared" si="19"/>
        <v>0</v>
      </c>
      <c r="AA20" s="29">
        <f t="shared" si="20"/>
        <v>0</v>
      </c>
      <c r="AB20" s="29">
        <f t="shared" si="6"/>
        <v>3.5562500000000004</v>
      </c>
      <c r="AC20" s="41">
        <f t="shared" si="11"/>
        <v>20</v>
      </c>
      <c r="AD20" s="29" t="str">
        <f t="shared" si="12"/>
        <v>3</v>
      </c>
      <c r="AE20" s="29">
        <f t="shared" si="26"/>
        <v>0.17584962756052142</v>
      </c>
      <c r="AF20" s="29">
        <f t="shared" si="26"/>
        <v>0</v>
      </c>
      <c r="AG20" s="29">
        <f t="shared" si="26"/>
        <v>0</v>
      </c>
      <c r="AH20" s="29">
        <f t="shared" si="26"/>
        <v>0</v>
      </c>
      <c r="AI20" s="29">
        <f t="shared" si="26"/>
        <v>0</v>
      </c>
      <c r="AJ20" s="2"/>
      <c r="AR20" t="s">
        <v>28</v>
      </c>
    </row>
    <row r="21" spans="1:71" x14ac:dyDescent="0.3">
      <c r="A21" s="32" t="s">
        <v>55</v>
      </c>
      <c r="B21" t="s">
        <v>29</v>
      </c>
      <c r="C21">
        <v>561</v>
      </c>
      <c r="D21">
        <v>474</v>
      </c>
      <c r="E21">
        <v>125</v>
      </c>
      <c r="F21">
        <v>5</v>
      </c>
      <c r="G21">
        <v>0</v>
      </c>
      <c r="I21">
        <v>31</v>
      </c>
      <c r="J21">
        <v>19</v>
      </c>
      <c r="K21">
        <v>6</v>
      </c>
      <c r="L21">
        <v>1</v>
      </c>
      <c r="M21">
        <v>0</v>
      </c>
      <c r="O21" s="28">
        <f t="shared" si="0"/>
        <v>5.5258467023172907E-2</v>
      </c>
      <c r="P21" s="28">
        <f t="shared" si="1"/>
        <v>4.0084388185654012E-2</v>
      </c>
      <c r="Q21" s="28">
        <f t="shared" si="2"/>
        <v>4.8000000000000001E-2</v>
      </c>
      <c r="R21" s="28">
        <f t="shared" si="3"/>
        <v>0.2</v>
      </c>
      <c r="S21" s="28">
        <f t="shared" si="4"/>
        <v>0</v>
      </c>
      <c r="T21" s="28"/>
      <c r="U21" s="28">
        <f>32/569</f>
        <v>5.6239015817223195E-2</v>
      </c>
      <c r="V21" s="28"/>
      <c r="W21" s="29">
        <f t="shared" si="23"/>
        <v>0.98256461675579332</v>
      </c>
      <c r="X21" s="29">
        <f t="shared" si="24"/>
        <v>0.71275052742616041</v>
      </c>
      <c r="Y21" s="29">
        <f t="shared" si="25"/>
        <v>0.85350000000000004</v>
      </c>
      <c r="Z21" s="29">
        <f t="shared" si="19"/>
        <v>3.5562500000000004</v>
      </c>
      <c r="AA21" s="29">
        <f t="shared" si="20"/>
        <v>0</v>
      </c>
      <c r="AB21" s="29">
        <f t="shared" si="6"/>
        <v>3.5562500000000004</v>
      </c>
      <c r="AC21" s="41">
        <f t="shared" si="11"/>
        <v>5</v>
      </c>
      <c r="AD21" s="29" t="str">
        <f t="shared" si="12"/>
        <v>6</v>
      </c>
      <c r="AE21" s="29">
        <f t="shared" si="26"/>
        <v>3.697242927135315E-3</v>
      </c>
      <c r="AF21" s="29">
        <f t="shared" si="26"/>
        <v>2.7257104047332805E-2</v>
      </c>
      <c r="AG21" s="29">
        <f t="shared" si="26"/>
        <v>6.4509776536312846E-2</v>
      </c>
      <c r="AH21" s="29">
        <f t="shared" si="26"/>
        <v>0.15663698789571695</v>
      </c>
      <c r="AI21" s="29">
        <f t="shared" si="26"/>
        <v>0</v>
      </c>
      <c r="AJ21" s="2"/>
      <c r="AR21" t="s">
        <v>29</v>
      </c>
    </row>
    <row r="22" spans="1:71" s="1" customFormat="1" x14ac:dyDescent="0.3">
      <c r="A22" s="32" t="s">
        <v>55</v>
      </c>
      <c r="B22" s="1" t="s">
        <v>30</v>
      </c>
      <c r="C22" s="1">
        <v>20</v>
      </c>
      <c r="D22" s="1">
        <v>1</v>
      </c>
      <c r="E22" s="1">
        <v>0</v>
      </c>
      <c r="F22" s="1">
        <v>0</v>
      </c>
      <c r="G22" s="1">
        <v>0</v>
      </c>
      <c r="I22" s="1">
        <v>4</v>
      </c>
      <c r="J22" s="1">
        <v>0</v>
      </c>
      <c r="K22" s="1">
        <v>0</v>
      </c>
      <c r="L22" s="1">
        <v>0</v>
      </c>
      <c r="M22" s="1">
        <v>0</v>
      </c>
      <c r="O22" s="30">
        <f t="shared" si="0"/>
        <v>0.2</v>
      </c>
      <c r="P22" s="30">
        <f t="shared" si="1"/>
        <v>0</v>
      </c>
      <c r="Q22" s="30">
        <f t="shared" si="2"/>
        <v>0</v>
      </c>
      <c r="R22" s="30">
        <f t="shared" si="3"/>
        <v>0</v>
      </c>
      <c r="S22" s="30">
        <f t="shared" si="4"/>
        <v>0</v>
      </c>
      <c r="T22" s="30"/>
      <c r="U22" s="30">
        <f>32/569</f>
        <v>5.6239015817223195E-2</v>
      </c>
      <c r="V22" s="30"/>
      <c r="W22" s="31">
        <f t="shared" si="23"/>
        <v>3.5562500000000004</v>
      </c>
      <c r="X22" s="31">
        <f t="shared" si="24"/>
        <v>0</v>
      </c>
      <c r="Y22" s="31">
        <f t="shared" si="25"/>
        <v>0</v>
      </c>
      <c r="Z22" s="31">
        <f t="shared" si="19"/>
        <v>0</v>
      </c>
      <c r="AA22" s="31">
        <f t="shared" si="20"/>
        <v>0</v>
      </c>
      <c r="AB22" s="31">
        <f t="shared" si="6"/>
        <v>3.5562500000000004</v>
      </c>
      <c r="AC22" s="41">
        <f t="shared" si="11"/>
        <v>20</v>
      </c>
      <c r="AD22" s="29" t="str">
        <f t="shared" si="12"/>
        <v>3</v>
      </c>
      <c r="AE22" s="31">
        <f t="shared" si="26"/>
        <v>0.17584962756052142</v>
      </c>
      <c r="AF22" s="31">
        <f t="shared" si="26"/>
        <v>0</v>
      </c>
      <c r="AG22" s="31">
        <f t="shared" si="26"/>
        <v>0</v>
      </c>
      <c r="AH22" s="31">
        <f t="shared" si="26"/>
        <v>0</v>
      </c>
      <c r="AI22" s="31">
        <f t="shared" si="26"/>
        <v>0</v>
      </c>
      <c r="AJ22" s="9"/>
      <c r="AR22" s="1" t="s">
        <v>30</v>
      </c>
    </row>
    <row r="23" spans="1:71" x14ac:dyDescent="0.3">
      <c r="A23" s="32" t="s">
        <v>32</v>
      </c>
      <c r="B23" t="s">
        <v>27</v>
      </c>
      <c r="C23" s="25">
        <v>567</v>
      </c>
      <c r="D23" s="25">
        <v>503</v>
      </c>
      <c r="E23" s="25">
        <v>96</v>
      </c>
      <c r="F23" s="25">
        <v>1</v>
      </c>
      <c r="G23" s="25">
        <v>0</v>
      </c>
      <c r="I23" s="25">
        <v>43</v>
      </c>
      <c r="J23" s="25">
        <v>40</v>
      </c>
      <c r="K23" s="25">
        <v>11</v>
      </c>
      <c r="L23" s="25">
        <v>0</v>
      </c>
      <c r="M23" s="25">
        <v>0</v>
      </c>
      <c r="O23" s="2">
        <f t="shared" si="0"/>
        <v>7.5837742504409167E-2</v>
      </c>
      <c r="P23" s="2">
        <f t="shared" si="1"/>
        <v>7.9522862823061632E-2</v>
      </c>
      <c r="Q23" s="2">
        <f t="shared" si="2"/>
        <v>0.11458333333333333</v>
      </c>
      <c r="R23" s="2">
        <f t="shared" si="3"/>
        <v>0</v>
      </c>
      <c r="S23" s="2">
        <f t="shared" si="4"/>
        <v>0</v>
      </c>
      <c r="T23" s="2"/>
      <c r="U23" s="2">
        <f>43/569</f>
        <v>7.5571177504393669E-2</v>
      </c>
      <c r="V23" s="2"/>
      <c r="W23" s="3">
        <f t="shared" si="23"/>
        <v>1.0035273368606701</v>
      </c>
      <c r="X23" s="3">
        <f t="shared" si="24"/>
        <v>1.0522909057284202</v>
      </c>
      <c r="Y23" s="3">
        <f t="shared" si="25"/>
        <v>1.5162306201550388</v>
      </c>
      <c r="Z23" s="3">
        <f t="shared" si="19"/>
        <v>0</v>
      </c>
      <c r="AA23" s="3">
        <f t="shared" si="20"/>
        <v>0</v>
      </c>
      <c r="AB23" s="3">
        <f t="shared" si="6"/>
        <v>1.5162306201550388</v>
      </c>
      <c r="AC23" s="41">
        <f t="shared" si="11"/>
        <v>96</v>
      </c>
      <c r="AD23" s="29" t="str">
        <f t="shared" si="12"/>
        <v>5</v>
      </c>
      <c r="AE23" s="3">
        <f t="shared" ref="AE23:AI26" si="27">IF(C23&gt;0,((I23*((3*43)+C23))/(4*C23*43))*(1-(C23-I23)/(569-43)),0)</f>
        <v>1.1668376687388193E-3</v>
      </c>
      <c r="AF23" s="3">
        <f t="shared" si="27"/>
        <v>3.4997372735907473E-2</v>
      </c>
      <c r="AG23" s="3">
        <f t="shared" si="27"/>
        <v>0.12566906059333274</v>
      </c>
      <c r="AH23" s="3">
        <f t="shared" si="27"/>
        <v>0</v>
      </c>
      <c r="AI23" s="3">
        <f t="shared" si="27"/>
        <v>0</v>
      </c>
    </row>
    <row r="24" spans="1:71" x14ac:dyDescent="0.3">
      <c r="A24" s="32" t="s">
        <v>58</v>
      </c>
      <c r="B24" t="s">
        <v>28</v>
      </c>
      <c r="C24" s="25">
        <v>557</v>
      </c>
      <c r="D24" s="25">
        <v>347</v>
      </c>
      <c r="E24" s="25">
        <v>45</v>
      </c>
      <c r="F24" s="25">
        <v>1</v>
      </c>
      <c r="G24" s="25">
        <v>0</v>
      </c>
      <c r="I24" s="25">
        <v>41</v>
      </c>
      <c r="J24" s="25">
        <v>26</v>
      </c>
      <c r="K24" s="25">
        <v>3</v>
      </c>
      <c r="L24" s="25">
        <v>0</v>
      </c>
      <c r="M24" s="25">
        <v>0</v>
      </c>
      <c r="O24" s="2">
        <f t="shared" si="0"/>
        <v>7.3608617594254938E-2</v>
      </c>
      <c r="P24" s="2">
        <f t="shared" si="1"/>
        <v>7.492795389048991E-2</v>
      </c>
      <c r="Q24" s="2">
        <f t="shared" si="2"/>
        <v>6.6666666666666666E-2</v>
      </c>
      <c r="R24" s="2">
        <f t="shared" si="3"/>
        <v>0</v>
      </c>
      <c r="S24" s="2">
        <f t="shared" si="4"/>
        <v>0</v>
      </c>
      <c r="T24" s="2"/>
      <c r="U24" s="2">
        <f>43/569</f>
        <v>7.5571177504393669E-2</v>
      </c>
      <c r="V24" s="2"/>
      <c r="W24" s="3">
        <f t="shared" si="23"/>
        <v>0.97403031188676892</v>
      </c>
      <c r="X24" s="3">
        <f t="shared" si="24"/>
        <v>0.99148850613229678</v>
      </c>
      <c r="Y24" s="3">
        <f t="shared" si="25"/>
        <v>0.88217054263565897</v>
      </c>
      <c r="Z24" s="3">
        <f t="shared" si="19"/>
        <v>0</v>
      </c>
      <c r="AA24" s="3">
        <f t="shared" si="20"/>
        <v>0</v>
      </c>
      <c r="AB24" s="3">
        <f t="shared" si="6"/>
        <v>0.99148850613229678</v>
      </c>
      <c r="AC24" s="41">
        <f t="shared" si="11"/>
        <v>347</v>
      </c>
      <c r="AD24" s="29" t="str">
        <f t="shared" si="12"/>
        <v>4</v>
      </c>
      <c r="AE24" s="3">
        <f t="shared" si="27"/>
        <v>5.5813413729837984E-3</v>
      </c>
      <c r="AF24" s="3">
        <f t="shared" si="27"/>
        <v>8.081472434160851E-2</v>
      </c>
      <c r="AG24" s="3">
        <f t="shared" si="27"/>
        <v>6.2056768945087985E-2</v>
      </c>
      <c r="AH24" s="3">
        <f t="shared" si="27"/>
        <v>0</v>
      </c>
      <c r="AI24" s="3">
        <f t="shared" si="27"/>
        <v>0</v>
      </c>
    </row>
    <row r="25" spans="1:71" x14ac:dyDescent="0.3">
      <c r="A25" s="32" t="s">
        <v>59</v>
      </c>
      <c r="B25" t="s">
        <v>29</v>
      </c>
      <c r="C25" s="25">
        <v>557</v>
      </c>
      <c r="D25" s="25">
        <v>437</v>
      </c>
      <c r="E25" s="25">
        <v>74</v>
      </c>
      <c r="F25" s="25">
        <v>1</v>
      </c>
      <c r="G25" s="25">
        <v>0</v>
      </c>
      <c r="I25" s="25">
        <v>41</v>
      </c>
      <c r="J25" s="25">
        <v>31</v>
      </c>
      <c r="K25" s="25">
        <v>3</v>
      </c>
      <c r="L25" s="25">
        <v>0</v>
      </c>
      <c r="M25" s="25">
        <v>0</v>
      </c>
      <c r="O25" s="2">
        <f t="shared" si="0"/>
        <v>7.3608617594254938E-2</v>
      </c>
      <c r="P25" s="2">
        <f t="shared" si="1"/>
        <v>7.0938215102974822E-2</v>
      </c>
      <c r="Q25" s="2">
        <f t="shared" si="2"/>
        <v>4.0540540540540543E-2</v>
      </c>
      <c r="R25" s="2">
        <f t="shared" si="3"/>
        <v>0</v>
      </c>
      <c r="S25" s="2">
        <f t="shared" si="4"/>
        <v>0</v>
      </c>
      <c r="T25" s="2"/>
      <c r="U25" s="2">
        <f>43/569</f>
        <v>7.5571177504393669E-2</v>
      </c>
      <c r="V25" s="2"/>
      <c r="W25" s="3">
        <f t="shared" si="23"/>
        <v>0.97403031188676892</v>
      </c>
      <c r="X25" s="3">
        <f t="shared" si="24"/>
        <v>0.9386940556649459</v>
      </c>
      <c r="Y25" s="3">
        <f t="shared" si="25"/>
        <v>0.53645505971087371</v>
      </c>
      <c r="Z25" s="3">
        <f t="shared" si="19"/>
        <v>0</v>
      </c>
      <c r="AA25" s="3">
        <f t="shared" si="20"/>
        <v>0</v>
      </c>
      <c r="AB25" s="3">
        <f t="shared" si="6"/>
        <v>0.97403031188676892</v>
      </c>
      <c r="AC25" s="41">
        <f t="shared" si="11"/>
        <v>557</v>
      </c>
      <c r="AD25" s="29" t="str">
        <f t="shared" si="12"/>
        <v>3</v>
      </c>
      <c r="AE25" s="3">
        <f t="shared" si="27"/>
        <v>5.5813413729837984E-3</v>
      </c>
      <c r="AF25" s="3">
        <f t="shared" si="27"/>
        <v>5.3255411285193753E-2</v>
      </c>
      <c r="AG25" s="3">
        <f t="shared" si="27"/>
        <v>4.1388794621839101E-2</v>
      </c>
      <c r="AH25" s="3">
        <f t="shared" si="27"/>
        <v>0</v>
      </c>
      <c r="AI25" s="3">
        <f t="shared" si="27"/>
        <v>0</v>
      </c>
      <c r="BE25" t="s">
        <v>27</v>
      </c>
      <c r="BI25" t="s">
        <v>28</v>
      </c>
      <c r="BM25" t="s">
        <v>29</v>
      </c>
      <c r="BQ25" t="s">
        <v>30</v>
      </c>
    </row>
    <row r="26" spans="1:71" s="1" customFormat="1" x14ac:dyDescent="0.3">
      <c r="A26" s="32" t="s">
        <v>60</v>
      </c>
      <c r="B26" s="1" t="s">
        <v>30</v>
      </c>
      <c r="C26" s="1">
        <v>498</v>
      </c>
      <c r="D26" s="1">
        <v>11</v>
      </c>
      <c r="E26" s="1">
        <v>0</v>
      </c>
      <c r="F26" s="1">
        <v>0</v>
      </c>
      <c r="G26" s="1">
        <v>0</v>
      </c>
      <c r="I26" s="1">
        <v>43</v>
      </c>
      <c r="J26" s="1">
        <v>1</v>
      </c>
      <c r="K26" s="1">
        <v>0</v>
      </c>
      <c r="L26" s="1">
        <v>0</v>
      </c>
      <c r="M26" s="1">
        <v>0</v>
      </c>
      <c r="O26" s="9">
        <f t="shared" si="0"/>
        <v>8.6345381526104423E-2</v>
      </c>
      <c r="P26" s="9">
        <f t="shared" si="1"/>
        <v>9.0909090909090912E-2</v>
      </c>
      <c r="Q26" s="9">
        <f t="shared" si="2"/>
        <v>0</v>
      </c>
      <c r="R26" s="9">
        <f t="shared" si="3"/>
        <v>0</v>
      </c>
      <c r="S26" s="9">
        <f t="shared" si="4"/>
        <v>0</v>
      </c>
      <c r="T26" s="9"/>
      <c r="U26" s="9">
        <f>43/569</f>
        <v>7.5571177504393669E-2</v>
      </c>
      <c r="V26" s="9"/>
      <c r="W26" s="10">
        <f t="shared" si="23"/>
        <v>1.1425702811244982</v>
      </c>
      <c r="X26" s="10">
        <f t="shared" si="24"/>
        <v>1.2029598308668077</v>
      </c>
      <c r="Y26" s="10">
        <f t="shared" si="25"/>
        <v>0</v>
      </c>
      <c r="Z26" s="10">
        <f t="shared" si="19"/>
        <v>0</v>
      </c>
      <c r="AA26" s="10">
        <f t="shared" si="20"/>
        <v>0</v>
      </c>
      <c r="AB26" s="10">
        <f t="shared" si="6"/>
        <v>1.2029598308668077</v>
      </c>
      <c r="AC26" s="41">
        <f t="shared" si="11"/>
        <v>11</v>
      </c>
      <c r="AD26" s="29" t="str">
        <f t="shared" si="12"/>
        <v>4</v>
      </c>
      <c r="AE26" s="10">
        <f t="shared" si="27"/>
        <v>4.2486485867424061E-2</v>
      </c>
      <c r="AF26" s="10">
        <f t="shared" si="27"/>
        <v>7.2589007950224688E-2</v>
      </c>
      <c r="AG26" s="10">
        <f t="shared" si="27"/>
        <v>0</v>
      </c>
      <c r="AH26" s="10">
        <f t="shared" si="27"/>
        <v>0</v>
      </c>
      <c r="AI26" s="10">
        <f t="shared" si="27"/>
        <v>0</v>
      </c>
      <c r="AR26" s="1" t="s">
        <v>36</v>
      </c>
      <c r="AY26" s="1" t="s">
        <v>41</v>
      </c>
      <c r="BA26" s="1" t="s">
        <v>48</v>
      </c>
      <c r="BB26" s="1" t="s">
        <v>44</v>
      </c>
      <c r="BE26" s="1" t="s">
        <v>41</v>
      </c>
      <c r="BG26" s="1" t="s">
        <v>48</v>
      </c>
      <c r="BI26" s="1" t="s">
        <v>41</v>
      </c>
      <c r="BK26" s="1" t="s">
        <v>48</v>
      </c>
      <c r="BM26" s="1" t="s">
        <v>41</v>
      </c>
      <c r="BO26" s="1" t="s">
        <v>48</v>
      </c>
      <c r="BQ26" s="1" t="s">
        <v>41</v>
      </c>
      <c r="BS26" s="1" t="s">
        <v>48</v>
      </c>
    </row>
    <row r="27" spans="1:71" x14ac:dyDescent="0.3">
      <c r="A27" s="32" t="s">
        <v>33</v>
      </c>
      <c r="B27" t="s">
        <v>27</v>
      </c>
      <c r="C27" s="25">
        <v>567</v>
      </c>
      <c r="D27" s="25">
        <v>521</v>
      </c>
      <c r="E27" s="25">
        <v>200</v>
      </c>
      <c r="F27" s="25">
        <v>1</v>
      </c>
      <c r="G27" s="25">
        <v>0</v>
      </c>
      <c r="I27" s="25">
        <v>51</v>
      </c>
      <c r="J27" s="25">
        <v>45</v>
      </c>
      <c r="K27" s="25">
        <v>20</v>
      </c>
      <c r="L27" s="25">
        <v>0</v>
      </c>
      <c r="M27" s="25">
        <v>0</v>
      </c>
      <c r="O27" s="2">
        <f t="shared" si="0"/>
        <v>8.9947089947089942E-2</v>
      </c>
      <c r="P27" s="2">
        <f t="shared" si="1"/>
        <v>8.6372360844529747E-2</v>
      </c>
      <c r="Q27" s="2">
        <f t="shared" si="2"/>
        <v>0.1</v>
      </c>
      <c r="R27" s="2">
        <f t="shared" si="3"/>
        <v>0</v>
      </c>
      <c r="S27" s="2">
        <f t="shared" si="4"/>
        <v>0</v>
      </c>
      <c r="T27" s="2"/>
      <c r="U27" s="2">
        <f>51/569</f>
        <v>8.9630931458699478E-2</v>
      </c>
      <c r="V27" s="2"/>
      <c r="W27" s="3">
        <f t="shared" si="23"/>
        <v>1.0035273368606701</v>
      </c>
      <c r="X27" s="3">
        <f t="shared" si="24"/>
        <v>0.96364457491249844</v>
      </c>
      <c r="Y27" s="3">
        <f t="shared" si="25"/>
        <v>1.115686274509804</v>
      </c>
      <c r="Z27" s="3">
        <f t="shared" si="19"/>
        <v>0</v>
      </c>
      <c r="AA27" s="3">
        <f t="shared" si="20"/>
        <v>0</v>
      </c>
      <c r="AB27" s="3">
        <f t="shared" si="6"/>
        <v>1.115686274509804</v>
      </c>
      <c r="AC27" s="41">
        <f t="shared" si="11"/>
        <v>200</v>
      </c>
      <c r="AD27" s="29" t="str">
        <f t="shared" si="12"/>
        <v>5</v>
      </c>
      <c r="AE27" s="3">
        <f t="shared" ref="AE27:AI30" si="28">IF(C27&gt;0,((I27*((3*51)+C27))/(4*C27*51))*(1-(C27-I27)/(569-51)),0)</f>
        <v>1.2257155114297946E-3</v>
      </c>
      <c r="AF27" s="3">
        <f t="shared" si="28"/>
        <v>2.3137905886014713E-2</v>
      </c>
      <c r="AG27" s="3">
        <f t="shared" si="28"/>
        <v>0.1129097584979938</v>
      </c>
      <c r="AH27" s="3">
        <f t="shared" si="28"/>
        <v>0</v>
      </c>
      <c r="AI27" s="3">
        <f t="shared" si="28"/>
        <v>0</v>
      </c>
      <c r="AR27" s="17" t="s">
        <v>27</v>
      </c>
      <c r="AS27" s="24">
        <f t="shared" ref="AS27:AW30" si="29">COUNTIF(W3, "&gt;1") + COUNTIF(W7, "&gt;1") + COUNTIF(W11, "&gt;1") + COUNTIF(W15, "&gt;1") + COUNTIF(W19, "&gt;1") + COUNTIF(W23, "&gt;1") + COUNTIF(W27, "&gt;1") + COUNTIF(W31, "&gt;1")</f>
        <v>6</v>
      </c>
      <c r="AT27" s="24">
        <f t="shared" si="29"/>
        <v>3</v>
      </c>
      <c r="AU27" s="7">
        <f t="shared" si="29"/>
        <v>6</v>
      </c>
      <c r="AV27" s="7">
        <f t="shared" si="29"/>
        <v>3</v>
      </c>
      <c r="AW27" s="18">
        <f t="shared" si="29"/>
        <v>0</v>
      </c>
      <c r="AX27" s="4"/>
      <c r="AY27" t="s">
        <v>26</v>
      </c>
      <c r="AZ27" s="5">
        <f>MAX(W3:AA6)</f>
        <v>8.7538461538461547</v>
      </c>
      <c r="BA27" s="5">
        <f>_xlfn.IFNA(VLOOKUP(AZ27, W3:AI6,8,0), _xlfn.IFNA(VLOOKUP(AZ27, X3:AI6,8,0), _xlfn.IFNA(VLOOKUP(AZ27, Y3:AI6,8,0), _xlfn.IFNA(VLOOKUP(AZ27, Z3:AI6,8,0), VLOOKUP(AZ27, AA3:AI6,8,0)))))</f>
        <v>4.9211595695970695E-2</v>
      </c>
      <c r="BB27" t="s">
        <v>26</v>
      </c>
      <c r="BC27" s="5">
        <f>MAX(AE3:AI6)</f>
        <v>0.75384615384615383</v>
      </c>
      <c r="BE27" t="s">
        <v>26</v>
      </c>
      <c r="BF27" s="4">
        <f>MAX($W3:$AA3)</f>
        <v>1.7507692307692309</v>
      </c>
      <c r="BG27" s="5">
        <f>_xlfn.IFNA(VLOOKUP($BF27, $W3:$AI3,8,0), _xlfn.IFNA(VLOOKUP($BF27, $X3:$AI3,8,0), _xlfn.IFNA(VLOOKUP($BF27, $Y3:$AI3,8,0), _xlfn.IFNA(VLOOKUP($BF27, $Z3:$AI3,8,0), VLOOKUP($BF27, $AA3:$AI3,8,0)))))</f>
        <v>7.9295259511993385E-2</v>
      </c>
      <c r="BI27" t="s">
        <v>26</v>
      </c>
      <c r="BJ27" s="4">
        <f>MAX($W4:$AA4)</f>
        <v>1.0275395033860046</v>
      </c>
      <c r="BK27" s="5">
        <f>_xlfn.IFNA(VLOOKUP($BJ27, $W4:$AI4,8,0), _xlfn.IFNA(VLOOKUP($BJ27, $X4:$AI4,8,0), _xlfn.IFNA(VLOOKUP($BJ27, $Y4:$AI4,8,0), _xlfn.IFNA(VLOOKUP($BJ27, $Z4:$AI4,8,0), VLOOKUP($BJ27, $AA4:$AI4,8,0)))))</f>
        <v>6.6632433489827614E-4</v>
      </c>
      <c r="BM27" t="s">
        <v>26</v>
      </c>
      <c r="BN27" s="4">
        <f>MAX($W5:$AA5)</f>
        <v>1.0215439856373429</v>
      </c>
      <c r="BO27" s="5" t="str">
        <f>_xlfn.IFNA(VLOOKUP($BN27, $W5:$AI5,8,0), _xlfn.IFNA(VLOOKUP($BN27, $X5:$AI5,8,0), _xlfn.IFNA(VLOOKUP($BN27, $Y5:$AI5,8,0), _xlfn.IFNA(VLOOKUP($BN27, $Z5:$AI5,8,0), VLOOKUP($BN27, $AA5:$AI5,8,0)))))</f>
        <v>3</v>
      </c>
      <c r="BQ27" t="s">
        <v>26</v>
      </c>
      <c r="BR27" s="4">
        <f>MAX($W6:$AA6)</f>
        <v>8.7538461538461547</v>
      </c>
      <c r="BS27" s="5">
        <f>_xlfn.IFNA(VLOOKUP($BR27, $W6:$AI6,8,0), _xlfn.IFNA(VLOOKUP($BR27, $X6:$AI6,8,0), _xlfn.IFNA(VLOOKUP($BR27, $Y6:$AI6,8,0), _xlfn.IFNA(VLOOKUP($BR27, $Z6:$AI6,8,0), VLOOKUP($BR27, $AA6:$AI6,8,0)))))</f>
        <v>4.9211595695970695E-2</v>
      </c>
    </row>
    <row r="28" spans="1:71" x14ac:dyDescent="0.3">
      <c r="A28" s="32" t="s">
        <v>33</v>
      </c>
      <c r="B28" t="s">
        <v>28</v>
      </c>
      <c r="C28" s="25">
        <v>544</v>
      </c>
      <c r="D28" s="25">
        <v>291</v>
      </c>
      <c r="E28" s="25">
        <v>0</v>
      </c>
      <c r="F28" s="25">
        <v>0</v>
      </c>
      <c r="G28" s="25">
        <v>0</v>
      </c>
      <c r="I28" s="25">
        <v>49</v>
      </c>
      <c r="J28" s="25">
        <v>28</v>
      </c>
      <c r="K28" s="25">
        <v>0</v>
      </c>
      <c r="L28" s="25">
        <v>0</v>
      </c>
      <c r="M28" s="25">
        <v>0</v>
      </c>
      <c r="O28" s="2">
        <f t="shared" si="0"/>
        <v>9.0073529411764705E-2</v>
      </c>
      <c r="P28" s="2">
        <f t="shared" si="1"/>
        <v>9.6219931271477668E-2</v>
      </c>
      <c r="Q28" s="2">
        <f t="shared" si="2"/>
        <v>0</v>
      </c>
      <c r="R28" s="2">
        <f t="shared" si="3"/>
        <v>0</v>
      </c>
      <c r="S28" s="2">
        <f t="shared" si="4"/>
        <v>0</v>
      </c>
      <c r="T28" s="2"/>
      <c r="U28" s="2">
        <f>51/569</f>
        <v>8.9630931458699478E-2</v>
      </c>
      <c r="V28" s="2"/>
      <c r="W28" s="3">
        <f t="shared" si="23"/>
        <v>1.00493800461361</v>
      </c>
      <c r="X28" s="3">
        <f t="shared" si="24"/>
        <v>1.0735125665386429</v>
      </c>
      <c r="Y28" s="3">
        <f t="shared" si="25"/>
        <v>0</v>
      </c>
      <c r="Z28" s="3">
        <f t="shared" si="19"/>
        <v>0</v>
      </c>
      <c r="AA28" s="3">
        <f t="shared" si="20"/>
        <v>0</v>
      </c>
      <c r="AB28" s="3">
        <f t="shared" si="6"/>
        <v>1.0735125665386429</v>
      </c>
      <c r="AC28" s="41">
        <f t="shared" si="11"/>
        <v>291</v>
      </c>
      <c r="AD28" s="29" t="str">
        <f t="shared" si="12"/>
        <v>4</v>
      </c>
      <c r="AE28" s="3">
        <f t="shared" si="28"/>
        <v>1.366462970323265E-2</v>
      </c>
      <c r="AF28" s="3">
        <f t="shared" si="28"/>
        <v>0.10309278350515465</v>
      </c>
      <c r="AG28" s="3">
        <f t="shared" si="28"/>
        <v>0</v>
      </c>
      <c r="AH28" s="3">
        <f t="shared" si="28"/>
        <v>0</v>
      </c>
      <c r="AI28" s="3">
        <f t="shared" si="28"/>
        <v>0</v>
      </c>
      <c r="AR28" s="21" t="s">
        <v>28</v>
      </c>
      <c r="AS28" s="26">
        <f t="shared" si="29"/>
        <v>3</v>
      </c>
      <c r="AT28" s="26">
        <f t="shared" si="29"/>
        <v>3</v>
      </c>
      <c r="AU28" s="4">
        <f t="shared" si="29"/>
        <v>0</v>
      </c>
      <c r="AV28" s="4">
        <f t="shared" si="29"/>
        <v>0</v>
      </c>
      <c r="AW28" s="22">
        <f t="shared" si="29"/>
        <v>0</v>
      </c>
      <c r="AX28" s="4"/>
      <c r="AY28" t="s">
        <v>31</v>
      </c>
      <c r="AZ28" s="5">
        <f>MAX(W7:AA10)</f>
        <v>2.2054263565891472</v>
      </c>
      <c r="BA28" s="5">
        <f>_xlfn.IFNA(VLOOKUP(AZ28, W7:AI10,8,0), _xlfn.IFNA(VLOOKUP(AZ28, X7:AI10,8,0), _xlfn.IFNA(VLOOKUP(AZ28, Y7:AI10,8,0), _xlfn.IFNA(VLOOKUP(AZ28, Z7:AI10,8,0), VLOOKUP(AZ28, AA7:AI10,8,0)))))</f>
        <v>0.19881193124368049</v>
      </c>
      <c r="BB28" t="s">
        <v>31</v>
      </c>
      <c r="BC28" s="5">
        <f>MAX(AE7:AI10)</f>
        <v>0.25185974288603208</v>
      </c>
      <c r="BE28" t="s">
        <v>31</v>
      </c>
      <c r="BF28" s="4">
        <f>MAX($W7:$AA7)</f>
        <v>2.2054263565891472</v>
      </c>
      <c r="BG28" s="5">
        <f>_xlfn.IFNA(VLOOKUP($BF28, $W7:$AI7,8,0), _xlfn.IFNA(VLOOKUP($BF28, $X7:$AI7,8,0), _xlfn.IFNA(VLOOKUP($BF28, $Y7:$AI7,8,0), _xlfn.IFNA(VLOOKUP($BF28, $Z7:$AI7,8,0), VLOOKUP($BF28, $AA7:$AI7,8,0)))))</f>
        <v>0.19881193124368049</v>
      </c>
      <c r="BI28" t="s">
        <v>31</v>
      </c>
      <c r="BJ28" s="4">
        <f>MAX($W8:$AA8)</f>
        <v>0.34822521419828639</v>
      </c>
      <c r="BK28" s="5" t="str">
        <f>_xlfn.IFNA(VLOOKUP($BJ28, $W8:$AI8,8,0), _xlfn.IFNA(VLOOKUP($BJ28, $X8:$AI8,8,0), _xlfn.IFNA(VLOOKUP($BJ28, $Y8:$AI8,8,0), _xlfn.IFNA(VLOOKUP($BJ28, $Z8:$AI8,8,0), VLOOKUP($BJ28, $AA8:$AI8,8,0)))))</f>
        <v>3</v>
      </c>
      <c r="BM28" t="s">
        <v>31</v>
      </c>
      <c r="BN28" s="4">
        <f>MAX($W9:$AA9)</f>
        <v>2.2054263565891472</v>
      </c>
      <c r="BO28" s="5">
        <f>_xlfn.IFNA(VLOOKUP($BN28, $W9:$AI9,8,0), _xlfn.IFNA(VLOOKUP($BN28, $X9:$AI9,8,0), _xlfn.IFNA(VLOOKUP($BN28, $Y9:$AI9,8,0), _xlfn.IFNA(VLOOKUP($BN28, $Z9:$AI9,8,0), VLOOKUP($BN28, $AA9:$AI9,8,0)))))</f>
        <v>7.4203999092053413E-2</v>
      </c>
      <c r="BQ28" t="s">
        <v>31</v>
      </c>
      <c r="BR28" s="4">
        <f>MAX($W10:$AA10)</f>
        <v>0.47259136212624586</v>
      </c>
      <c r="BS28" s="5" t="str">
        <f>_xlfn.IFNA(VLOOKUP($BR28, $W10:$AI10,8,0), _xlfn.IFNA(VLOOKUP($BR28, $X10:$AI10,8,0), _xlfn.IFNA(VLOOKUP($BR28, $Y10:$AI10,8,0), _xlfn.IFNA(VLOOKUP($BR28, $Z10:$AI10,8,0), VLOOKUP($BR28, $AA10:$AI10,8,0)))))</f>
        <v>3</v>
      </c>
    </row>
    <row r="29" spans="1:71" x14ac:dyDescent="0.3">
      <c r="A29" s="32" t="s">
        <v>33</v>
      </c>
      <c r="B29" t="s">
        <v>29</v>
      </c>
      <c r="C29" s="25">
        <v>566</v>
      </c>
      <c r="D29" s="25">
        <v>448</v>
      </c>
      <c r="E29" s="25">
        <v>62</v>
      </c>
      <c r="F29" s="25">
        <v>5</v>
      </c>
      <c r="G29" s="25">
        <v>0</v>
      </c>
      <c r="I29" s="25">
        <v>51</v>
      </c>
      <c r="J29" s="25">
        <v>41</v>
      </c>
      <c r="K29" s="25">
        <v>7</v>
      </c>
      <c r="L29" s="25">
        <v>0</v>
      </c>
      <c r="M29" s="25">
        <v>0</v>
      </c>
      <c r="O29" s="2">
        <f t="shared" si="0"/>
        <v>9.0106007067137811E-2</v>
      </c>
      <c r="P29" s="2">
        <f t="shared" si="1"/>
        <v>9.1517857142857137E-2</v>
      </c>
      <c r="Q29" s="2">
        <f t="shared" si="2"/>
        <v>0.11290322580645161</v>
      </c>
      <c r="R29" s="2">
        <f t="shared" si="3"/>
        <v>0</v>
      </c>
      <c r="S29" s="2">
        <f t="shared" si="4"/>
        <v>0</v>
      </c>
      <c r="T29" s="2"/>
      <c r="U29" s="2">
        <f>51/569</f>
        <v>8.9630931458699478E-2</v>
      </c>
      <c r="V29" s="2"/>
      <c r="W29" s="3">
        <f t="shared" si="23"/>
        <v>1.0053003533568905</v>
      </c>
      <c r="X29" s="3">
        <f t="shared" si="24"/>
        <v>1.0210521708683473</v>
      </c>
      <c r="Y29" s="3">
        <f t="shared" si="25"/>
        <v>1.2596457938013914</v>
      </c>
      <c r="Z29" s="3">
        <f t="shared" si="19"/>
        <v>0</v>
      </c>
      <c r="AA29" s="3">
        <f t="shared" si="20"/>
        <v>0</v>
      </c>
      <c r="AB29" s="3">
        <f t="shared" si="6"/>
        <v>1.2596457938013914</v>
      </c>
      <c r="AC29" s="41">
        <f t="shared" si="11"/>
        <v>62</v>
      </c>
      <c r="AD29" s="29" t="str">
        <f t="shared" si="12"/>
        <v>5</v>
      </c>
      <c r="AE29" s="3">
        <f t="shared" si="28"/>
        <v>1.8392635442105369E-3</v>
      </c>
      <c r="AF29" s="3">
        <f t="shared" si="28"/>
        <v>5.7775453931572636E-2</v>
      </c>
      <c r="AG29" s="3">
        <f t="shared" si="28"/>
        <v>0.10635694992905619</v>
      </c>
      <c r="AH29" s="3">
        <f t="shared" si="28"/>
        <v>0</v>
      </c>
      <c r="AI29" s="3">
        <f t="shared" si="28"/>
        <v>0</v>
      </c>
      <c r="AR29" s="21" t="s">
        <v>29</v>
      </c>
      <c r="AS29" s="26">
        <f t="shared" si="29"/>
        <v>4</v>
      </c>
      <c r="AT29" s="26">
        <f t="shared" si="29"/>
        <v>1</v>
      </c>
      <c r="AU29" s="4">
        <f t="shared" si="29"/>
        <v>2</v>
      </c>
      <c r="AV29" s="4">
        <f t="shared" si="29"/>
        <v>2</v>
      </c>
      <c r="AW29" s="22">
        <f t="shared" si="29"/>
        <v>0</v>
      </c>
      <c r="AX29" s="4"/>
      <c r="AY29" t="s">
        <v>32</v>
      </c>
      <c r="AZ29" s="5">
        <f>MAX(W11:AA14)</f>
        <v>1.1027131782945736</v>
      </c>
      <c r="BA29" s="5">
        <f>_xlfn.IFNA(VLOOKUP(AZ29, W11:AI14,8,0), _xlfn.IFNA(VLOOKUP(AZ29, X11:AI14,8,0), _xlfn.IFNA(VLOOKUP(AZ29, Y11:AI14,8,0), _xlfn.IFNA(VLOOKUP(AZ29, Z11:AI14,8,0), VLOOKUP(AZ29, AA11:AI14,8,0)))))</f>
        <v>9.3242613393203874E-2</v>
      </c>
      <c r="BB29" t="s">
        <v>32</v>
      </c>
      <c r="BC29" s="5">
        <f>MAX(AE11:AI14)</f>
        <v>0.13097043670855602</v>
      </c>
      <c r="BE29" t="s">
        <v>32</v>
      </c>
      <c r="BF29" s="4">
        <f>MAX($W11:$AA11)</f>
        <v>1.1027131782945736</v>
      </c>
      <c r="BG29" s="5">
        <f>_xlfn.IFNA(VLOOKUP($BF29, $W11:$AI11,8,0), _xlfn.IFNA(VLOOKUP($BF29, $X11:$AI11,8,0), _xlfn.IFNA(VLOOKUP($BF29, $Y11:$AI11,8,0), _xlfn.IFNA(VLOOKUP($BF29, $Z11:$AI11,8,0), VLOOKUP($BF29, $AA11:$AI11,8,0)))))</f>
        <v>9.3242613393203874E-2</v>
      </c>
      <c r="BI29" t="s">
        <v>32</v>
      </c>
      <c r="BJ29" s="4">
        <f>MAX($W12:$AA12)</f>
        <v>0.93958992706756583</v>
      </c>
      <c r="BK29" s="5" t="str">
        <f>_xlfn.IFNA(VLOOKUP($BJ29, $W12:$AI12,8,0), _xlfn.IFNA(VLOOKUP($BJ29, $X12:$AI12,8,0), _xlfn.IFNA(VLOOKUP($BJ29, $Y12:$AI12,8,0), _xlfn.IFNA(VLOOKUP($BJ29, $Z12:$AI12,8,0), VLOOKUP($BJ29, $AA12:$AI12,8,0)))))</f>
        <v>3</v>
      </c>
      <c r="BM29" t="s">
        <v>32</v>
      </c>
      <c r="BN29" s="4">
        <f>MAX($W13:$AA13)</f>
        <v>1.0160714285714287</v>
      </c>
      <c r="BO29" s="5" t="str">
        <f>_xlfn.IFNA(VLOOKUP($BN29, $W13:$AI13,8,0), _xlfn.IFNA(VLOOKUP($BN29, $X13:$AI13,8,0), _xlfn.IFNA(VLOOKUP($BN29, $Y13:$AI13,8,0), _xlfn.IFNA(VLOOKUP($BN29, $Z13:$AI13,8,0), VLOOKUP($BN29, $AA13:$AI13,8,0)))))</f>
        <v>3</v>
      </c>
      <c r="BQ29" t="s">
        <v>32</v>
      </c>
      <c r="BR29" s="4">
        <f>MAX($W14:$AA14)</f>
        <v>0.71527341294783164</v>
      </c>
      <c r="BS29" s="5" t="str">
        <f>_xlfn.IFNA(VLOOKUP($BR29, $W14:$AI14,8,0), _xlfn.IFNA(VLOOKUP($BR29, $X14:$AI14,8,0), _xlfn.IFNA(VLOOKUP($BR29, $Y14:$AI14,8,0), _xlfn.IFNA(VLOOKUP($BR29, $Z14:$AI14,8,0), VLOOKUP($BR29, $AA14:$AI14,8,0)))))</f>
        <v>3</v>
      </c>
    </row>
    <row r="30" spans="1:71" s="1" customFormat="1" x14ac:dyDescent="0.3">
      <c r="A30" s="32" t="s">
        <v>33</v>
      </c>
      <c r="B30" s="1" t="s">
        <v>30</v>
      </c>
      <c r="C30" s="1">
        <v>555</v>
      </c>
      <c r="D30" s="1">
        <v>408</v>
      </c>
      <c r="E30" s="1">
        <v>51</v>
      </c>
      <c r="F30" s="1">
        <v>0</v>
      </c>
      <c r="G30" s="1">
        <v>0</v>
      </c>
      <c r="I30" s="1">
        <v>49</v>
      </c>
      <c r="J30" s="1">
        <v>34</v>
      </c>
      <c r="K30" s="1">
        <v>15</v>
      </c>
      <c r="L30" s="1">
        <v>0</v>
      </c>
      <c r="M30" s="1">
        <v>0</v>
      </c>
      <c r="O30" s="9">
        <f t="shared" si="0"/>
        <v>8.8288288288288289E-2</v>
      </c>
      <c r="P30" s="9">
        <f t="shared" si="1"/>
        <v>8.3333333333333329E-2</v>
      </c>
      <c r="Q30" s="9">
        <f t="shared" si="2"/>
        <v>0.29411764705882354</v>
      </c>
      <c r="R30" s="9">
        <f t="shared" si="3"/>
        <v>0</v>
      </c>
      <c r="S30" s="9">
        <f t="shared" si="4"/>
        <v>0</v>
      </c>
      <c r="T30" s="9"/>
      <c r="U30" s="9">
        <f>51/569</f>
        <v>8.9630931458699478E-2</v>
      </c>
      <c r="V30" s="9"/>
      <c r="W30" s="10">
        <f t="shared" si="23"/>
        <v>0.98502031443207905</v>
      </c>
      <c r="X30" s="10">
        <f t="shared" si="24"/>
        <v>0.92973856209150318</v>
      </c>
      <c r="Y30" s="10">
        <f t="shared" si="25"/>
        <v>3.2814302191464821</v>
      </c>
      <c r="Z30" s="10">
        <f t="shared" si="19"/>
        <v>0</v>
      </c>
      <c r="AA30" s="10">
        <f t="shared" si="20"/>
        <v>0</v>
      </c>
      <c r="AB30" s="10">
        <f t="shared" si="6"/>
        <v>3.2814302191464821</v>
      </c>
      <c r="AC30" s="41">
        <f t="shared" si="11"/>
        <v>51</v>
      </c>
      <c r="AD30" s="29" t="str">
        <f t="shared" si="12"/>
        <v>5</v>
      </c>
      <c r="AE30" s="10">
        <f t="shared" si="28"/>
        <v>7.0983543161603439E-3</v>
      </c>
      <c r="AF30" s="10">
        <f t="shared" si="28"/>
        <v>6.3706563706563704E-2</v>
      </c>
      <c r="AG30" s="10">
        <f t="shared" si="28"/>
        <v>0.27367703838292073</v>
      </c>
      <c r="AH30" s="10">
        <f t="shared" si="28"/>
        <v>0</v>
      </c>
      <c r="AI30" s="10">
        <f t="shared" si="28"/>
        <v>0</v>
      </c>
      <c r="AR30" s="19" t="s">
        <v>30</v>
      </c>
      <c r="AS30" s="16">
        <f t="shared" si="29"/>
        <v>2</v>
      </c>
      <c r="AT30" s="16">
        <f t="shared" si="29"/>
        <v>2</v>
      </c>
      <c r="AU30" s="13">
        <f t="shared" si="29"/>
        <v>1</v>
      </c>
      <c r="AV30" s="13">
        <f t="shared" si="29"/>
        <v>1</v>
      </c>
      <c r="AW30" s="20">
        <f t="shared" si="29"/>
        <v>0</v>
      </c>
      <c r="AX30" s="13"/>
      <c r="AY30" s="1" t="s">
        <v>33</v>
      </c>
      <c r="AZ30" s="14">
        <f>MAX(W15:AA18)</f>
        <v>9.8103448275862064</v>
      </c>
      <c r="BA30" s="14">
        <f>_xlfn.IFNA(VLOOKUP(AZ30, W15:AI18,8,0), _xlfn.IFNA(VLOOKUP(AZ30, X15:AI18,8,0), _xlfn.IFNA(VLOOKUP(AZ30, Y15:AI18,8,0), _xlfn.IFNA(VLOOKUP(AZ30, Z15:AI18,8,0), VLOOKUP(AZ30, AA15:AI18,8,0)))))</f>
        <v>6.9406109262620155E-2</v>
      </c>
      <c r="BB30" s="1" t="s">
        <v>33</v>
      </c>
      <c r="BC30" s="14">
        <f>MAX(AE15:AI18)</f>
        <v>0.38291028097062579</v>
      </c>
      <c r="BE30" s="1" t="s">
        <v>33</v>
      </c>
      <c r="BF30" s="4">
        <f>MAX($W15:$AA15)</f>
        <v>0.87749059280735309</v>
      </c>
      <c r="BG30" s="14" t="str">
        <f>_xlfn.IFNA(VLOOKUP($BF30, $W15:$AI15,8,0), _xlfn.IFNA(VLOOKUP($BF30, $X15:$AI15,8,0), _xlfn.IFNA(VLOOKUP($BF30, $Y15:$AI15,8,0), _xlfn.IFNA(VLOOKUP($BF30, $Z15:$AI15,8,0), VLOOKUP($BF30, $AA15:$AI15,8,0)))))</f>
        <v>3</v>
      </c>
      <c r="BI30" s="1" t="s">
        <v>33</v>
      </c>
      <c r="BJ30" s="4">
        <f>MAX($W16:$AA16)</f>
        <v>0.83746846089150551</v>
      </c>
      <c r="BK30" s="5" t="str">
        <f>_xlfn.IFNA(VLOOKUP($BJ30, $W16:$AI16,8,0), _xlfn.IFNA(VLOOKUP($BJ30, $X16:$AI16,8,0), _xlfn.IFNA(VLOOKUP($BJ30, $Y16:$AI16,8,0), _xlfn.IFNA(VLOOKUP($BJ30, $Z16:$AI16,8,0), VLOOKUP($BJ30, $AA16:$AI16,8,0)))))</f>
        <v>3</v>
      </c>
      <c r="BM30" s="1" t="s">
        <v>33</v>
      </c>
      <c r="BN30" s="13">
        <f>MAX($W17:$AA17)</f>
        <v>0.97928575819042352</v>
      </c>
      <c r="BO30" s="14" t="str">
        <f>_xlfn.IFNA(VLOOKUP($BN30, $W17:$AI17,8,0), _xlfn.IFNA(VLOOKUP($BN30, $X17:$AI17,8,0), _xlfn.IFNA(VLOOKUP($BN30, $Y17:$AI17,8,0), _xlfn.IFNA(VLOOKUP($BN30, $Z17:$AI17,8,0), VLOOKUP($BN30, $AA17:$AI17,8,0)))))</f>
        <v>3</v>
      </c>
      <c r="BQ30" s="1" t="s">
        <v>33</v>
      </c>
      <c r="BR30" s="13">
        <f>MAX($W18:$AA18)</f>
        <v>9.8103448275862064</v>
      </c>
      <c r="BS30" s="14">
        <f>_xlfn.IFNA(VLOOKUP($BR30, $W18:$AI18,8,0), _xlfn.IFNA(VLOOKUP($BR30, $X18:$AI18,8,0), _xlfn.IFNA(VLOOKUP($BR30, $Y18:$AI18,8,0), _xlfn.IFNA(VLOOKUP($BR30, $Z18:$AI18,8,0), VLOOKUP($BR30, $AA18:$AI18,8,0)))))</f>
        <v>6.9406109262620155E-2</v>
      </c>
    </row>
    <row r="31" spans="1:71" x14ac:dyDescent="0.3">
      <c r="A31" s="32" t="s">
        <v>34</v>
      </c>
      <c r="B31" t="s">
        <v>27</v>
      </c>
      <c r="C31" s="25">
        <v>526</v>
      </c>
      <c r="D31" s="25">
        <v>132</v>
      </c>
      <c r="E31" s="25">
        <v>11</v>
      </c>
      <c r="F31" s="25">
        <v>1</v>
      </c>
      <c r="G31" s="25">
        <v>0</v>
      </c>
      <c r="I31" s="25">
        <v>67</v>
      </c>
      <c r="J31" s="25">
        <v>17</v>
      </c>
      <c r="K31" s="25">
        <v>5</v>
      </c>
      <c r="L31" s="25">
        <v>1</v>
      </c>
      <c r="M31" s="25">
        <v>0</v>
      </c>
      <c r="O31" s="2">
        <f t="shared" si="0"/>
        <v>0.12737642585551331</v>
      </c>
      <c r="P31" s="2">
        <f t="shared" si="1"/>
        <v>0.12878787878787878</v>
      </c>
      <c r="Q31" s="2">
        <f t="shared" si="2"/>
        <v>0.45454545454545453</v>
      </c>
      <c r="R31" s="2">
        <f t="shared" si="3"/>
        <v>1</v>
      </c>
      <c r="S31" s="2">
        <f t="shared" si="4"/>
        <v>0</v>
      </c>
      <c r="T31" s="2"/>
      <c r="U31" s="2">
        <f>69/569</f>
        <v>0.12126537785588752</v>
      </c>
      <c r="V31" s="2"/>
      <c r="W31" s="3">
        <f t="shared" si="23"/>
        <v>1.0503940045186533</v>
      </c>
      <c r="X31" s="3">
        <f t="shared" si="24"/>
        <v>1.0620333772507686</v>
      </c>
      <c r="Y31" s="3">
        <f t="shared" si="25"/>
        <v>3.7483530961791831</v>
      </c>
      <c r="Z31" s="3">
        <f t="shared" si="19"/>
        <v>8.2463768115942031</v>
      </c>
      <c r="AA31" s="3">
        <f t="shared" si="20"/>
        <v>0</v>
      </c>
      <c r="AB31" s="3">
        <f t="shared" si="6"/>
        <v>8.2463768115942031</v>
      </c>
      <c r="AC31" s="41">
        <f t="shared" si="11"/>
        <v>1</v>
      </c>
      <c r="AD31" s="29" t="str">
        <f t="shared" si="12"/>
        <v>6</v>
      </c>
      <c r="AE31" s="3">
        <f t="shared" ref="AE31:AI34" si="30">IF(C31&gt;0,((I31*((3*69)+C31))/(4*C31*69))*(1-(C31-I31)/(569-69)),0)</f>
        <v>2.7739447291563333E-2</v>
      </c>
      <c r="AF31" s="3">
        <f t="shared" si="30"/>
        <v>0.12180253623188406</v>
      </c>
      <c r="AG31" s="3">
        <f t="shared" si="30"/>
        <v>0.35471673254281949</v>
      </c>
      <c r="AH31" s="3">
        <f t="shared" si="30"/>
        <v>0.75362318840579712</v>
      </c>
      <c r="AI31" s="3">
        <f t="shared" si="30"/>
        <v>0</v>
      </c>
      <c r="AY31" t="s">
        <v>34</v>
      </c>
      <c r="AZ31" s="5">
        <f>MAX(W19:AA22)</f>
        <v>3.5562500000000004</v>
      </c>
      <c r="BA31" s="5" t="str">
        <f>_xlfn.IFNA(VLOOKUP(AZ31, W19:AI22,8,0), _xlfn.IFNA(VLOOKUP(AZ31, X19:AI22,8,0), _xlfn.IFNA(VLOOKUP(AZ31, Y19:AI22,8,0), _xlfn.IFNA(VLOOKUP(AZ31, Z19:AI22,8,0), VLOOKUP(AZ31, AA19:AI22,8,0)))))</f>
        <v>3</v>
      </c>
      <c r="BB31" t="s">
        <v>34</v>
      </c>
      <c r="BC31" s="5">
        <f>MAX(AE19:AI22)</f>
        <v>0.17584962756052142</v>
      </c>
      <c r="BE31" t="s">
        <v>34</v>
      </c>
      <c r="BF31" s="4">
        <f>MAX($W19:$AA19)</f>
        <v>1.6164772727272729</v>
      </c>
      <c r="BG31" s="5">
        <f>_xlfn.IFNA(VLOOKUP($BF31, $W19:$AI19,8,0), _xlfn.IFNA(VLOOKUP($BF31, $X19:$AI19,8,0), _xlfn.IFNA(VLOOKUP($BF31, $Y19:$AI19,8,0), _xlfn.IFNA(VLOOKUP($BF31, $Z19:$AI19,8,0), VLOOKUP($BF31, $AA19:$AI19,8,0)))))</f>
        <v>7.7470321229050287E-2</v>
      </c>
      <c r="BI31" t="s">
        <v>34</v>
      </c>
      <c r="BJ31" s="4">
        <f>MAX($W20:$AA20)</f>
        <v>3.5562500000000004</v>
      </c>
      <c r="BK31" s="5" t="str">
        <f>_xlfn.IFNA(VLOOKUP($BJ31, $W20:$AI20,8,0), _xlfn.IFNA(VLOOKUP($BJ31, $X20:$AI20,8,0), _xlfn.IFNA(VLOOKUP($BJ31, $Y20:$AI20,8,0), _xlfn.IFNA(VLOOKUP($BJ31, $Z20:$AI20,8,0), VLOOKUP($BJ31, $AA20:$AI20,8,0)))))</f>
        <v>3</v>
      </c>
      <c r="BM31" t="s">
        <v>34</v>
      </c>
      <c r="BN31" s="4">
        <f>MAX($W21:$AA21)</f>
        <v>3.5562500000000004</v>
      </c>
      <c r="BO31" s="5">
        <f>_xlfn.IFNA(VLOOKUP($BN31, $W21:$AI21,8,0), _xlfn.IFNA(VLOOKUP($BN31, $X21:$AI21,8,0), _xlfn.IFNA(VLOOKUP($BN31, $Y21:$AI21,8,0), _xlfn.IFNA(VLOOKUP($BN31, $Z21:$AI21,8,0), VLOOKUP($BN31, $AA21:$AI21,8,0)))))</f>
        <v>6.4509776536312846E-2</v>
      </c>
      <c r="BQ31" t="s">
        <v>34</v>
      </c>
      <c r="BR31" s="4">
        <f>MAX($W22:$AA22)</f>
        <v>3.5562500000000004</v>
      </c>
      <c r="BS31" s="5" t="str">
        <f>_xlfn.IFNA(VLOOKUP($BR31, $W22:$AI22,8,0), _xlfn.IFNA(VLOOKUP($BR31, $X22:$AI22,8,0), _xlfn.IFNA(VLOOKUP($BR31, $Y22:$AI22,8,0), _xlfn.IFNA(VLOOKUP($BR31, $Z22:$AI22,8,0), VLOOKUP($BR31, $AA22:$AI22,8,0)))))</f>
        <v>3</v>
      </c>
    </row>
    <row r="32" spans="1:71" x14ac:dyDescent="0.3">
      <c r="A32" s="32" t="s">
        <v>34</v>
      </c>
      <c r="B32" t="s">
        <v>28</v>
      </c>
      <c r="C32" s="25">
        <v>217</v>
      </c>
      <c r="D32" s="25">
        <v>8</v>
      </c>
      <c r="E32" s="25">
        <v>0</v>
      </c>
      <c r="F32" s="25">
        <v>0</v>
      </c>
      <c r="G32" s="25">
        <v>0</v>
      </c>
      <c r="I32" s="25">
        <v>16</v>
      </c>
      <c r="J32" s="25">
        <v>2</v>
      </c>
      <c r="K32" s="25">
        <v>0</v>
      </c>
      <c r="L32" s="25">
        <v>0</v>
      </c>
      <c r="M32" s="25">
        <v>0</v>
      </c>
      <c r="O32" s="2">
        <f t="shared" si="0"/>
        <v>7.3732718894009217E-2</v>
      </c>
      <c r="P32" s="2">
        <f t="shared" si="1"/>
        <v>0.25</v>
      </c>
      <c r="Q32" s="2">
        <f t="shared" si="2"/>
        <v>0</v>
      </c>
      <c r="R32" s="2">
        <f t="shared" si="3"/>
        <v>0</v>
      </c>
      <c r="S32" s="2">
        <f t="shared" si="4"/>
        <v>0</v>
      </c>
      <c r="T32" s="2"/>
      <c r="U32" s="2">
        <f>69/569</f>
        <v>0.12126537785588752</v>
      </c>
      <c r="V32" s="2"/>
      <c r="W32" s="3">
        <f t="shared" si="23"/>
        <v>0.60802778334335139</v>
      </c>
      <c r="X32" s="3">
        <f t="shared" si="24"/>
        <v>2.0615942028985508</v>
      </c>
      <c r="Y32" s="3">
        <f t="shared" si="25"/>
        <v>0</v>
      </c>
      <c r="Z32" s="3">
        <f t="shared" si="19"/>
        <v>0</v>
      </c>
      <c r="AA32" s="3">
        <f t="shared" si="20"/>
        <v>0</v>
      </c>
      <c r="AB32" s="3">
        <f t="shared" si="6"/>
        <v>2.0615942028985508</v>
      </c>
      <c r="AC32" s="41">
        <f t="shared" si="11"/>
        <v>8</v>
      </c>
      <c r="AD32" s="29" t="str">
        <f t="shared" si="12"/>
        <v>4</v>
      </c>
      <c r="AE32" s="3">
        <f t="shared" si="30"/>
        <v>6.7735791090629799E-2</v>
      </c>
      <c r="AF32" s="3">
        <f t="shared" si="30"/>
        <v>0.19240942028985508</v>
      </c>
      <c r="AG32" s="3">
        <f t="shared" si="30"/>
        <v>0</v>
      </c>
      <c r="AH32" s="3">
        <f t="shared" si="30"/>
        <v>0</v>
      </c>
      <c r="AI32" s="3">
        <f t="shared" si="30"/>
        <v>0</v>
      </c>
      <c r="AR32" t="s">
        <v>39</v>
      </c>
      <c r="AY32" t="s">
        <v>35</v>
      </c>
      <c r="AZ32" s="5">
        <f>MAX(W23:AA26)</f>
        <v>1.5162306201550388</v>
      </c>
      <c r="BA32" s="5">
        <f>_xlfn.IFNA(VLOOKUP(AZ32, W23:AI26,8,0), _xlfn.IFNA(VLOOKUP(AZ32, X23:AI26,8,0), _xlfn.IFNA(VLOOKUP(AZ32, Y23:AI26,8,0), _xlfn.IFNA(VLOOKUP(AZ32, Z23:AI26,8,0), VLOOKUP(AZ32, AA23:AI26,8,0)))))</f>
        <v>3.4997372735907473E-2</v>
      </c>
      <c r="BB32" t="s">
        <v>35</v>
      </c>
      <c r="BC32" s="5">
        <f>MAX(AE23:AI26)</f>
        <v>0.12566906059333274</v>
      </c>
      <c r="BE32" t="s">
        <v>35</v>
      </c>
      <c r="BF32" s="4">
        <f>MAX($W23:$AA23)</f>
        <v>1.5162306201550388</v>
      </c>
      <c r="BG32" s="5">
        <f>_xlfn.IFNA(VLOOKUP($BF32, $W23:$AI23,8,0), _xlfn.IFNA(VLOOKUP($BF32, $X23:$AI23,8,0), _xlfn.IFNA(VLOOKUP($BF32, $Y23:$AI23,8,0), _xlfn.IFNA(VLOOKUP($BF32, $Z23:$AI23,8,0), VLOOKUP($BF32, $AA23:$AI23,8,0)))))</f>
        <v>3.4997372735907473E-2</v>
      </c>
      <c r="BI32" t="s">
        <v>35</v>
      </c>
      <c r="BJ32" s="4">
        <f>MAX($W24:$AA24)</f>
        <v>0.99148850613229678</v>
      </c>
      <c r="BK32" s="5">
        <f>_xlfn.IFNA(VLOOKUP($BJ32, $W24:$AI24,8,0), _xlfn.IFNA(VLOOKUP($BJ32, $X24:$AI24,8,0), _xlfn.IFNA(VLOOKUP($BJ32, $Y24:$AI24,8,0), _xlfn.IFNA(VLOOKUP($BJ32, $Z24:$AI24,8,0), VLOOKUP($BJ32, $AA24:$AI24,8,0)))))</f>
        <v>5.5813413729837984E-3</v>
      </c>
      <c r="BM32" t="s">
        <v>35</v>
      </c>
      <c r="BN32" s="4">
        <f>MAX($W25:$AA25)</f>
        <v>0.97403031188676892</v>
      </c>
      <c r="BO32" s="5" t="str">
        <f>_xlfn.IFNA(VLOOKUP($BN32, $W25:$AI25,8,0), _xlfn.IFNA(VLOOKUP($BN32, $X25:$AI25,8,0), _xlfn.IFNA(VLOOKUP($BN32, $Y25:$AI25,8,0), _xlfn.IFNA(VLOOKUP($BN32, $Z25:$AI25,8,0), VLOOKUP($BN32, $AA25:$AI25,8,0)))))</f>
        <v>3</v>
      </c>
      <c r="BQ32" t="s">
        <v>35</v>
      </c>
      <c r="BR32" s="4">
        <f>MAX($W26:$AA26)</f>
        <v>1.2029598308668077</v>
      </c>
      <c r="BS32" s="5">
        <f>_xlfn.IFNA(VLOOKUP($BR32, $W26:$AI26,8,0), _xlfn.IFNA(VLOOKUP($BR32, $X26:$AI26,8,0), _xlfn.IFNA(VLOOKUP($BR32, $Y26:$AI26,8,0), _xlfn.IFNA(VLOOKUP($BR32, $Z26:$AI26,8,0), VLOOKUP($BR32, $AA26:$AI26,8,0)))))</f>
        <v>4.2486485867424061E-2</v>
      </c>
    </row>
    <row r="33" spans="1:71" x14ac:dyDescent="0.3">
      <c r="A33" s="32" t="s">
        <v>34</v>
      </c>
      <c r="B33" t="s">
        <v>29</v>
      </c>
      <c r="C33" s="25">
        <v>547</v>
      </c>
      <c r="D33" s="25">
        <v>157</v>
      </c>
      <c r="E33" s="25">
        <v>10</v>
      </c>
      <c r="F33" s="25">
        <v>1</v>
      </c>
      <c r="G33" s="25">
        <v>0</v>
      </c>
      <c r="I33" s="25">
        <v>67</v>
      </c>
      <c r="J33" s="25">
        <v>17</v>
      </c>
      <c r="K33" s="25">
        <v>4</v>
      </c>
      <c r="L33" s="25">
        <v>0</v>
      </c>
      <c r="M33" s="25">
        <v>0</v>
      </c>
      <c r="O33" s="2">
        <f t="shared" si="0"/>
        <v>0.12248628884826325</v>
      </c>
      <c r="P33" s="2">
        <f t="shared" si="1"/>
        <v>0.10828025477707007</v>
      </c>
      <c r="Q33" s="2">
        <f t="shared" si="2"/>
        <v>0.4</v>
      </c>
      <c r="R33" s="2">
        <f t="shared" si="3"/>
        <v>0</v>
      </c>
      <c r="S33" s="2">
        <f t="shared" si="4"/>
        <v>0</v>
      </c>
      <c r="T33" s="2"/>
      <c r="U33" s="2">
        <f>69/569</f>
        <v>0.12126537785588752</v>
      </c>
      <c r="V33" s="2"/>
      <c r="W33" s="3">
        <f t="shared" si="23"/>
        <v>1.0100680920965477</v>
      </c>
      <c r="X33" s="3">
        <f t="shared" si="24"/>
        <v>0.89291978214714307</v>
      </c>
      <c r="Y33" s="3">
        <f t="shared" si="25"/>
        <v>3.2985507246376815</v>
      </c>
      <c r="Z33" s="3">
        <f t="shared" si="19"/>
        <v>0</v>
      </c>
      <c r="AA33" s="3">
        <f t="shared" si="20"/>
        <v>0</v>
      </c>
      <c r="AB33" s="3">
        <f t="shared" si="6"/>
        <v>3.2985507246376815</v>
      </c>
      <c r="AC33" s="41">
        <f t="shared" si="11"/>
        <v>10</v>
      </c>
      <c r="AD33" s="29" t="str">
        <f t="shared" si="12"/>
        <v>5</v>
      </c>
      <c r="AE33" s="3">
        <f t="shared" si="30"/>
        <v>1.3384733592984142E-2</v>
      </c>
      <c r="AF33" s="3">
        <f t="shared" si="30"/>
        <v>0.10281916366657436</v>
      </c>
      <c r="AG33" s="3">
        <f t="shared" si="30"/>
        <v>0.31071884057971016</v>
      </c>
      <c r="AH33" s="3">
        <f t="shared" si="30"/>
        <v>0</v>
      </c>
      <c r="AI33" s="3">
        <f t="shared" si="30"/>
        <v>0</v>
      </c>
      <c r="AR33" s="17" t="s">
        <v>27</v>
      </c>
      <c r="AS33" s="7">
        <f t="shared" ref="AS33:AW36" si="31">COUNTIF(W3, "&gt;2") + COUNTIF(W7, "&gt;2") + COUNTIF(W11, "&gt;2") + COUNTIF(W15, "&gt;2") + COUNTIF(W19, "&gt;2") + COUNTIF(W23, "&gt;2") + COUNTIF(W27, "&gt;2") + COUNTIF(W31, "&gt;2")</f>
        <v>0</v>
      </c>
      <c r="AT33" s="7">
        <f t="shared" si="31"/>
        <v>0</v>
      </c>
      <c r="AU33" s="7">
        <f t="shared" si="31"/>
        <v>1</v>
      </c>
      <c r="AV33" s="7">
        <f t="shared" si="31"/>
        <v>2</v>
      </c>
      <c r="AW33" s="18">
        <f t="shared" si="31"/>
        <v>0</v>
      </c>
      <c r="AX33" s="4"/>
      <c r="AY33" t="s">
        <v>37</v>
      </c>
      <c r="AZ33" s="5">
        <f>MAX(W27:AA30)</f>
        <v>3.2814302191464821</v>
      </c>
      <c r="BA33" s="5">
        <f>_xlfn.IFNA(VLOOKUP(AZ33, W27:AI30,8,0), _xlfn.IFNA(VLOOKUP(AZ33, X27:AI30,8,0), _xlfn.IFNA(VLOOKUP(AZ33, Y27:AI30,8,0), _xlfn.IFNA(VLOOKUP(AZ33, Z27:AI30,8,0), VLOOKUP(AZ33, AA27:AI30,8,0)))))</f>
        <v>6.3706563706563704E-2</v>
      </c>
      <c r="BB33" t="s">
        <v>37</v>
      </c>
      <c r="BC33" s="5">
        <f>MAX(AE27:AI30)</f>
        <v>0.27367703838292073</v>
      </c>
      <c r="BE33" t="s">
        <v>37</v>
      </c>
      <c r="BF33" s="4">
        <f>MAX($W27:$AA27)</f>
        <v>1.115686274509804</v>
      </c>
      <c r="BG33" s="5">
        <f>_xlfn.IFNA(VLOOKUP($BF33, $W27:$AI27,8,0), _xlfn.IFNA(VLOOKUP($BF33, $X27:$AI27,8,0), _xlfn.IFNA(VLOOKUP($BF33, $Y27:$AI27,8,0), _xlfn.IFNA(VLOOKUP($BF33, $Z27:$AI27,8,0), VLOOKUP($BF33, $AA27:$AI27,8,0)))))</f>
        <v>2.3137905886014713E-2</v>
      </c>
      <c r="BI33" t="s">
        <v>37</v>
      </c>
      <c r="BJ33" s="4">
        <f>MAX($W28:$AA28)</f>
        <v>1.0735125665386429</v>
      </c>
      <c r="BK33" s="5">
        <f>_xlfn.IFNA(VLOOKUP($BJ33, $W28:$AI28,8,0), _xlfn.IFNA(VLOOKUP($BJ33, $X28:$AI28,8,0), _xlfn.IFNA(VLOOKUP($BJ33, $Y28:$AI28,8,0), _xlfn.IFNA(VLOOKUP($BJ33, $Z28:$AI28,8,0), VLOOKUP($BJ33, $AA28:$AI28,8,0)))))</f>
        <v>1.366462970323265E-2</v>
      </c>
      <c r="BM33" t="s">
        <v>37</v>
      </c>
      <c r="BN33" s="4">
        <f>MAX($W29:$AA29)</f>
        <v>1.2596457938013914</v>
      </c>
      <c r="BO33" s="5">
        <f>_xlfn.IFNA(VLOOKUP($BN33, $W29:$AI29,8,0), _xlfn.IFNA(VLOOKUP($BN33, $X29:$AI29,8,0), _xlfn.IFNA(VLOOKUP($BN33, $Y29:$AI29,8,0), _xlfn.IFNA(VLOOKUP($BN33, $Z29:$AI29,8,0), VLOOKUP($BN33, $AA29:$AI29,8,0)))))</f>
        <v>5.7775453931572636E-2</v>
      </c>
      <c r="BQ33" t="s">
        <v>37</v>
      </c>
      <c r="BR33" s="4">
        <f>MAX($W30:$AA30)</f>
        <v>3.2814302191464821</v>
      </c>
      <c r="BS33" s="5">
        <f>_xlfn.IFNA(VLOOKUP($BR33, $W30:$AI30,8,0), _xlfn.IFNA(VLOOKUP($BR33, $X30:$AI30,8,0), _xlfn.IFNA(VLOOKUP($BR33, $Y30:$AI30,8,0), _xlfn.IFNA(VLOOKUP($BR33, $Z30:$AI30,8,0), VLOOKUP($BR33, $AA30:$AI30,8,0)))))</f>
        <v>6.3706563706563704E-2</v>
      </c>
    </row>
    <row r="34" spans="1:71" s="1" customFormat="1" x14ac:dyDescent="0.3">
      <c r="A34" s="32" t="s">
        <v>34</v>
      </c>
      <c r="B34" s="1" t="s">
        <v>30</v>
      </c>
      <c r="C34" s="1">
        <v>40</v>
      </c>
      <c r="D34" s="1">
        <v>14</v>
      </c>
      <c r="E34" s="1">
        <v>0</v>
      </c>
      <c r="F34" s="1">
        <v>0</v>
      </c>
      <c r="G34" s="1">
        <v>0</v>
      </c>
      <c r="I34" s="1">
        <v>2</v>
      </c>
      <c r="J34" s="1">
        <v>0</v>
      </c>
      <c r="K34" s="1">
        <v>0</v>
      </c>
      <c r="L34" s="1">
        <v>0</v>
      </c>
      <c r="M34" s="1">
        <v>0</v>
      </c>
      <c r="O34" s="9">
        <f t="shared" si="0"/>
        <v>0.05</v>
      </c>
      <c r="P34" s="9">
        <f t="shared" si="1"/>
        <v>0</v>
      </c>
      <c r="Q34" s="9">
        <f t="shared" si="2"/>
        <v>0</v>
      </c>
      <c r="R34" s="9">
        <f t="shared" si="3"/>
        <v>0</v>
      </c>
      <c r="S34" s="9">
        <f t="shared" si="4"/>
        <v>0</v>
      </c>
      <c r="T34" s="9"/>
      <c r="U34" s="9">
        <f>69/569</f>
        <v>0.12126537785588752</v>
      </c>
      <c r="V34" s="9"/>
      <c r="W34" s="10">
        <f t="shared" si="23"/>
        <v>0.41231884057971019</v>
      </c>
      <c r="X34" s="10">
        <f t="shared" si="24"/>
        <v>0</v>
      </c>
      <c r="Y34" s="10">
        <f t="shared" si="25"/>
        <v>0</v>
      </c>
      <c r="Z34" s="10">
        <f t="shared" si="19"/>
        <v>0</v>
      </c>
      <c r="AA34" s="10">
        <f t="shared" si="20"/>
        <v>0</v>
      </c>
      <c r="AB34" s="10">
        <f t="shared" si="6"/>
        <v>0.41231884057971019</v>
      </c>
      <c r="AC34" s="41">
        <f t="shared" si="11"/>
        <v>40</v>
      </c>
      <c r="AD34" s="29" t="str">
        <f t="shared" si="12"/>
        <v>3</v>
      </c>
      <c r="AE34" s="10">
        <f t="shared" si="30"/>
        <v>4.1345652173913047E-2</v>
      </c>
      <c r="AF34" s="10">
        <f t="shared" si="30"/>
        <v>0</v>
      </c>
      <c r="AG34" s="10">
        <f t="shared" si="30"/>
        <v>0</v>
      </c>
      <c r="AH34" s="10">
        <f t="shared" si="30"/>
        <v>0</v>
      </c>
      <c r="AI34" s="10">
        <f t="shared" si="30"/>
        <v>0</v>
      </c>
      <c r="AR34" s="21" t="s">
        <v>28</v>
      </c>
      <c r="AS34" s="4">
        <f t="shared" si="31"/>
        <v>1</v>
      </c>
      <c r="AT34" s="4">
        <f t="shared" si="31"/>
        <v>1</v>
      </c>
      <c r="AU34" s="4">
        <f t="shared" si="31"/>
        <v>0</v>
      </c>
      <c r="AV34" s="4">
        <f t="shared" si="31"/>
        <v>0</v>
      </c>
      <c r="AW34" s="22">
        <f t="shared" si="31"/>
        <v>0</v>
      </c>
      <c r="AX34" s="13"/>
      <c r="AY34" s="1" t="s">
        <v>38</v>
      </c>
      <c r="AZ34" s="14">
        <f>MAX(W31:AA34)</f>
        <v>8.2463768115942031</v>
      </c>
      <c r="BA34" s="14">
        <f>_xlfn.IFNA(VLOOKUP(AZ34, W31:AI34,8,0), _xlfn.IFNA(VLOOKUP(AZ34, X31:AI34,8,0), _xlfn.IFNA(VLOOKUP(AZ34, Y31:AI34,8,0), _xlfn.IFNA(VLOOKUP(AZ34, Z31:AI34,8,0), VLOOKUP(AZ34, AA31:AI34,8,0)))))</f>
        <v>0.35471673254281949</v>
      </c>
      <c r="BB34" s="1" t="s">
        <v>38</v>
      </c>
      <c r="BC34" s="14">
        <f>MAX(AE31:AI34)</f>
        <v>0.75362318840579712</v>
      </c>
      <c r="BE34" s="1" t="s">
        <v>38</v>
      </c>
      <c r="BF34" s="4">
        <f>MAX($W31:$AA31)</f>
        <v>8.2463768115942031</v>
      </c>
      <c r="BG34" s="14">
        <f>_xlfn.IFNA(VLOOKUP($BF34, $W31:$AI31,8,0), _xlfn.IFNA(VLOOKUP($BF34, $X31:$AI31,8,0), _xlfn.IFNA(VLOOKUP($BF34, $Y31:$AI31,8,0), _xlfn.IFNA(VLOOKUP($BF34, $Z31:$AI31,8,0), VLOOKUP($BF34, $AA31:$AI31,8,0)))))</f>
        <v>0.35471673254281949</v>
      </c>
      <c r="BI34" s="1" t="s">
        <v>38</v>
      </c>
      <c r="BJ34" s="4">
        <f>MAX($W32:$AA32)</f>
        <v>2.0615942028985508</v>
      </c>
      <c r="BK34" s="5">
        <f>_xlfn.IFNA(VLOOKUP($BJ34, $W32:$AI32,8,0), _xlfn.IFNA(VLOOKUP($BJ34, $X32:$AI32,8,0), _xlfn.IFNA(VLOOKUP($BJ34, $Y32:$AI32,8,0), _xlfn.IFNA(VLOOKUP($BJ34, $Z32:$AI32,8,0), VLOOKUP($BJ34, $AA32:$AI32,8,0)))))</f>
        <v>6.7735791090629799E-2</v>
      </c>
      <c r="BM34" s="1" t="s">
        <v>38</v>
      </c>
      <c r="BN34" s="13">
        <f>MAX($W33:$AA33)</f>
        <v>3.2985507246376815</v>
      </c>
      <c r="BO34" s="14">
        <f>_xlfn.IFNA(VLOOKUP($BN34, $W33:$AI33,8,0), _xlfn.IFNA(VLOOKUP($BN34, $X33:$AI33,8,0), _xlfn.IFNA(VLOOKUP($BN34, $Y33:$AI33,8,0), _xlfn.IFNA(VLOOKUP($BN34, $Z33:$AI33,8,0), VLOOKUP($BN34, $AA33:$AI33,8,0)))))</f>
        <v>0.10281916366657436</v>
      </c>
      <c r="BQ34" s="1" t="s">
        <v>38</v>
      </c>
      <c r="BR34" s="13">
        <f>MAX($W34:$AA34)</f>
        <v>0.41231884057971019</v>
      </c>
      <c r="BS34" s="14" t="str">
        <f>_xlfn.IFNA(VLOOKUP($BR34, $W34:$AI34,8,0), _xlfn.IFNA(VLOOKUP($BR34, $X34:$AI34,8,0), _xlfn.IFNA(VLOOKUP($BR34, $Y34:$AI34,8,0), _xlfn.IFNA(VLOOKUP($BR34, $Z34:$AI34,8,0), VLOOKUP($BR34, $AA34:$AI34,8,0)))))</f>
        <v>3</v>
      </c>
    </row>
    <row r="35" spans="1:71" x14ac:dyDescent="0.3">
      <c r="A35" s="32" t="s">
        <v>56</v>
      </c>
      <c r="B35" t="s">
        <v>27</v>
      </c>
      <c r="C35">
        <v>556</v>
      </c>
      <c r="D35">
        <v>345</v>
      </c>
      <c r="E35">
        <v>35</v>
      </c>
      <c r="F35">
        <v>2</v>
      </c>
      <c r="G35">
        <v>0</v>
      </c>
      <c r="I35">
        <v>52</v>
      </c>
      <c r="J35">
        <v>23</v>
      </c>
      <c r="K35">
        <v>5</v>
      </c>
      <c r="L35">
        <v>1</v>
      </c>
      <c r="M35">
        <v>0</v>
      </c>
      <c r="O35" s="28">
        <f t="shared" ref="O35:O54" si="32">IF(I35&gt;0, I35/C35, 0)</f>
        <v>9.3525179856115109E-2</v>
      </c>
      <c r="P35" s="28">
        <f t="shared" ref="P35:P54" si="33">IF(J35&gt;0, J35/D35, 0)</f>
        <v>6.6666666666666666E-2</v>
      </c>
      <c r="Q35" s="28">
        <f t="shared" ref="Q35:Q54" si="34">IF(K35&gt;0, K35/E35, 0)</f>
        <v>0.14285714285714285</v>
      </c>
      <c r="R35" s="28">
        <f t="shared" ref="R35:R54" si="35">IF(L35&gt;0, L35/F35, 0)</f>
        <v>0.5</v>
      </c>
      <c r="S35" s="28">
        <f t="shared" ref="S35:S54" si="36">IF(M35&gt;0, M35/G35, 0)</f>
        <v>0</v>
      </c>
      <c r="T35" s="28"/>
      <c r="U35" s="28">
        <f>53/569</f>
        <v>9.3145869947275917E-2</v>
      </c>
      <c r="V35" s="28"/>
      <c r="W35" s="29">
        <f t="shared" si="23"/>
        <v>1.0040722139269718</v>
      </c>
      <c r="X35" s="29">
        <f t="shared" si="24"/>
        <v>0.71572327044025164</v>
      </c>
      <c r="Y35" s="29">
        <f t="shared" si="25"/>
        <v>1.5336927223719676</v>
      </c>
      <c r="Z35" s="29">
        <f t="shared" si="19"/>
        <v>5.367924528301887</v>
      </c>
      <c r="AA35" s="29">
        <f t="shared" si="20"/>
        <v>0</v>
      </c>
      <c r="AB35" s="29">
        <f t="shared" ref="AB35:AB54" si="37">MAX(W35:AA35)</f>
        <v>5.367924528301887</v>
      </c>
      <c r="AC35" s="41">
        <f t="shared" si="11"/>
        <v>2</v>
      </c>
      <c r="AD35" s="29" t="str">
        <f t="shared" si="12"/>
        <v>6</v>
      </c>
      <c r="AE35" s="29">
        <f t="shared" ref="AE35:AI38" si="38">IF(C35&gt;0,((I35*((3*53)+C35))/(4*C35*53))*(1-(C35-I35)/(569-53)),0)</f>
        <v>7.3355093897677073E-3</v>
      </c>
      <c r="AF35" s="29">
        <f t="shared" si="38"/>
        <v>5.9587538394032469E-2</v>
      </c>
      <c r="AG35" s="29">
        <f t="shared" si="38"/>
        <v>0.12312731147746506</v>
      </c>
      <c r="AH35" s="29">
        <f t="shared" si="38"/>
        <v>0.37898109550972647</v>
      </c>
      <c r="AI35" s="29">
        <f t="shared" si="38"/>
        <v>0</v>
      </c>
      <c r="AR35" s="21" t="s">
        <v>29</v>
      </c>
      <c r="AS35" s="4">
        <f t="shared" si="31"/>
        <v>0</v>
      </c>
      <c r="AT35" s="4">
        <f t="shared" si="31"/>
        <v>0</v>
      </c>
      <c r="AU35" s="4">
        <f t="shared" si="31"/>
        <v>1</v>
      </c>
      <c r="AV35" s="4">
        <f t="shared" si="31"/>
        <v>2</v>
      </c>
      <c r="AW35" s="22">
        <f t="shared" si="31"/>
        <v>0</v>
      </c>
      <c r="AX35" s="4"/>
    </row>
    <row r="36" spans="1:71" x14ac:dyDescent="0.3">
      <c r="A36" s="32" t="s">
        <v>56</v>
      </c>
      <c r="B36" t="s">
        <v>28</v>
      </c>
      <c r="C36">
        <v>559</v>
      </c>
      <c r="D36">
        <v>386</v>
      </c>
      <c r="E36">
        <v>45</v>
      </c>
      <c r="F36">
        <v>0</v>
      </c>
      <c r="G36">
        <v>0</v>
      </c>
      <c r="I36">
        <v>51</v>
      </c>
      <c r="J36">
        <v>33</v>
      </c>
      <c r="K36">
        <v>6</v>
      </c>
      <c r="L36">
        <v>0</v>
      </c>
      <c r="M36">
        <v>0</v>
      </c>
      <c r="O36" s="28">
        <f t="shared" si="32"/>
        <v>9.1234347048300538E-2</v>
      </c>
      <c r="P36" s="28">
        <f t="shared" si="33"/>
        <v>8.549222797927461E-2</v>
      </c>
      <c r="Q36" s="28">
        <f t="shared" si="34"/>
        <v>0.13333333333333333</v>
      </c>
      <c r="R36" s="28">
        <f t="shared" si="35"/>
        <v>0</v>
      </c>
      <c r="S36" s="28">
        <f t="shared" si="36"/>
        <v>0</v>
      </c>
      <c r="T36" s="28"/>
      <c r="U36" s="28">
        <f>53/569</f>
        <v>9.3145869947275917E-2</v>
      </c>
      <c r="V36" s="28"/>
      <c r="W36" s="29">
        <f t="shared" si="23"/>
        <v>0.97947817868835862</v>
      </c>
      <c r="X36" s="29">
        <f t="shared" si="24"/>
        <v>0.91783165509825015</v>
      </c>
      <c r="Y36" s="29">
        <f t="shared" si="25"/>
        <v>1.4314465408805033</v>
      </c>
      <c r="Z36" s="29">
        <f t="shared" si="19"/>
        <v>0</v>
      </c>
      <c r="AA36" s="29">
        <f t="shared" si="20"/>
        <v>0</v>
      </c>
      <c r="AB36" s="29">
        <f t="shared" si="37"/>
        <v>1.4314465408805033</v>
      </c>
      <c r="AC36" s="41">
        <f t="shared" si="11"/>
        <v>45</v>
      </c>
      <c r="AD36" s="29" t="str">
        <f t="shared" si="12"/>
        <v>5</v>
      </c>
      <c r="AE36" s="29">
        <f t="shared" si="38"/>
        <v>4.7905705119701547E-3</v>
      </c>
      <c r="AF36" s="29">
        <f t="shared" si="38"/>
        <v>6.9426485232364887E-2</v>
      </c>
      <c r="AG36" s="29">
        <f t="shared" si="38"/>
        <v>0.11860465116279069</v>
      </c>
      <c r="AH36" s="29">
        <f t="shared" si="38"/>
        <v>0</v>
      </c>
      <c r="AI36" s="29">
        <f t="shared" si="38"/>
        <v>0</v>
      </c>
      <c r="AR36" s="21" t="s">
        <v>30</v>
      </c>
      <c r="AS36" s="4">
        <f t="shared" si="31"/>
        <v>1</v>
      </c>
      <c r="AT36" s="4">
        <f t="shared" si="31"/>
        <v>1</v>
      </c>
      <c r="AU36" s="4">
        <f t="shared" si="31"/>
        <v>1</v>
      </c>
      <c r="AV36" s="4">
        <f t="shared" si="31"/>
        <v>1</v>
      </c>
      <c r="AW36" s="22">
        <f t="shared" si="31"/>
        <v>0</v>
      </c>
      <c r="AX36" s="4"/>
      <c r="AY36" t="s">
        <v>42</v>
      </c>
      <c r="AZ36">
        <f>COUNTIF(AZ27:AZ34, "&gt;1.5")</f>
        <v>7</v>
      </c>
      <c r="BE36" t="s">
        <v>42</v>
      </c>
      <c r="BF36">
        <f>COUNTIF(BF27:BF34, "&gt;1.5")</f>
        <v>5</v>
      </c>
      <c r="BI36" t="s">
        <v>42</v>
      </c>
      <c r="BJ36">
        <f>COUNTIF(BJ27:BJ34, "&gt;1.5")</f>
        <v>2</v>
      </c>
      <c r="BM36" t="s">
        <v>42</v>
      </c>
      <c r="BN36">
        <f>COUNTIF(BN27:BN34, "&gt;1.5")</f>
        <v>3</v>
      </c>
      <c r="BQ36" t="s">
        <v>42</v>
      </c>
      <c r="BR36">
        <f>COUNTIF(BR27:BR34, "&gt;1.5")</f>
        <v>4</v>
      </c>
    </row>
    <row r="37" spans="1:71" x14ac:dyDescent="0.3">
      <c r="A37" s="32" t="s">
        <v>56</v>
      </c>
      <c r="B37" t="s">
        <v>29</v>
      </c>
      <c r="C37">
        <v>546</v>
      </c>
      <c r="D37">
        <v>318</v>
      </c>
      <c r="E37">
        <v>54</v>
      </c>
      <c r="F37">
        <v>6</v>
      </c>
      <c r="G37">
        <v>0</v>
      </c>
      <c r="I37">
        <v>48</v>
      </c>
      <c r="J37">
        <v>37</v>
      </c>
      <c r="K37">
        <v>8</v>
      </c>
      <c r="L37">
        <v>3</v>
      </c>
      <c r="M37">
        <v>0</v>
      </c>
      <c r="O37" s="28">
        <f t="shared" si="32"/>
        <v>8.7912087912087919E-2</v>
      </c>
      <c r="P37" s="28">
        <f t="shared" si="33"/>
        <v>0.11635220125786164</v>
      </c>
      <c r="Q37" s="28">
        <f t="shared" si="34"/>
        <v>0.14814814814814814</v>
      </c>
      <c r="R37" s="28">
        <f t="shared" si="35"/>
        <v>0.5</v>
      </c>
      <c r="S37" s="28">
        <f t="shared" si="36"/>
        <v>0</v>
      </c>
      <c r="T37" s="28"/>
      <c r="U37" s="28">
        <f>53/569</f>
        <v>9.3145869947275917E-2</v>
      </c>
      <c r="V37" s="28"/>
      <c r="W37" s="29">
        <f t="shared" si="23"/>
        <v>0.94381090607505713</v>
      </c>
      <c r="X37" s="29">
        <f t="shared" si="24"/>
        <v>1.2491396701079864</v>
      </c>
      <c r="Y37" s="29">
        <f t="shared" si="25"/>
        <v>1.5904961565338924</v>
      </c>
      <c r="Z37" s="29">
        <f t="shared" si="19"/>
        <v>5.367924528301887</v>
      </c>
      <c r="AA37" s="29">
        <f t="shared" si="20"/>
        <v>0</v>
      </c>
      <c r="AB37" s="29">
        <f t="shared" si="37"/>
        <v>5.367924528301887</v>
      </c>
      <c r="AC37" s="41">
        <f t="shared" si="11"/>
        <v>6</v>
      </c>
      <c r="AD37" s="29" t="str">
        <f t="shared" si="12"/>
        <v>6</v>
      </c>
      <c r="AE37" s="29">
        <f t="shared" si="38"/>
        <v>1.0198226521175168E-2</v>
      </c>
      <c r="AF37" s="29">
        <f t="shared" si="38"/>
        <v>0.11922718297498905</v>
      </c>
      <c r="AG37" s="29">
        <f t="shared" si="38"/>
        <v>0.13557765751710465</v>
      </c>
      <c r="AH37" s="29">
        <f t="shared" si="38"/>
        <v>0.38688843791136462</v>
      </c>
      <c r="AI37" s="29">
        <f t="shared" si="38"/>
        <v>0</v>
      </c>
      <c r="AR37" s="19"/>
      <c r="AS37" s="1"/>
      <c r="AT37" s="1"/>
      <c r="AU37" s="1"/>
      <c r="AV37" s="1"/>
      <c r="AW37" s="23"/>
      <c r="AY37" t="s">
        <v>43</v>
      </c>
      <c r="AZ37">
        <f>COUNTIF(AZ27:AZ34, "&gt;2")</f>
        <v>6</v>
      </c>
      <c r="BE37" t="s">
        <v>43</v>
      </c>
      <c r="BF37">
        <f>COUNTIF(BF27:BF34, "&gt;2")</f>
        <v>2</v>
      </c>
      <c r="BI37" t="s">
        <v>43</v>
      </c>
      <c r="BJ37">
        <f>COUNTIF(BJ27:BJ34, "&gt;2")</f>
        <v>2</v>
      </c>
      <c r="BM37" t="s">
        <v>43</v>
      </c>
      <c r="BN37">
        <f>COUNTIF(BN27:BN34, "&gt;2")</f>
        <v>3</v>
      </c>
      <c r="BQ37" t="s">
        <v>43</v>
      </c>
      <c r="BR37">
        <f>COUNTIF(BR27:BR34, "&gt;2")</f>
        <v>4</v>
      </c>
    </row>
    <row r="38" spans="1:71" x14ac:dyDescent="0.3">
      <c r="A38" s="32" t="s">
        <v>56</v>
      </c>
      <c r="B38" s="1" t="s">
        <v>30</v>
      </c>
      <c r="C38" s="1">
        <v>316</v>
      </c>
      <c r="D38" s="1">
        <v>8</v>
      </c>
      <c r="E38" s="1">
        <v>0</v>
      </c>
      <c r="F38" s="1">
        <v>0</v>
      </c>
      <c r="G38" s="1">
        <v>0</v>
      </c>
      <c r="H38" s="1"/>
      <c r="I38" s="1">
        <v>20</v>
      </c>
      <c r="J38" s="1">
        <v>0</v>
      </c>
      <c r="K38" s="1">
        <v>0</v>
      </c>
      <c r="L38" s="1">
        <v>0</v>
      </c>
      <c r="M38" s="1">
        <v>0</v>
      </c>
      <c r="N38" s="1"/>
      <c r="O38" s="30">
        <f t="shared" si="32"/>
        <v>6.3291139240506333E-2</v>
      </c>
      <c r="P38" s="30">
        <f t="shared" si="33"/>
        <v>0</v>
      </c>
      <c r="Q38" s="30">
        <f t="shared" si="34"/>
        <v>0</v>
      </c>
      <c r="R38" s="30">
        <f t="shared" si="35"/>
        <v>0</v>
      </c>
      <c r="S38" s="30">
        <f t="shared" si="36"/>
        <v>0</v>
      </c>
      <c r="T38" s="30"/>
      <c r="U38" s="30">
        <f>53/569</f>
        <v>9.3145869947275917E-2</v>
      </c>
      <c r="V38" s="30"/>
      <c r="W38" s="31">
        <f t="shared" si="23"/>
        <v>0.67948411750656801</v>
      </c>
      <c r="X38" s="31">
        <f t="shared" si="24"/>
        <v>0</v>
      </c>
      <c r="Y38" s="31">
        <f t="shared" si="25"/>
        <v>0</v>
      </c>
      <c r="Z38" s="31">
        <f t="shared" si="19"/>
        <v>0</v>
      </c>
      <c r="AA38" s="31">
        <f t="shared" si="20"/>
        <v>0</v>
      </c>
      <c r="AB38" s="31">
        <f t="shared" si="37"/>
        <v>0.67948411750656801</v>
      </c>
      <c r="AC38" s="41">
        <f t="shared" si="11"/>
        <v>316</v>
      </c>
      <c r="AD38" s="29" t="str">
        <f t="shared" si="12"/>
        <v>3</v>
      </c>
      <c r="AE38" s="31">
        <f t="shared" si="38"/>
        <v>6.0460765418247325E-2</v>
      </c>
      <c r="AF38" s="31">
        <f t="shared" si="38"/>
        <v>0</v>
      </c>
      <c r="AG38" s="31">
        <f t="shared" si="38"/>
        <v>0</v>
      </c>
      <c r="AH38" s="31">
        <f t="shared" si="38"/>
        <v>0</v>
      </c>
      <c r="AI38" s="31">
        <f t="shared" si="38"/>
        <v>0</v>
      </c>
    </row>
    <row r="39" spans="1:71" x14ac:dyDescent="0.3">
      <c r="A39" s="32" t="s">
        <v>57</v>
      </c>
      <c r="B39" t="s">
        <v>27</v>
      </c>
      <c r="C39">
        <v>558</v>
      </c>
      <c r="D39">
        <v>278</v>
      </c>
      <c r="E39">
        <v>30</v>
      </c>
      <c r="F39">
        <v>1</v>
      </c>
      <c r="G39">
        <v>0</v>
      </c>
      <c r="I39">
        <v>56</v>
      </c>
      <c r="J39">
        <v>26</v>
      </c>
      <c r="K39">
        <v>3</v>
      </c>
      <c r="L39">
        <v>1</v>
      </c>
      <c r="M39">
        <v>0</v>
      </c>
      <c r="O39" s="28">
        <f t="shared" si="32"/>
        <v>0.1003584229390681</v>
      </c>
      <c r="P39" s="28">
        <f t="shared" si="33"/>
        <v>9.3525179856115109E-2</v>
      </c>
      <c r="Q39" s="28">
        <f t="shared" si="34"/>
        <v>0.1</v>
      </c>
      <c r="R39" s="28">
        <f t="shared" si="35"/>
        <v>1</v>
      </c>
      <c r="S39" s="28">
        <f t="shared" si="36"/>
        <v>0</v>
      </c>
      <c r="T39" s="28"/>
      <c r="U39" s="28">
        <f>57/569</f>
        <v>0.10017574692442882</v>
      </c>
      <c r="V39" s="28"/>
      <c r="W39" s="29">
        <f t="shared" si="23"/>
        <v>1.0018235553040307</v>
      </c>
      <c r="X39" s="29">
        <f t="shared" si="24"/>
        <v>0.93361100593209645</v>
      </c>
      <c r="Y39" s="29">
        <f t="shared" si="25"/>
        <v>0.99824561403508782</v>
      </c>
      <c r="Z39" s="29">
        <f t="shared" si="19"/>
        <v>9.9824561403508767</v>
      </c>
      <c r="AA39" s="29">
        <f t="shared" si="20"/>
        <v>0</v>
      </c>
      <c r="AB39" s="29">
        <f t="shared" si="37"/>
        <v>9.9824561403508767</v>
      </c>
      <c r="AC39" s="41">
        <f t="shared" si="11"/>
        <v>1</v>
      </c>
      <c r="AD39" s="29" t="str">
        <f t="shared" si="12"/>
        <v>6</v>
      </c>
      <c r="AE39" s="29">
        <f t="shared" ref="AE39:AI42" si="39">IF(C39&gt;0,((I39*((3*57)+C39))/(4*C39*57))*(1-(C39-I39)/(569-57)),0)</f>
        <v>6.2672432088285226E-3</v>
      </c>
      <c r="AF39" s="29">
        <f t="shared" si="39"/>
        <v>9.352838452921873E-2</v>
      </c>
      <c r="AG39" s="29">
        <f t="shared" si="39"/>
        <v>8.3508943256578941E-2</v>
      </c>
      <c r="AH39" s="29">
        <f t="shared" si="39"/>
        <v>0.75438596491228072</v>
      </c>
      <c r="AI39" s="29">
        <f t="shared" si="39"/>
        <v>0</v>
      </c>
      <c r="AY39" s="1" t="s">
        <v>45</v>
      </c>
      <c r="AZ39" s="1"/>
      <c r="BB39" t="s">
        <v>52</v>
      </c>
    </row>
    <row r="40" spans="1:71" x14ac:dyDescent="0.3">
      <c r="A40" s="32" t="s">
        <v>57</v>
      </c>
      <c r="B40" t="s">
        <v>28</v>
      </c>
      <c r="C40">
        <v>536</v>
      </c>
      <c r="D40">
        <v>387</v>
      </c>
      <c r="E40">
        <v>78</v>
      </c>
      <c r="F40">
        <v>4</v>
      </c>
      <c r="G40">
        <v>0</v>
      </c>
      <c r="I40">
        <v>55</v>
      </c>
      <c r="J40">
        <v>30</v>
      </c>
      <c r="K40">
        <v>8</v>
      </c>
      <c r="L40">
        <v>0</v>
      </c>
      <c r="M40">
        <v>0</v>
      </c>
      <c r="O40" s="28">
        <f t="shared" si="32"/>
        <v>0.10261194029850747</v>
      </c>
      <c r="P40" s="28">
        <f t="shared" si="33"/>
        <v>7.7519379844961239E-2</v>
      </c>
      <c r="Q40" s="28">
        <f t="shared" si="34"/>
        <v>0.10256410256410256</v>
      </c>
      <c r="R40" s="28">
        <f t="shared" si="35"/>
        <v>0</v>
      </c>
      <c r="S40" s="28">
        <f t="shared" si="36"/>
        <v>0</v>
      </c>
      <c r="T40" s="28"/>
      <c r="U40" s="28">
        <f>57/569</f>
        <v>0.10017574692442882</v>
      </c>
      <c r="V40" s="28"/>
      <c r="W40" s="29">
        <f t="shared" si="23"/>
        <v>1.0243191935061535</v>
      </c>
      <c r="X40" s="29">
        <f t="shared" si="24"/>
        <v>0.77383380932952539</v>
      </c>
      <c r="Y40" s="29">
        <f t="shared" si="25"/>
        <v>1.0238416554206027</v>
      </c>
      <c r="Z40" s="29">
        <f t="shared" si="19"/>
        <v>0</v>
      </c>
      <c r="AA40" s="29">
        <f t="shared" si="20"/>
        <v>0</v>
      </c>
      <c r="AB40" s="29">
        <f t="shared" si="37"/>
        <v>1.0243191935061535</v>
      </c>
      <c r="AC40" s="41">
        <f t="shared" si="11"/>
        <v>536</v>
      </c>
      <c r="AD40" s="29" t="str">
        <f t="shared" si="12"/>
        <v>3</v>
      </c>
      <c r="AE40" s="29">
        <f t="shared" si="39"/>
        <v>1.9265230053474403E-2</v>
      </c>
      <c r="AF40" s="29">
        <f t="shared" si="39"/>
        <v>5.7434306150550798E-2</v>
      </c>
      <c r="AG40" s="29">
        <f t="shared" si="39"/>
        <v>9.6696820175438597E-2</v>
      </c>
      <c r="AH40" s="29">
        <f t="shared" si="39"/>
        <v>0</v>
      </c>
      <c r="AI40" s="29">
        <f t="shared" si="39"/>
        <v>0</v>
      </c>
      <c r="AY40" t="s">
        <v>26</v>
      </c>
      <c r="AZ40" t="str">
        <f>IF(COUNTIF(W3:AA3,AZ27), B3, IF(COUNTIF(W4:AA4,AZ27), B4, IF(COUNTIF(W5:AA5,AZ27), B5, B6)))</f>
        <v>dU</v>
      </c>
      <c r="BB40" t="str">
        <f>ROUND(AZ27, 2) &amp; " (" &amp; ROUND(BA27, 2) &amp; ")"</f>
        <v>8.75 (0.05)</v>
      </c>
    </row>
    <row r="41" spans="1:71" x14ac:dyDescent="0.3">
      <c r="A41" s="32" t="s">
        <v>57</v>
      </c>
      <c r="B41" t="s">
        <v>29</v>
      </c>
      <c r="C41">
        <v>517</v>
      </c>
      <c r="D41">
        <v>253</v>
      </c>
      <c r="E41">
        <v>16</v>
      </c>
      <c r="F41">
        <v>2</v>
      </c>
      <c r="G41">
        <v>0</v>
      </c>
      <c r="I41">
        <v>46</v>
      </c>
      <c r="J41">
        <v>27</v>
      </c>
      <c r="K41">
        <v>4</v>
      </c>
      <c r="L41">
        <v>0</v>
      </c>
      <c r="M41">
        <v>0</v>
      </c>
      <c r="O41" s="28">
        <f t="shared" si="32"/>
        <v>8.8974854932301742E-2</v>
      </c>
      <c r="P41" s="28">
        <f t="shared" si="33"/>
        <v>0.1067193675889328</v>
      </c>
      <c r="Q41" s="28">
        <f t="shared" si="34"/>
        <v>0.25</v>
      </c>
      <c r="R41" s="28">
        <f t="shared" si="35"/>
        <v>0</v>
      </c>
      <c r="S41" s="28">
        <f t="shared" si="36"/>
        <v>0</v>
      </c>
      <c r="T41" s="28"/>
      <c r="U41" s="28">
        <f>57/569</f>
        <v>0.10017574692442882</v>
      </c>
      <c r="V41" s="28"/>
      <c r="W41" s="29">
        <f t="shared" si="23"/>
        <v>0.88818758695578404</v>
      </c>
      <c r="X41" s="29">
        <f t="shared" si="24"/>
        <v>1.0653214062825047</v>
      </c>
      <c r="Y41" s="29">
        <f t="shared" si="25"/>
        <v>2.4956140350877192</v>
      </c>
      <c r="Z41" s="29">
        <f t="shared" si="19"/>
        <v>0</v>
      </c>
      <c r="AA41" s="29">
        <f t="shared" si="20"/>
        <v>0</v>
      </c>
      <c r="AB41" s="29">
        <f t="shared" si="37"/>
        <v>2.4956140350877192</v>
      </c>
      <c r="AC41" s="41">
        <f t="shared" si="11"/>
        <v>16</v>
      </c>
      <c r="AD41" s="29" t="str">
        <f t="shared" si="12"/>
        <v>5</v>
      </c>
      <c r="AE41" s="29">
        <f t="shared" si="39"/>
        <v>2.1499817604940786E-2</v>
      </c>
      <c r="AF41" s="29">
        <f t="shared" si="39"/>
        <v>0.11085883867276887</v>
      </c>
      <c r="AG41" s="29">
        <f t="shared" si="39"/>
        <v>0.20023814418859648</v>
      </c>
      <c r="AH41" s="29">
        <f t="shared" si="39"/>
        <v>0</v>
      </c>
      <c r="AI41" s="29">
        <f t="shared" si="39"/>
        <v>0</v>
      </c>
      <c r="AY41" t="s">
        <v>31</v>
      </c>
      <c r="AZ41" t="str">
        <f>IF(COUNTIF(W7:AA7,AZ28), B7, IF(COUNTIF(W8:AA8,AZ28), B8, IF(COUNTIF(W9:AA9,AZ28), B9, B10)))</f>
        <v>dE(class)</v>
      </c>
      <c r="BB41" t="str">
        <f t="shared" ref="BB41:BB43" si="40">ROUND(AZ28, 2) &amp; " (" &amp; ROUND(BA28, 2) &amp; ")"</f>
        <v>2.21 (0.2)</v>
      </c>
    </row>
    <row r="42" spans="1:71" x14ac:dyDescent="0.3">
      <c r="A42" s="34" t="s">
        <v>57</v>
      </c>
      <c r="B42" s="1" t="s">
        <v>30</v>
      </c>
      <c r="C42" s="1">
        <v>488</v>
      </c>
      <c r="D42" s="1">
        <v>32</v>
      </c>
      <c r="E42" s="1">
        <v>4</v>
      </c>
      <c r="F42" s="1">
        <v>0</v>
      </c>
      <c r="G42" s="1">
        <v>0</v>
      </c>
      <c r="H42" s="1"/>
      <c r="I42" s="1">
        <v>34</v>
      </c>
      <c r="J42" s="1">
        <v>3</v>
      </c>
      <c r="K42" s="1">
        <v>0</v>
      </c>
      <c r="L42" s="1">
        <v>0</v>
      </c>
      <c r="M42" s="1">
        <v>0</v>
      </c>
      <c r="N42" s="1"/>
      <c r="O42" s="30">
        <f t="shared" si="32"/>
        <v>6.9672131147540978E-2</v>
      </c>
      <c r="P42" s="30">
        <f t="shared" si="33"/>
        <v>9.375E-2</v>
      </c>
      <c r="Q42" s="30">
        <f t="shared" si="34"/>
        <v>0</v>
      </c>
      <c r="R42" s="30">
        <f t="shared" si="35"/>
        <v>0</v>
      </c>
      <c r="S42" s="30">
        <f t="shared" si="36"/>
        <v>0</v>
      </c>
      <c r="T42" s="30"/>
      <c r="U42" s="30">
        <f>57/569</f>
        <v>0.10017574692442882</v>
      </c>
      <c r="V42" s="30"/>
      <c r="W42" s="31">
        <f t="shared" si="23"/>
        <v>0.69549899338510202</v>
      </c>
      <c r="X42" s="31">
        <f t="shared" si="24"/>
        <v>0.9358552631578948</v>
      </c>
      <c r="Y42" s="31">
        <f t="shared" si="25"/>
        <v>0</v>
      </c>
      <c r="Z42" s="31">
        <f t="shared" si="19"/>
        <v>0</v>
      </c>
      <c r="AA42" s="31">
        <f t="shared" si="20"/>
        <v>0</v>
      </c>
      <c r="AB42" s="31">
        <f t="shared" si="37"/>
        <v>0.9358552631578948</v>
      </c>
      <c r="AC42" s="41">
        <f t="shared" si="11"/>
        <v>32</v>
      </c>
      <c r="AD42" s="29" t="str">
        <f t="shared" si="12"/>
        <v>4</v>
      </c>
      <c r="AE42" s="31">
        <f t="shared" si="39"/>
        <v>2.2812227562374172E-2</v>
      </c>
      <c r="AF42" s="31">
        <f t="shared" si="39"/>
        <v>7.8742579409950664E-2</v>
      </c>
      <c r="AG42" s="31">
        <f t="shared" si="39"/>
        <v>0</v>
      </c>
      <c r="AH42" s="31">
        <f t="shared" si="39"/>
        <v>0</v>
      </c>
      <c r="AI42" s="31">
        <f t="shared" si="39"/>
        <v>0</v>
      </c>
      <c r="AY42" t="s">
        <v>32</v>
      </c>
      <c r="AZ42" t="str">
        <f>IF(COUNTIF(W11:AA11,AZ29), B11, IF(COUNTIF(W12:AA12,AZ29), B12, IF(COUNTIF(W13:AA13,AZ29), B13, B14)))</f>
        <v>dE(class)</v>
      </c>
      <c r="BB42" t="str">
        <f t="shared" si="40"/>
        <v>1.1 (0.09)</v>
      </c>
    </row>
    <row r="43" spans="1:71" x14ac:dyDescent="0.3">
      <c r="A43" s="32" t="s">
        <v>35</v>
      </c>
      <c r="B43" t="s">
        <v>27</v>
      </c>
      <c r="C43" s="25">
        <v>569</v>
      </c>
      <c r="D43" s="25">
        <v>463</v>
      </c>
      <c r="E43" s="25">
        <v>45</v>
      </c>
      <c r="F43" s="25">
        <v>0</v>
      </c>
      <c r="G43" s="25">
        <v>0</v>
      </c>
      <c r="I43" s="25">
        <v>39</v>
      </c>
      <c r="J43" s="25">
        <v>36</v>
      </c>
      <c r="K43" s="25">
        <v>6</v>
      </c>
      <c r="L43" s="25">
        <v>0</v>
      </c>
      <c r="M43" s="25">
        <v>0</v>
      </c>
      <c r="O43" s="2">
        <f t="shared" si="32"/>
        <v>6.8541300527240778E-2</v>
      </c>
      <c r="P43" s="2">
        <f t="shared" si="33"/>
        <v>7.775377969762419E-2</v>
      </c>
      <c r="Q43" s="2">
        <f t="shared" si="34"/>
        <v>0.13333333333333333</v>
      </c>
      <c r="R43" s="2">
        <f t="shared" si="35"/>
        <v>0</v>
      </c>
      <c r="S43" s="2">
        <f t="shared" si="36"/>
        <v>0</v>
      </c>
      <c r="T43" s="2"/>
      <c r="U43" s="2">
        <f>39/569</f>
        <v>6.8541300527240778E-2</v>
      </c>
      <c r="V43" s="2"/>
      <c r="W43" s="3">
        <f t="shared" si="23"/>
        <v>1</v>
      </c>
      <c r="X43" s="3">
        <f t="shared" si="24"/>
        <v>1.1344077089217477</v>
      </c>
      <c r="Y43" s="3">
        <f t="shared" si="25"/>
        <v>1.945299145299145</v>
      </c>
      <c r="Z43" s="3">
        <f t="shared" si="19"/>
        <v>0</v>
      </c>
      <c r="AA43" s="3">
        <f t="shared" si="20"/>
        <v>0</v>
      </c>
      <c r="AB43" s="3">
        <f t="shared" si="37"/>
        <v>1.945299145299145</v>
      </c>
      <c r="AC43" s="41">
        <f t="shared" si="11"/>
        <v>45</v>
      </c>
      <c r="AD43" s="29" t="str">
        <f t="shared" si="12"/>
        <v>5</v>
      </c>
      <c r="AE43" s="3">
        <f t="shared" ref="AE43:AI46" si="41">IF(C43&gt;0,((I43*((3*39)+C43))/(4*C43*39))*(1-(C43-I43)/(569-39)),0)</f>
        <v>0</v>
      </c>
      <c r="AF43" s="3">
        <f t="shared" si="41"/>
        <v>5.6180585379004215E-2</v>
      </c>
      <c r="AG43" s="3">
        <f t="shared" si="41"/>
        <v>0.12827285921625545</v>
      </c>
      <c r="AH43" s="3">
        <f t="shared" si="41"/>
        <v>0</v>
      </c>
      <c r="AI43" s="3">
        <f t="shared" si="41"/>
        <v>0</v>
      </c>
      <c r="AY43" t="s">
        <v>33</v>
      </c>
      <c r="AZ43" t="str">
        <f>IF(COUNTIF(W15:AA15,AZ30), B15, IF(COUNTIF(W16:AA16,AZ30), B16, IF(COUNTIF(W17:AA17,AZ30), B17, B18)))</f>
        <v>dU</v>
      </c>
      <c r="BB43" t="str">
        <f t="shared" si="40"/>
        <v>9.81 (0.07)</v>
      </c>
    </row>
    <row r="44" spans="1:71" x14ac:dyDescent="0.3">
      <c r="A44" s="32" t="s">
        <v>35</v>
      </c>
      <c r="B44" t="s">
        <v>28</v>
      </c>
      <c r="C44" s="25">
        <v>431</v>
      </c>
      <c r="D44" s="25">
        <v>87</v>
      </c>
      <c r="E44" s="25">
        <v>0</v>
      </c>
      <c r="F44" s="25">
        <v>0</v>
      </c>
      <c r="G44" s="25">
        <v>0</v>
      </c>
      <c r="I44" s="25">
        <v>33</v>
      </c>
      <c r="J44" s="25">
        <v>5</v>
      </c>
      <c r="K44" s="25">
        <v>0</v>
      </c>
      <c r="L44" s="25">
        <v>0</v>
      </c>
      <c r="M44" s="25">
        <v>0</v>
      </c>
      <c r="O44" s="2">
        <f t="shared" si="32"/>
        <v>7.6566125290023199E-2</v>
      </c>
      <c r="P44" s="2">
        <f t="shared" si="33"/>
        <v>5.7471264367816091E-2</v>
      </c>
      <c r="Q44" s="2">
        <f t="shared" si="34"/>
        <v>0</v>
      </c>
      <c r="R44" s="2">
        <f t="shared" si="35"/>
        <v>0</v>
      </c>
      <c r="S44" s="2">
        <f t="shared" si="36"/>
        <v>0</v>
      </c>
      <c r="T44" s="2"/>
      <c r="U44" s="2">
        <f>39/569</f>
        <v>6.8541300527240778E-2</v>
      </c>
      <c r="V44" s="2"/>
      <c r="W44" s="3">
        <f t="shared" si="23"/>
        <v>1.1170801356416205</v>
      </c>
      <c r="X44" s="3">
        <f t="shared" si="24"/>
        <v>0.83849101090480394</v>
      </c>
      <c r="Y44" s="3">
        <f t="shared" si="25"/>
        <v>0</v>
      </c>
      <c r="Z44" s="3">
        <f t="shared" si="19"/>
        <v>0</v>
      </c>
      <c r="AA44" s="3">
        <f t="shared" si="20"/>
        <v>0</v>
      </c>
      <c r="AB44" s="3">
        <f t="shared" si="37"/>
        <v>1.1170801356416205</v>
      </c>
      <c r="AC44" s="41">
        <f t="shared" si="11"/>
        <v>431</v>
      </c>
      <c r="AD44" s="29" t="str">
        <f t="shared" si="12"/>
        <v>3</v>
      </c>
      <c r="AE44" s="3">
        <f t="shared" si="41"/>
        <v>6.6987025144885304E-2</v>
      </c>
      <c r="AF44" s="3">
        <f t="shared" si="41"/>
        <v>6.3527017333133151E-2</v>
      </c>
      <c r="AG44" s="3">
        <f t="shared" si="41"/>
        <v>0</v>
      </c>
      <c r="AH44" s="3">
        <f t="shared" si="41"/>
        <v>0</v>
      </c>
      <c r="AI44" s="3">
        <f t="shared" si="41"/>
        <v>0</v>
      </c>
      <c r="AY44" t="s">
        <v>34</v>
      </c>
      <c r="AZ44" t="str">
        <f>IF(COUNTIF(W19:AA19,AZ31), B19, IF(COUNTIF(W20:AA20,AZ31), B20, IF(COUNTIF(W21:AA21,AZ31), B21, B22)))</f>
        <v>dE</v>
      </c>
      <c r="BB44" t="str">
        <f>ROUND(AZ31, 2) &amp; " (" &amp; ROUND(BA31, 2) &amp; ")"</f>
        <v>3.56 (3)</v>
      </c>
    </row>
    <row r="45" spans="1:71" x14ac:dyDescent="0.3">
      <c r="A45" s="32" t="s">
        <v>35</v>
      </c>
      <c r="B45" t="s">
        <v>29</v>
      </c>
      <c r="C45" s="25">
        <v>564</v>
      </c>
      <c r="D45" s="25">
        <v>431</v>
      </c>
      <c r="E45" s="25">
        <v>109</v>
      </c>
      <c r="F45" s="25">
        <v>8</v>
      </c>
      <c r="G45" s="25">
        <v>1</v>
      </c>
      <c r="I45" s="25">
        <v>39</v>
      </c>
      <c r="J45" s="25">
        <v>29</v>
      </c>
      <c r="K45" s="25">
        <v>9</v>
      </c>
      <c r="L45" s="25">
        <v>1</v>
      </c>
      <c r="M45" s="25">
        <v>0</v>
      </c>
      <c r="O45" s="2">
        <f t="shared" si="32"/>
        <v>6.9148936170212769E-2</v>
      </c>
      <c r="P45" s="2">
        <f t="shared" si="33"/>
        <v>6.7285382830626447E-2</v>
      </c>
      <c r="Q45" s="2">
        <f t="shared" si="34"/>
        <v>8.2568807339449546E-2</v>
      </c>
      <c r="R45" s="2">
        <f t="shared" si="35"/>
        <v>0.125</v>
      </c>
      <c r="S45" s="2">
        <f t="shared" si="36"/>
        <v>0</v>
      </c>
      <c r="T45" s="2"/>
      <c r="U45" s="2">
        <f>39/569</f>
        <v>6.8541300527240778E-2</v>
      </c>
      <c r="V45" s="2"/>
      <c r="W45" s="3">
        <f t="shared" si="23"/>
        <v>1.0088652482269502</v>
      </c>
      <c r="X45" s="3">
        <f t="shared" si="24"/>
        <v>0.98167648283657549</v>
      </c>
      <c r="Y45" s="3">
        <f t="shared" si="25"/>
        <v>1.2046577275935073</v>
      </c>
      <c r="Z45" s="3">
        <f t="shared" si="19"/>
        <v>1.8237179487179487</v>
      </c>
      <c r="AA45" s="3">
        <f t="shared" si="20"/>
        <v>0</v>
      </c>
      <c r="AB45" s="3">
        <f t="shared" si="37"/>
        <v>1.8237179487179487</v>
      </c>
      <c r="AC45" s="41">
        <f t="shared" si="11"/>
        <v>8</v>
      </c>
      <c r="AD45" s="29" t="str">
        <f t="shared" si="12"/>
        <v>6</v>
      </c>
      <c r="AE45" s="3">
        <f t="shared" si="41"/>
        <v>2.8477519068647122E-3</v>
      </c>
      <c r="AF45" s="3">
        <f t="shared" si="41"/>
        <v>5.7083525559645146E-2</v>
      </c>
      <c r="AG45" s="3">
        <f t="shared" si="41"/>
        <v>9.704930693332979E-2</v>
      </c>
      <c r="AH45" s="3">
        <f t="shared" si="41"/>
        <v>9.8837385099177555E-2</v>
      </c>
      <c r="AI45" s="3">
        <f t="shared" si="41"/>
        <v>0</v>
      </c>
      <c r="AY45" t="s">
        <v>35</v>
      </c>
      <c r="AZ45" t="str">
        <f>IF(COUNTIF(W23:AA23,AZ32), B23, IF(COUNTIF(W24:AA24,AZ32), B24, IF(COUNTIF(W25:AA25,AZ32), B25, B26)))</f>
        <v>dE(class)</v>
      </c>
      <c r="BB45" t="str">
        <f t="shared" ref="BB45:BB47" si="42">ROUND(AZ32, 2) &amp; " (" &amp; ROUND(BA32, 2) &amp; ")"</f>
        <v>1.52 (0.03)</v>
      </c>
    </row>
    <row r="46" spans="1:71" x14ac:dyDescent="0.3">
      <c r="A46" s="32" t="s">
        <v>35</v>
      </c>
      <c r="B46" s="1" t="s">
        <v>30</v>
      </c>
      <c r="C46" s="1">
        <v>14</v>
      </c>
      <c r="D46" s="1">
        <v>0</v>
      </c>
      <c r="E46" s="1">
        <v>0</v>
      </c>
      <c r="F46" s="1">
        <v>0</v>
      </c>
      <c r="G46" s="1">
        <v>0</v>
      </c>
      <c r="H46" s="1"/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/>
      <c r="O46" s="9">
        <f t="shared" si="32"/>
        <v>0</v>
      </c>
      <c r="P46" s="9">
        <f t="shared" si="33"/>
        <v>0</v>
      </c>
      <c r="Q46" s="9">
        <f t="shared" si="34"/>
        <v>0</v>
      </c>
      <c r="R46" s="9">
        <f t="shared" si="35"/>
        <v>0</v>
      </c>
      <c r="S46" s="9">
        <f t="shared" si="36"/>
        <v>0</v>
      </c>
      <c r="T46" s="9"/>
      <c r="U46" s="9">
        <f>39/569</f>
        <v>6.8541300527240778E-2</v>
      </c>
      <c r="V46" s="9"/>
      <c r="W46" s="10">
        <f t="shared" si="23"/>
        <v>0</v>
      </c>
      <c r="X46" s="10">
        <f t="shared" si="24"/>
        <v>0</v>
      </c>
      <c r="Y46" s="10">
        <f t="shared" si="25"/>
        <v>0</v>
      </c>
      <c r="Z46" s="10">
        <f t="shared" si="19"/>
        <v>0</v>
      </c>
      <c r="AA46" s="10">
        <f t="shared" si="20"/>
        <v>0</v>
      </c>
      <c r="AB46" s="10">
        <f t="shared" si="37"/>
        <v>0</v>
      </c>
      <c r="AC46" s="41">
        <f t="shared" si="11"/>
        <v>14</v>
      </c>
      <c r="AD46" s="29" t="str">
        <f t="shared" si="12"/>
        <v>3</v>
      </c>
      <c r="AE46" s="10">
        <f t="shared" si="41"/>
        <v>0</v>
      </c>
      <c r="AF46" s="10">
        <f t="shared" si="41"/>
        <v>0</v>
      </c>
      <c r="AG46" s="10">
        <f t="shared" si="41"/>
        <v>0</v>
      </c>
      <c r="AH46" s="10">
        <f t="shared" si="41"/>
        <v>0</v>
      </c>
      <c r="AI46" s="10">
        <f t="shared" si="41"/>
        <v>0</v>
      </c>
      <c r="AY46" t="s">
        <v>37</v>
      </c>
      <c r="AZ46" t="str">
        <f>IF(COUNTIF(W27:AA27,AZ33), B27, IF(COUNTIF(W28:AA28,AZ33), B28, IF(COUNTIF(W29:AA29,AZ33), B29, B30)))</f>
        <v>dU</v>
      </c>
      <c r="BB46" t="str">
        <f t="shared" si="42"/>
        <v>3.28 (0.06)</v>
      </c>
    </row>
    <row r="47" spans="1:71" x14ac:dyDescent="0.3">
      <c r="A47" s="32" t="s">
        <v>37</v>
      </c>
      <c r="B47" t="s">
        <v>27</v>
      </c>
      <c r="C47" s="25">
        <v>501</v>
      </c>
      <c r="D47" s="25">
        <v>92</v>
      </c>
      <c r="E47" s="25">
        <v>3</v>
      </c>
      <c r="F47" s="25">
        <v>0</v>
      </c>
      <c r="G47" s="25">
        <v>0</v>
      </c>
      <c r="I47" s="25">
        <v>56</v>
      </c>
      <c r="J47" s="25">
        <v>13</v>
      </c>
      <c r="K47" s="25">
        <v>0</v>
      </c>
      <c r="L47" s="25">
        <v>0</v>
      </c>
      <c r="M47" s="25">
        <v>0</v>
      </c>
      <c r="O47" s="2">
        <f t="shared" si="32"/>
        <v>0.11177644710578842</v>
      </c>
      <c r="P47" s="2">
        <f t="shared" si="33"/>
        <v>0.14130434782608695</v>
      </c>
      <c r="Q47" s="2">
        <f t="shared" si="34"/>
        <v>0</v>
      </c>
      <c r="R47" s="2">
        <f t="shared" si="35"/>
        <v>0</v>
      </c>
      <c r="S47" s="2">
        <f t="shared" si="36"/>
        <v>0</v>
      </c>
      <c r="T47" s="2"/>
      <c r="U47" s="2">
        <f>56/569</f>
        <v>9.8418277680140595E-2</v>
      </c>
      <c r="V47" s="2"/>
      <c r="W47" s="3">
        <f t="shared" si="23"/>
        <v>1.1357285429141717</v>
      </c>
      <c r="X47" s="3">
        <f t="shared" si="24"/>
        <v>1.4357531055900621</v>
      </c>
      <c r="Y47" s="3">
        <f t="shared" si="25"/>
        <v>0</v>
      </c>
      <c r="Z47" s="3">
        <f t="shared" si="19"/>
        <v>0</v>
      </c>
      <c r="AA47" s="3">
        <f t="shared" si="20"/>
        <v>0</v>
      </c>
      <c r="AB47" s="3">
        <f t="shared" si="37"/>
        <v>1.4357531055900621</v>
      </c>
      <c r="AC47" s="41">
        <f t="shared" si="11"/>
        <v>92</v>
      </c>
      <c r="AD47" s="29" t="str">
        <f t="shared" si="12"/>
        <v>4</v>
      </c>
      <c r="AE47" s="3">
        <f t="shared" ref="AE47:AI50" si="43">IF(C47&gt;0,((I47*((3*56)+C47))/(4*C47*56))*(1-(C47-I47)/(569-56)),0)</f>
        <v>4.4250679926696311E-2</v>
      </c>
      <c r="AF47" s="3">
        <f t="shared" si="43"/>
        <v>0.13875646241206882</v>
      </c>
      <c r="AG47" s="3">
        <f t="shared" si="43"/>
        <v>0</v>
      </c>
      <c r="AH47" s="3">
        <f t="shared" si="43"/>
        <v>0</v>
      </c>
      <c r="AI47" s="3">
        <f t="shared" si="43"/>
        <v>0</v>
      </c>
      <c r="AY47" t="s">
        <v>38</v>
      </c>
      <c r="AZ47" t="str">
        <f>IF(COUNTIF(W31:AA31,AZ34), B31, IF(COUNTIF(W32:AA32,AZ34), B32, IF(COUNTIF(W33:AA33,AZ34), B33, B34)))</f>
        <v>dE(class)</v>
      </c>
      <c r="BB47" t="str">
        <f t="shared" si="42"/>
        <v>8.25 (0.35)</v>
      </c>
    </row>
    <row r="48" spans="1:71" x14ac:dyDescent="0.3">
      <c r="A48" s="32" t="s">
        <v>37</v>
      </c>
      <c r="B48" t="s">
        <v>28</v>
      </c>
      <c r="C48" s="25">
        <v>15</v>
      </c>
      <c r="D48" s="25">
        <v>0</v>
      </c>
      <c r="E48" s="25">
        <v>0</v>
      </c>
      <c r="F48" s="25">
        <v>0</v>
      </c>
      <c r="G48" s="25">
        <v>0</v>
      </c>
      <c r="I48" s="25">
        <v>1</v>
      </c>
      <c r="J48" s="25">
        <v>0</v>
      </c>
      <c r="K48" s="25">
        <v>0</v>
      </c>
      <c r="L48" s="25">
        <v>0</v>
      </c>
      <c r="M48" s="25">
        <v>0</v>
      </c>
      <c r="O48" s="2">
        <f t="shared" si="32"/>
        <v>6.6666666666666666E-2</v>
      </c>
      <c r="P48" s="2">
        <f t="shared" si="33"/>
        <v>0</v>
      </c>
      <c r="Q48" s="2">
        <f t="shared" si="34"/>
        <v>0</v>
      </c>
      <c r="R48" s="2">
        <f t="shared" si="35"/>
        <v>0</v>
      </c>
      <c r="S48" s="2">
        <f t="shared" si="36"/>
        <v>0</v>
      </c>
      <c r="T48" s="2"/>
      <c r="U48" s="2">
        <f>56/569</f>
        <v>9.8418277680140595E-2</v>
      </c>
      <c r="V48" s="2"/>
      <c r="W48" s="3">
        <f t="shared" si="23"/>
        <v>0.67738095238095242</v>
      </c>
      <c r="X48" s="3">
        <f t="shared" si="24"/>
        <v>0</v>
      </c>
      <c r="Y48" s="3">
        <f t="shared" si="25"/>
        <v>0</v>
      </c>
      <c r="Z48" s="3">
        <f t="shared" si="19"/>
        <v>0</v>
      </c>
      <c r="AA48" s="3">
        <f t="shared" si="20"/>
        <v>0</v>
      </c>
      <c r="AB48" s="3">
        <f t="shared" si="37"/>
        <v>0.67738095238095242</v>
      </c>
      <c r="AC48" s="41">
        <f t="shared" si="11"/>
        <v>15</v>
      </c>
      <c r="AD48" s="29" t="str">
        <f t="shared" si="12"/>
        <v>3</v>
      </c>
      <c r="AE48" s="3">
        <f t="shared" si="43"/>
        <v>5.2977930938457256E-2</v>
      </c>
      <c r="AF48" s="3">
        <f t="shared" si="43"/>
        <v>0</v>
      </c>
      <c r="AG48" s="3">
        <f t="shared" si="43"/>
        <v>0</v>
      </c>
      <c r="AH48" s="3">
        <f t="shared" si="43"/>
        <v>0</v>
      </c>
      <c r="AI48" s="3">
        <f t="shared" si="43"/>
        <v>0</v>
      </c>
    </row>
    <row r="49" spans="1:53" x14ac:dyDescent="0.3">
      <c r="A49" s="32" t="s">
        <v>37</v>
      </c>
      <c r="B49" t="s">
        <v>29</v>
      </c>
      <c r="C49" s="25">
        <v>539</v>
      </c>
      <c r="D49" s="25">
        <v>164</v>
      </c>
      <c r="E49" s="25">
        <v>10</v>
      </c>
      <c r="F49" s="25">
        <v>0</v>
      </c>
      <c r="G49" s="25">
        <v>0</v>
      </c>
      <c r="I49" s="25">
        <v>56</v>
      </c>
      <c r="J49" s="25">
        <v>22</v>
      </c>
      <c r="K49" s="25">
        <v>0</v>
      </c>
      <c r="L49" s="25">
        <v>0</v>
      </c>
      <c r="M49" s="25">
        <v>0</v>
      </c>
      <c r="O49" s="2">
        <f t="shared" si="32"/>
        <v>0.1038961038961039</v>
      </c>
      <c r="P49" s="2">
        <f t="shared" si="33"/>
        <v>0.13414634146341464</v>
      </c>
      <c r="Q49" s="2">
        <f t="shared" si="34"/>
        <v>0</v>
      </c>
      <c r="R49" s="2">
        <f t="shared" si="35"/>
        <v>0</v>
      </c>
      <c r="S49" s="2">
        <f t="shared" si="36"/>
        <v>0</v>
      </c>
      <c r="T49" s="2"/>
      <c r="U49" s="2">
        <f>56/569</f>
        <v>9.8418277680140595E-2</v>
      </c>
      <c r="V49" s="2"/>
      <c r="W49" s="3">
        <f t="shared" si="23"/>
        <v>1.0556586270871986</v>
      </c>
      <c r="X49" s="3">
        <f t="shared" si="24"/>
        <v>1.3630226480836238</v>
      </c>
      <c r="Y49" s="3">
        <f t="shared" si="25"/>
        <v>0</v>
      </c>
      <c r="Z49" s="3">
        <f t="shared" si="19"/>
        <v>0</v>
      </c>
      <c r="AA49" s="3">
        <f t="shared" si="20"/>
        <v>0</v>
      </c>
      <c r="AB49" s="27">
        <f t="shared" si="37"/>
        <v>1.3630226480836238</v>
      </c>
      <c r="AC49" s="41">
        <f t="shared" si="11"/>
        <v>164</v>
      </c>
      <c r="AD49" s="29" t="str">
        <f t="shared" si="12"/>
        <v>4</v>
      </c>
      <c r="AE49" s="3">
        <f t="shared" si="43"/>
        <v>1.9176729703045493E-2</v>
      </c>
      <c r="AF49" s="3">
        <f t="shared" si="43"/>
        <v>0.14378892692435696</v>
      </c>
      <c r="AG49" s="3">
        <f t="shared" si="43"/>
        <v>0</v>
      </c>
      <c r="AH49" s="3">
        <f t="shared" si="43"/>
        <v>0</v>
      </c>
      <c r="AI49" s="3">
        <f t="shared" si="43"/>
        <v>0</v>
      </c>
      <c r="AY49" t="s">
        <v>46</v>
      </c>
      <c r="AZ49" t="s">
        <v>47</v>
      </c>
    </row>
    <row r="50" spans="1:53" x14ac:dyDescent="0.3">
      <c r="A50" s="32" t="s">
        <v>37</v>
      </c>
      <c r="B50" s="1" t="s">
        <v>30</v>
      </c>
      <c r="C50" s="1">
        <v>14</v>
      </c>
      <c r="D50" s="1">
        <v>0</v>
      </c>
      <c r="E50" s="1">
        <v>0</v>
      </c>
      <c r="F50" s="1">
        <v>0</v>
      </c>
      <c r="G50" s="1">
        <v>0</v>
      </c>
      <c r="H50" s="1"/>
      <c r="I50" s="1">
        <v>1</v>
      </c>
      <c r="J50" s="1">
        <v>0</v>
      </c>
      <c r="K50" s="1">
        <v>0</v>
      </c>
      <c r="L50" s="1">
        <v>0</v>
      </c>
      <c r="M50" s="1">
        <v>0</v>
      </c>
      <c r="N50" s="1"/>
      <c r="O50" s="9">
        <f t="shared" si="32"/>
        <v>7.1428571428571425E-2</v>
      </c>
      <c r="P50" s="9">
        <f t="shared" si="33"/>
        <v>0</v>
      </c>
      <c r="Q50" s="9">
        <f t="shared" si="34"/>
        <v>0</v>
      </c>
      <c r="R50" s="9">
        <f t="shared" si="35"/>
        <v>0</v>
      </c>
      <c r="S50" s="9">
        <f t="shared" si="36"/>
        <v>0</v>
      </c>
      <c r="T50" s="9"/>
      <c r="U50" s="9">
        <f>56/569</f>
        <v>9.8418277680140595E-2</v>
      </c>
      <c r="V50" s="9"/>
      <c r="W50" s="10">
        <f t="shared" si="23"/>
        <v>0.72576530612244894</v>
      </c>
      <c r="X50" s="10">
        <f t="shared" si="24"/>
        <v>0</v>
      </c>
      <c r="Y50" s="10">
        <f t="shared" si="25"/>
        <v>0</v>
      </c>
      <c r="Z50" s="10">
        <f t="shared" si="19"/>
        <v>0</v>
      </c>
      <c r="AA50" s="10">
        <f t="shared" si="20"/>
        <v>0</v>
      </c>
      <c r="AB50" s="10">
        <f t="shared" si="37"/>
        <v>0.72576530612244894</v>
      </c>
      <c r="AC50" s="41">
        <f t="shared" si="11"/>
        <v>14</v>
      </c>
      <c r="AD50" s="29" t="str">
        <f t="shared" si="12"/>
        <v>3</v>
      </c>
      <c r="AE50" s="10">
        <f t="shared" si="43"/>
        <v>5.6565023670286825E-2</v>
      </c>
      <c r="AF50" s="10">
        <f t="shared" si="43"/>
        <v>0</v>
      </c>
      <c r="AG50" s="10">
        <f t="shared" si="43"/>
        <v>0</v>
      </c>
      <c r="AH50" s="10">
        <f t="shared" si="43"/>
        <v>0</v>
      </c>
      <c r="AI50" s="10">
        <f t="shared" si="43"/>
        <v>0</v>
      </c>
      <c r="AY50" t="s">
        <v>27</v>
      </c>
      <c r="AZ50">
        <f>COUNTIF(AZ$40:AZ$47, AY50)</f>
        <v>4</v>
      </c>
    </row>
    <row r="51" spans="1:53" x14ac:dyDescent="0.3">
      <c r="A51" s="32" t="s">
        <v>38</v>
      </c>
      <c r="B51" t="s">
        <v>27</v>
      </c>
      <c r="C51" s="25">
        <v>561</v>
      </c>
      <c r="D51" s="25">
        <v>388</v>
      </c>
      <c r="E51" s="25">
        <v>74</v>
      </c>
      <c r="F51" s="25">
        <v>7</v>
      </c>
      <c r="G51" s="25">
        <v>0</v>
      </c>
      <c r="I51" s="25">
        <v>53</v>
      </c>
      <c r="J51" s="25">
        <v>40</v>
      </c>
      <c r="K51" s="25">
        <v>9</v>
      </c>
      <c r="L51" s="25">
        <v>0</v>
      </c>
      <c r="M51" s="25">
        <v>0</v>
      </c>
      <c r="O51" s="2">
        <f t="shared" si="32"/>
        <v>9.4474153297682703E-2</v>
      </c>
      <c r="P51" s="2">
        <f t="shared" si="33"/>
        <v>0.10309278350515463</v>
      </c>
      <c r="Q51" s="2">
        <f t="shared" si="34"/>
        <v>0.12162162162162163</v>
      </c>
      <c r="R51" s="2">
        <f t="shared" si="35"/>
        <v>0</v>
      </c>
      <c r="S51" s="2">
        <f t="shared" si="36"/>
        <v>0</v>
      </c>
      <c r="T51" s="2"/>
      <c r="U51" s="2">
        <f>53/569</f>
        <v>9.3145869947275917E-2</v>
      </c>
      <c r="V51" s="2"/>
      <c r="W51" s="3">
        <f t="shared" si="23"/>
        <v>1.0142602495543671</v>
      </c>
      <c r="X51" s="3">
        <f t="shared" si="24"/>
        <v>1.1067885625364715</v>
      </c>
      <c r="Y51" s="3">
        <f t="shared" si="25"/>
        <v>1.3057113717491078</v>
      </c>
      <c r="Z51" s="3">
        <f t="shared" si="19"/>
        <v>0</v>
      </c>
      <c r="AA51" s="3">
        <f t="shared" si="20"/>
        <v>0</v>
      </c>
      <c r="AB51" s="3">
        <f t="shared" si="37"/>
        <v>1.3057113717491078</v>
      </c>
      <c r="AC51" s="41">
        <f t="shared" si="11"/>
        <v>74</v>
      </c>
      <c r="AD51" s="29" t="str">
        <f t="shared" si="12"/>
        <v>5</v>
      </c>
      <c r="AE51" s="3">
        <f t="shared" ref="AE51:AI54" si="44">IF(C51&gt;0,((I51*((3*53)+C51))/(4*C51*53))*(1-(C51-I51)/(569-53)),0)</f>
        <v>4.9745056585001951E-3</v>
      </c>
      <c r="AF51" s="3">
        <f t="shared" si="44"/>
        <v>8.6604271180613687E-2</v>
      </c>
      <c r="AG51" s="3">
        <f t="shared" si="44"/>
        <v>0.11683089133451134</v>
      </c>
      <c r="AH51" s="3">
        <f t="shared" si="44"/>
        <v>0</v>
      </c>
      <c r="AI51" s="3">
        <f t="shared" si="44"/>
        <v>0</v>
      </c>
      <c r="AY51" t="s">
        <v>28</v>
      </c>
      <c r="AZ51">
        <f t="shared" ref="AZ51:AZ53" si="45">COUNTIF(AZ$40:AZ$47, AY51)</f>
        <v>1</v>
      </c>
    </row>
    <row r="52" spans="1:53" x14ac:dyDescent="0.3">
      <c r="A52" s="32" t="s">
        <v>38</v>
      </c>
      <c r="B52" t="s">
        <v>28</v>
      </c>
      <c r="C52" s="25">
        <v>14</v>
      </c>
      <c r="D52" s="25">
        <v>1</v>
      </c>
      <c r="E52" s="25">
        <v>0</v>
      </c>
      <c r="F52" s="25">
        <v>0</v>
      </c>
      <c r="G52" s="25">
        <v>0</v>
      </c>
      <c r="I52" s="25">
        <v>0</v>
      </c>
      <c r="J52" s="25">
        <v>0</v>
      </c>
      <c r="K52" s="25">
        <v>0</v>
      </c>
      <c r="L52" s="25">
        <v>0</v>
      </c>
      <c r="M52" s="25">
        <v>0</v>
      </c>
      <c r="O52" s="2">
        <f t="shared" si="32"/>
        <v>0</v>
      </c>
      <c r="P52" s="2">
        <f t="shared" si="33"/>
        <v>0</v>
      </c>
      <c r="Q52" s="2">
        <f t="shared" si="34"/>
        <v>0</v>
      </c>
      <c r="R52" s="2">
        <f t="shared" si="35"/>
        <v>0</v>
      </c>
      <c r="S52" s="2">
        <f t="shared" si="36"/>
        <v>0</v>
      </c>
      <c r="T52" s="2"/>
      <c r="U52" s="2">
        <f>53/569</f>
        <v>9.3145869947275917E-2</v>
      </c>
      <c r="V52" s="2"/>
      <c r="W52" s="3">
        <f t="shared" si="23"/>
        <v>0</v>
      </c>
      <c r="X52" s="3">
        <f t="shared" si="24"/>
        <v>0</v>
      </c>
      <c r="Y52" s="3">
        <f t="shared" si="25"/>
        <v>0</v>
      </c>
      <c r="Z52" s="3">
        <f t="shared" si="19"/>
        <v>0</v>
      </c>
      <c r="AA52" s="3">
        <f t="shared" si="20"/>
        <v>0</v>
      </c>
      <c r="AB52" s="3">
        <f t="shared" si="37"/>
        <v>0</v>
      </c>
      <c r="AC52" s="41">
        <f t="shared" si="11"/>
        <v>14</v>
      </c>
      <c r="AD52" s="29" t="str">
        <f t="shared" si="12"/>
        <v>3</v>
      </c>
      <c r="AE52" s="3">
        <f t="shared" si="44"/>
        <v>0</v>
      </c>
      <c r="AF52" s="3">
        <f t="shared" si="44"/>
        <v>0</v>
      </c>
      <c r="AG52" s="3">
        <f t="shared" si="44"/>
        <v>0</v>
      </c>
      <c r="AH52" s="3">
        <f t="shared" si="44"/>
        <v>0</v>
      </c>
      <c r="AI52" s="3">
        <f t="shared" si="44"/>
        <v>0</v>
      </c>
      <c r="AY52" t="s">
        <v>29</v>
      </c>
      <c r="AZ52">
        <f t="shared" si="45"/>
        <v>0</v>
      </c>
    </row>
    <row r="53" spans="1:53" x14ac:dyDescent="0.3">
      <c r="A53" s="32" t="s">
        <v>38</v>
      </c>
      <c r="B53" t="s">
        <v>29</v>
      </c>
      <c r="C53" s="25">
        <v>559</v>
      </c>
      <c r="D53" s="25">
        <v>270</v>
      </c>
      <c r="E53" s="25">
        <v>31</v>
      </c>
      <c r="F53" s="25">
        <v>2</v>
      </c>
      <c r="G53" s="25">
        <v>0</v>
      </c>
      <c r="I53" s="25">
        <v>53</v>
      </c>
      <c r="J53" s="25">
        <v>23</v>
      </c>
      <c r="K53" s="25">
        <v>3</v>
      </c>
      <c r="L53" s="25">
        <v>0</v>
      </c>
      <c r="M53" s="25">
        <v>0</v>
      </c>
      <c r="O53" s="2">
        <f t="shared" si="32"/>
        <v>9.4812164579606437E-2</v>
      </c>
      <c r="P53" s="2">
        <f t="shared" si="33"/>
        <v>8.5185185185185183E-2</v>
      </c>
      <c r="Q53" s="2">
        <f t="shared" si="34"/>
        <v>9.6774193548387094E-2</v>
      </c>
      <c r="R53" s="2">
        <f t="shared" si="35"/>
        <v>0</v>
      </c>
      <c r="S53" s="2">
        <f t="shared" si="36"/>
        <v>0</v>
      </c>
      <c r="T53" s="2"/>
      <c r="U53" s="2">
        <f>53/569</f>
        <v>9.3145869947275917E-2</v>
      </c>
      <c r="V53" s="2"/>
      <c r="W53" s="3">
        <f t="shared" si="23"/>
        <v>1.0178890876565296</v>
      </c>
      <c r="X53" s="3">
        <f t="shared" si="24"/>
        <v>0.91453529000698819</v>
      </c>
      <c r="Y53" s="3">
        <f t="shared" si="25"/>
        <v>1.0389531345100427</v>
      </c>
      <c r="Z53" s="3">
        <f t="shared" si="19"/>
        <v>0</v>
      </c>
      <c r="AA53" s="3">
        <f t="shared" si="20"/>
        <v>0</v>
      </c>
      <c r="AB53" s="3">
        <f t="shared" si="37"/>
        <v>1.0389531345100427</v>
      </c>
      <c r="AC53" s="41">
        <f t="shared" si="11"/>
        <v>31</v>
      </c>
      <c r="AD53" s="29" t="str">
        <f t="shared" si="12"/>
        <v>5</v>
      </c>
      <c r="AE53" s="3">
        <f t="shared" si="44"/>
        <v>6.2230450278043681E-3</v>
      </c>
      <c r="AF53" s="3">
        <f t="shared" si="44"/>
        <v>8.986448328539158E-2</v>
      </c>
      <c r="AG53" s="3">
        <f t="shared" si="44"/>
        <v>8.2025223286953816E-2</v>
      </c>
      <c r="AH53" s="3">
        <f t="shared" si="44"/>
        <v>0</v>
      </c>
      <c r="AI53" s="3">
        <f t="shared" si="44"/>
        <v>0</v>
      </c>
      <c r="AY53" t="s">
        <v>30</v>
      </c>
      <c r="AZ53">
        <f t="shared" si="45"/>
        <v>3</v>
      </c>
    </row>
    <row r="54" spans="1:53" x14ac:dyDescent="0.3">
      <c r="A54" s="33" t="s">
        <v>38</v>
      </c>
      <c r="B54" s="1" t="s">
        <v>30</v>
      </c>
      <c r="C54" s="1">
        <v>36</v>
      </c>
      <c r="D54" s="1">
        <v>8</v>
      </c>
      <c r="E54" s="1">
        <v>0</v>
      </c>
      <c r="F54" s="1">
        <v>0</v>
      </c>
      <c r="G54" s="1">
        <v>0</v>
      </c>
      <c r="H54" s="1"/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/>
      <c r="O54" s="9">
        <f t="shared" si="32"/>
        <v>0</v>
      </c>
      <c r="P54" s="9">
        <f t="shared" si="33"/>
        <v>0</v>
      </c>
      <c r="Q54" s="9">
        <f t="shared" si="34"/>
        <v>0</v>
      </c>
      <c r="R54" s="9">
        <f t="shared" si="35"/>
        <v>0</v>
      </c>
      <c r="S54" s="9">
        <f t="shared" si="36"/>
        <v>0</v>
      </c>
      <c r="T54" s="9"/>
      <c r="U54" s="9">
        <f>53/569</f>
        <v>9.3145869947275917E-2</v>
      </c>
      <c r="V54" s="9"/>
      <c r="W54" s="10">
        <f t="shared" si="23"/>
        <v>0</v>
      </c>
      <c r="X54" s="10">
        <f t="shared" si="24"/>
        <v>0</v>
      </c>
      <c r="Y54" s="10">
        <f t="shared" si="25"/>
        <v>0</v>
      </c>
      <c r="Z54" s="10">
        <f t="shared" si="19"/>
        <v>0</v>
      </c>
      <c r="AA54" s="10">
        <f t="shared" si="20"/>
        <v>0</v>
      </c>
      <c r="AB54" s="10">
        <f t="shared" si="37"/>
        <v>0</v>
      </c>
      <c r="AC54" s="41">
        <f t="shared" si="11"/>
        <v>36</v>
      </c>
      <c r="AD54" s="29" t="str">
        <f t="shared" si="12"/>
        <v>3</v>
      </c>
      <c r="AE54" s="10">
        <f t="shared" si="44"/>
        <v>0</v>
      </c>
      <c r="AF54" s="10">
        <f t="shared" si="44"/>
        <v>0</v>
      </c>
      <c r="AG54" s="10">
        <f t="shared" si="44"/>
        <v>0</v>
      </c>
      <c r="AH54" s="10">
        <f t="shared" si="44"/>
        <v>0</v>
      </c>
      <c r="AI54" s="10">
        <f t="shared" si="44"/>
        <v>0</v>
      </c>
    </row>
    <row r="55" spans="1:53" x14ac:dyDescent="0.3">
      <c r="AY55" t="s">
        <v>46</v>
      </c>
      <c r="AZ55" t="s">
        <v>49</v>
      </c>
      <c r="BA55" t="s">
        <v>50</v>
      </c>
    </row>
    <row r="56" spans="1:53" x14ac:dyDescent="0.3">
      <c r="AY56" t="s">
        <v>27</v>
      </c>
      <c r="AZ56">
        <f>SUM(COUNTIF(AB3, "&gt;1.5"), COUNTIF(AB7, "&gt;1.5"), COUNTIF(AB11, "&gt;1.5"), COUNTIF(AB15, "&gt;1.5"), COUNTIF(AB19, "&gt;1.5"), COUNTIF(AB23, "&gt;1.5"), COUNTIF(AB27, "&gt;1.5"), COUNTIF(AB31, "&gt;1.5"))</f>
        <v>5</v>
      </c>
      <c r="BA56">
        <f>SUM(COUNTIF(AB3, "&gt;2"), COUNTIF(AB7, "&gt;2"), COUNTIF(AB11, "&gt;2"), COUNTIF(AB15, "&gt;2"), COUNTIF(AB19, "&gt;2"), COUNTIF(AB23, "&gt;2"), COUNTIF(AB27, "&gt;2"), COUNTIF(AB31, "&gt;2"))</f>
        <v>2</v>
      </c>
    </row>
    <row r="57" spans="1:53" x14ac:dyDescent="0.3">
      <c r="AY57" t="s">
        <v>28</v>
      </c>
      <c r="AZ57">
        <f>SUM(COUNTIF(AB4, "&gt;1.5"), COUNTIF(AB8, "&gt;1.5"), COUNTIF(AB12, "&gt;1.5"), COUNTIF(AB16, "&gt;1.5"), COUNTIF(AB20, "&gt;1.5"), COUNTIF(AB24, "&gt;1.5"), COUNTIF(AB28, "&gt;1.5"), COUNTIF(AB32, "&gt;1.5"))</f>
        <v>2</v>
      </c>
      <c r="BA57">
        <f t="shared" ref="BA57:BA59" si="46">SUM(COUNTIF(AB4, "&gt;2"), COUNTIF(AB8, "&gt;2"), COUNTIF(AB12, "&gt;2"), COUNTIF(AB16, "&gt;2"), COUNTIF(AB20, "&gt;2"), COUNTIF(AB24, "&gt;2"), COUNTIF(AB28, "&gt;2"), COUNTIF(AB32, "&gt;2"))</f>
        <v>2</v>
      </c>
    </row>
    <row r="58" spans="1:53" x14ac:dyDescent="0.3">
      <c r="AY58" t="s">
        <v>29</v>
      </c>
      <c r="AZ58">
        <f t="shared" ref="AZ58:AZ59" si="47">SUM(COUNTIF(AB5, "&gt;1.5"), COUNTIF(AB9, "&gt;1.5"), COUNTIF(AB13, "&gt;1.5"), COUNTIF(AB17, "&gt;1.5"), COUNTIF(AB21, "&gt;1.5"), COUNTIF(AB25, "&gt;1.5"), COUNTIF(AB29, "&gt;1.5"), COUNTIF(AB33, "&gt;1.5"))</f>
        <v>3</v>
      </c>
      <c r="BA58">
        <f t="shared" si="46"/>
        <v>3</v>
      </c>
    </row>
    <row r="59" spans="1:53" x14ac:dyDescent="0.3">
      <c r="AY59" t="s">
        <v>30</v>
      </c>
      <c r="AZ59">
        <f t="shared" si="47"/>
        <v>4</v>
      </c>
      <c r="BA59">
        <f t="shared" si="46"/>
        <v>4</v>
      </c>
    </row>
  </sheetData>
  <sortState xmlns:xlrd2="http://schemas.microsoft.com/office/spreadsheetml/2017/richdata2" ref="A3:AI54">
    <sortCondition ref="A3:A54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6B8B8961709E49859A44A6608C242D" ma:contentTypeVersion="12" ma:contentTypeDescription="Create a new document." ma:contentTypeScope="" ma:versionID="91f316d38f2be5494ab0d3724e124308">
  <xsd:schema xmlns:xsd="http://www.w3.org/2001/XMLSchema" xmlns:xs="http://www.w3.org/2001/XMLSchema" xmlns:p="http://schemas.microsoft.com/office/2006/metadata/properties" xmlns:ns3="43b54cb5-a873-4f5e-a135-b4610bf181d2" xmlns:ns4="d028fd66-6788-42b6-b8bb-de8ad7a52eae" targetNamespace="http://schemas.microsoft.com/office/2006/metadata/properties" ma:root="true" ma:fieldsID="96c47c95b784b6b02f3b818bccb484f5" ns3:_="" ns4:_="">
    <xsd:import namespace="43b54cb5-a873-4f5e-a135-b4610bf181d2"/>
    <xsd:import namespace="d028fd66-6788-42b6-b8bb-de8ad7a52ea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54cb5-a873-4f5e-a135-b4610bf181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8fd66-6788-42b6-b8bb-de8ad7a52eae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4EE212-7898-4CD6-8DA3-5A159F1B056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43b54cb5-a873-4f5e-a135-b4610bf181d2"/>
    <ds:schemaRef ds:uri="http://purl.org/dc/elements/1.1/"/>
    <ds:schemaRef ds:uri="http://schemas.microsoft.com/office/2006/metadata/properties"/>
    <ds:schemaRef ds:uri="http://schemas.microsoft.com/office/infopath/2007/PartnerControls"/>
    <ds:schemaRef ds:uri="d028fd66-6788-42b6-b8bb-de8ad7a52eae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53CBEE6-5899-4AD1-8B90-40A1FC5D2C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03E5DF-3271-444E-82FA-6EB6E6C413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b54cb5-a873-4f5e-a135-b4610bf181d2"/>
    <ds:schemaRef ds:uri="d028fd66-6788-42b6-b8bb-de8ad7a52e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moefrags_copy</vt:lpstr>
      <vt:lpstr>ef_copy</vt:lpstr>
      <vt:lpstr>gh_copy</vt:lpstr>
      <vt:lpstr>rec_EF_copy</vt:lpstr>
      <vt:lpstr>rec_GH_copy</vt:lpstr>
      <vt:lpstr>moefrags</vt:lpstr>
      <vt:lpstr>ef</vt:lpstr>
      <vt:lpstr>gh</vt:lpstr>
      <vt:lpstr>rec_EF</vt:lpstr>
      <vt:lpstr>rec_GH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Szwabowski</dc:creator>
  <cp:lastModifiedBy>Gregory Leon Szwabowski (gszwbwsk)</cp:lastModifiedBy>
  <dcterms:created xsi:type="dcterms:W3CDTF">2020-07-07T16:26:23Z</dcterms:created>
  <dcterms:modified xsi:type="dcterms:W3CDTF">2022-02-03T20:50:21Z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0x010100716B8B8961709E49859A44A6608C242D</vt:lpwstr>
  </property>
</Properties>
</file>