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SBP/ph4_sampling/SiteFinder/logistic_regression/nestedCV_spreadsheets/all_ph4s/no_minfeat/"/>
    </mc:Choice>
  </mc:AlternateContent>
  <xr:revisionPtr revIDLastSave="0" documentId="8_{D08989F4-6077-401B-809D-30281D2C8427}" xr6:coauthVersionLast="47" xr6:coauthVersionMax="47" xr10:uidLastSave="{00000000-0000-0000-0000-000000000000}"/>
  <bookViews>
    <workbookView xWindow="28690" yWindow="-110" windowWidth="25420" windowHeight="15370" activeTab="6" xr2:uid="{37BB0EFD-77DF-4D5D-A19B-E89A027EDD60}"/>
  </bookViews>
  <sheets>
    <sheet name="5HT2B" sheetId="1" r:id="rId1"/>
    <sheet name="A2A" sheetId="5" r:id="rId2"/>
    <sheet name="Beta 2" sheetId="6" r:id="rId3"/>
    <sheet name="H1" sheetId="7" r:id="rId4"/>
    <sheet name="M1" sheetId="8" r:id="rId5"/>
    <sheet name="OPRD" sheetId="9" r:id="rId6"/>
    <sheet name="OPRK" sheetId="10" r:id="rId7"/>
    <sheet name="OPRM" sheetId="11" r:id="rId8"/>
    <sheet name="Average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1" l="1"/>
  <c r="E17" i="8"/>
  <c r="D12" i="12" s="1"/>
  <c r="C8" i="12" l="1"/>
  <c r="C9" i="12"/>
  <c r="C10" i="12"/>
  <c r="C11" i="12"/>
  <c r="C12" i="12"/>
  <c r="C13" i="12"/>
  <c r="C14" i="12"/>
  <c r="C15" i="12"/>
  <c r="B15" i="12"/>
  <c r="B14" i="12"/>
  <c r="B13" i="12"/>
  <c r="B12" i="12"/>
  <c r="B11" i="12"/>
  <c r="B10" i="12"/>
  <c r="B9" i="12"/>
  <c r="B8" i="12"/>
  <c r="E17" i="1"/>
  <c r="D8" i="12" s="1"/>
  <c r="E17" i="7"/>
  <c r="D11" i="12" s="1"/>
  <c r="E17" i="6"/>
  <c r="D10" i="12" s="1"/>
  <c r="E17" i="5"/>
  <c r="D9" i="12" s="1"/>
  <c r="J11" i="7"/>
  <c r="D15" i="12" l="1"/>
  <c r="E17" i="10"/>
  <c r="D14" i="12" s="1"/>
  <c r="E17" i="9"/>
  <c r="D13" i="12" s="1"/>
  <c r="D16" i="12" l="1"/>
  <c r="B5" i="12"/>
  <c r="B2" i="12" l="1"/>
  <c r="J11" i="8"/>
  <c r="J10" i="8"/>
  <c r="J11" i="9"/>
  <c r="J10" i="9"/>
  <c r="J11" i="10"/>
  <c r="J10" i="10"/>
  <c r="J11" i="11"/>
  <c r="J10" i="11"/>
  <c r="J10" i="7"/>
  <c r="J11" i="6"/>
  <c r="J10" i="6"/>
  <c r="J11" i="5"/>
  <c r="J10" i="5"/>
  <c r="J11" i="1"/>
  <c r="J10" i="1"/>
  <c r="B1" i="12" l="1"/>
</calcChain>
</file>

<file path=xl/sharedStrings.xml><?xml version="1.0" encoding="utf-8"?>
<sst xmlns="http://schemas.openxmlformats.org/spreadsheetml/2006/main" count="551" uniqueCount="24">
  <si>
    <t>Train</t>
  </si>
  <si>
    <t>Test</t>
  </si>
  <si>
    <t>5HT2B</t>
  </si>
  <si>
    <t>Hold Out</t>
  </si>
  <si>
    <t>A2A</t>
  </si>
  <si>
    <t>Beta 2</t>
  </si>
  <si>
    <t>H1</t>
  </si>
  <si>
    <t>M1</t>
  </si>
  <si>
    <t>OPRD</t>
  </si>
  <si>
    <t>OPRK</t>
  </si>
  <si>
    <t>OPRM</t>
  </si>
  <si>
    <t>Beta2</t>
  </si>
  <si>
    <t>PPV</t>
  </si>
  <si>
    <t>NQ</t>
  </si>
  <si>
    <t>Q</t>
  </si>
  <si>
    <t>p_cutoff</t>
  </si>
  <si>
    <t>avg</t>
  </si>
  <si>
    <t>Confusion Matrix</t>
  </si>
  <si>
    <t>classification</t>
  </si>
  <si>
    <t>average PPV</t>
  </si>
  <si>
    <t>Receptor</t>
  </si>
  <si>
    <t>FP</t>
  </si>
  <si>
    <t>TP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</si>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</sst>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22</xdr:row>
      <xdr:rowOff>153307</xdr:rowOff>
    </xdr:from>
    <xdr:to>
      <xdr:col>4</xdr:col>
      <xdr:colOff>542472</xdr:colOff>
      <xdr:row>25</xdr:row>
      <xdr:rowOff>107950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5FE2217E-A8F3-453D-80D1-8EC0D423227F}"/>
            </a:ext>
          </a:extLst>
        </xdr:cNvPr>
        <xdr:cNvSpPr/>
      </xdr:nvSpPr>
      <xdr:spPr>
        <a:xfrm>
          <a:off x="1752600" y="4204607"/>
          <a:ext cx="1228272" cy="5070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EF32-6995-4ADE-9C82-F6947E66A7A6}">
  <sheetPr codeName="Sheet1"/>
  <dimension ref="A2:K22"/>
  <sheetViews>
    <sheetView zoomScaleNormal="10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4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2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6095-C037-467C-A1C3-0191C9444CCA}">
  <sheetPr codeName="Sheet2"/>
  <dimension ref="A2:K22"/>
  <sheetViews>
    <sheetView topLeftCell="A4" zoomScale="70" zoomScaleNormal="70" workbookViewId="0">
      <selection activeCell="D17" sqref="D17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4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82CC-C334-4749-BC24-78434F445C37}">
  <sheetPr codeName="Sheet3"/>
  <dimension ref="A2:K22"/>
  <sheetViews>
    <sheetView zoomScale="70" zoomScaleNormal="70" workbookViewId="0">
      <selection activeCell="B10" sqref="B10:H10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5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E08EF-BB66-4EF8-A545-512432AB8EDA}">
  <sheetPr codeName="Sheet4"/>
  <dimension ref="A2:J22"/>
  <sheetViews>
    <sheetView topLeftCell="A7" zoomScale="70" zoomScaleNormal="70" workbookViewId="0">
      <selection activeCell="B10" sqref="B10:H10"/>
    </sheetView>
  </sheetViews>
  <sheetFormatPr defaultRowHeight="14.5" x14ac:dyDescent="0.35"/>
  <sheetData>
    <row r="2" spans="1:10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0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0" x14ac:dyDescent="0.35">
      <c r="A4" t="s">
        <v>0</v>
      </c>
      <c r="B4" t="s">
        <v>7</v>
      </c>
      <c r="C4" t="s">
        <v>7</v>
      </c>
      <c r="D4" t="s">
        <v>7</v>
      </c>
      <c r="E4" t="s">
        <v>11</v>
      </c>
      <c r="F4" t="s">
        <v>11</v>
      </c>
      <c r="G4" t="s">
        <v>11</v>
      </c>
      <c r="H4" t="s">
        <v>11</v>
      </c>
    </row>
    <row r="5" spans="1:10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0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0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0" x14ac:dyDescent="0.35">
      <c r="A9" t="s">
        <v>1</v>
      </c>
      <c r="B9" t="s">
        <v>2</v>
      </c>
      <c r="C9" t="s">
        <v>4</v>
      </c>
      <c r="D9" t="s">
        <v>11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0" x14ac:dyDescent="0.35">
      <c r="A10" t="s">
        <v>15</v>
      </c>
      <c r="J10" s="1" t="e">
        <f>AVERAGE(B10:H10)</f>
        <v>#DIV/0!</v>
      </c>
    </row>
    <row r="11" spans="1:10" x14ac:dyDescent="0.35">
      <c r="A11" t="s">
        <v>12</v>
      </c>
      <c r="J11" s="2" t="e">
        <f>AVERAGE(B11:I11)</f>
        <v>#DIV/0!</v>
      </c>
    </row>
    <row r="13" spans="1:10" x14ac:dyDescent="0.35">
      <c r="A13" t="s">
        <v>3</v>
      </c>
      <c r="B13" t="s">
        <v>6</v>
      </c>
    </row>
    <row r="14" spans="1:10" x14ac:dyDescent="0.35">
      <c r="A14" t="s">
        <v>17</v>
      </c>
    </row>
    <row r="15" spans="1:10" x14ac:dyDescent="0.35">
      <c r="B15" t="s">
        <v>13</v>
      </c>
      <c r="C15" t="s">
        <v>14</v>
      </c>
    </row>
    <row r="16" spans="1:10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B7F9-7BD0-406F-BFD3-89E412472964}">
  <sheetPr codeName="Sheet5"/>
  <dimension ref="A2:K22"/>
  <sheetViews>
    <sheetView topLeftCell="A4" zoomScale="70" zoomScaleNormal="70" workbookViewId="0">
      <selection activeCell="B10" sqref="B10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7</v>
      </c>
    </row>
    <row r="14" spans="1:11" x14ac:dyDescent="0.35">
      <c r="A14" t="s">
        <v>17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09076-6576-4602-A7EB-27E6192D36D8}">
  <sheetPr codeName="Sheet6"/>
  <dimension ref="A2:K22"/>
  <sheetViews>
    <sheetView zoomScale="70" zoomScaleNormal="70" workbookViewId="0">
      <selection activeCell="D17" sqref="D17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8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4CD4-DFCD-445B-826E-B3C7B766F632}">
  <sheetPr codeName="Sheet7"/>
  <dimension ref="A2:K20"/>
  <sheetViews>
    <sheetView tabSelected="1" zoomScale="70" zoomScaleNormal="70" workbookViewId="0">
      <selection activeCell="D17" sqref="D17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9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0" spans="1:5" x14ac:dyDescent="0.35">
      <c r="A20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3613-AE59-45D8-8D15-DF404474AC2D}">
  <sheetPr codeName="Sheet8"/>
  <dimension ref="A2:K22"/>
  <sheetViews>
    <sheetView zoomScale="70" zoomScaleNormal="70" workbookViewId="0">
      <selection activeCell="B18" sqref="B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9</v>
      </c>
      <c r="C7" t="s">
        <v>9</v>
      </c>
      <c r="D7" t="s">
        <v>9</v>
      </c>
      <c r="E7" t="s">
        <v>9</v>
      </c>
      <c r="F7" t="s">
        <v>9</v>
      </c>
      <c r="G7" t="s">
        <v>9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9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10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9DD7-2D70-45EA-AD80-3D46AB2543D1}">
  <sheetPr codeName="Sheet9"/>
  <dimension ref="A1:D16"/>
  <sheetViews>
    <sheetView workbookViewId="0">
      <selection activeCell="E21" sqref="E21"/>
    </sheetView>
  </sheetViews>
  <sheetFormatPr defaultRowHeight="14.5" x14ac:dyDescent="0.35"/>
  <cols>
    <col min="1" max="1" width="14.453125" bestFit="1" customWidth="1"/>
  </cols>
  <sheetData>
    <row r="1" spans="1:4" x14ac:dyDescent="0.35">
      <c r="A1" t="s">
        <v>15</v>
      </c>
      <c r="B1" s="1" t="e">
        <f>AVERAGE('5HT2B'!J10,A2A!J10,'Beta 2'!J10,'H1'!J10,'M1'!J10,OPRD!J10,OPRK!J10,OPRM!J10)</f>
        <v>#DIV/0!</v>
      </c>
    </row>
    <row r="2" spans="1:4" x14ac:dyDescent="0.35">
      <c r="A2" t="s">
        <v>12</v>
      </c>
      <c r="B2" s="2" t="e">
        <f>AVERAGE('5HT2B'!E17,A2A!E17,'Beta 2'!E17,'H1'!E17,'M1'!E17,OPRD!E17,OPRK!E17,OPRM!E17)</f>
        <v>#DIV/0!</v>
      </c>
    </row>
    <row r="4" spans="1:4" x14ac:dyDescent="0.35">
      <c r="A4" t="s">
        <v>18</v>
      </c>
      <c r="B4" s="1"/>
    </row>
    <row r="5" spans="1:4" x14ac:dyDescent="0.35">
      <c r="A5" t="s">
        <v>19</v>
      </c>
      <c r="B5" t="e">
        <f>AVERAGE('5HT2B'!E17,A2A!E17,'Beta 2'!E17,'H1'!E17,'M1'!E17,OPRD!E17,OPRK!E17,OPRM!E17)</f>
        <v>#DIV/0!</v>
      </c>
    </row>
    <row r="7" spans="1:4" x14ac:dyDescent="0.35">
      <c r="A7" t="s">
        <v>20</v>
      </c>
      <c r="B7" t="s">
        <v>21</v>
      </c>
      <c r="C7" t="s">
        <v>22</v>
      </c>
      <c r="D7" t="s">
        <v>12</v>
      </c>
    </row>
    <row r="8" spans="1:4" x14ac:dyDescent="0.35">
      <c r="A8" t="s">
        <v>2</v>
      </c>
      <c r="B8">
        <f>'5HT2B'!B$17</f>
        <v>0</v>
      </c>
      <c r="C8">
        <f>'5HT2B'!C$17</f>
        <v>0</v>
      </c>
      <c r="D8" s="2" t="e">
        <f>'5HT2B'!E$17</f>
        <v>#DIV/0!</v>
      </c>
    </row>
    <row r="9" spans="1:4" x14ac:dyDescent="0.35">
      <c r="A9" t="s">
        <v>4</v>
      </c>
      <c r="B9">
        <f>A2A!B$17</f>
        <v>0</v>
      </c>
      <c r="C9">
        <f>A2A!C$17</f>
        <v>0</v>
      </c>
      <c r="D9" s="2" t="e">
        <f>A2A!E$17</f>
        <v>#DIV/0!</v>
      </c>
    </row>
    <row r="10" spans="1:4" x14ac:dyDescent="0.35">
      <c r="A10" t="s">
        <v>5</v>
      </c>
      <c r="B10">
        <f>'Beta 2'!B$17</f>
        <v>0</v>
      </c>
      <c r="C10">
        <f>'Beta 2'!C$17</f>
        <v>0</v>
      </c>
      <c r="D10" s="2" t="e">
        <f>'Beta 2'!E$17</f>
        <v>#DIV/0!</v>
      </c>
    </row>
    <row r="11" spans="1:4" x14ac:dyDescent="0.35">
      <c r="A11" t="s">
        <v>6</v>
      </c>
      <c r="B11">
        <f>'H1'!B$17</f>
        <v>0</v>
      </c>
      <c r="C11">
        <f>'H1'!C$17</f>
        <v>0</v>
      </c>
      <c r="D11" s="2" t="e">
        <f>'H1'!E$17</f>
        <v>#DIV/0!</v>
      </c>
    </row>
    <row r="12" spans="1:4" x14ac:dyDescent="0.35">
      <c r="A12" t="s">
        <v>7</v>
      </c>
      <c r="B12">
        <f>'M1'!B$17</f>
        <v>0</v>
      </c>
      <c r="C12">
        <f>'M1'!C$17</f>
        <v>0</v>
      </c>
      <c r="D12" s="2" t="e">
        <f>'M1'!E$17</f>
        <v>#DIV/0!</v>
      </c>
    </row>
    <row r="13" spans="1:4" x14ac:dyDescent="0.35">
      <c r="A13" t="s">
        <v>8</v>
      </c>
      <c r="B13">
        <f>OPRD!B$17</f>
        <v>0</v>
      </c>
      <c r="C13">
        <f>OPRD!C$17</f>
        <v>0</v>
      </c>
      <c r="D13" s="2" t="e">
        <f>OPRD!E$17</f>
        <v>#DIV/0!</v>
      </c>
    </row>
    <row r="14" spans="1:4" x14ac:dyDescent="0.35">
      <c r="A14" t="s">
        <v>9</v>
      </c>
      <c r="B14">
        <f>OPRK!B$17</f>
        <v>0</v>
      </c>
      <c r="C14">
        <f>OPRK!C$17</f>
        <v>0</v>
      </c>
      <c r="D14" s="2" t="e">
        <f>OPRK!E$17</f>
        <v>#DIV/0!</v>
      </c>
    </row>
    <row r="15" spans="1:4" x14ac:dyDescent="0.35">
      <c r="A15" t="s">
        <v>10</v>
      </c>
      <c r="B15">
        <f>OPRM!B$17</f>
        <v>0</v>
      </c>
      <c r="C15">
        <f>OPRM!C$17</f>
        <v>0</v>
      </c>
      <c r="D15" s="2" t="e">
        <f>OPRM!E$17</f>
        <v>#DIV/0!</v>
      </c>
    </row>
    <row r="16" spans="1:4" x14ac:dyDescent="0.35">
      <c r="A16" t="s">
        <v>23</v>
      </c>
      <c r="D16" s="3" t="e">
        <f>AVERAGE(D8:D15)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5HT2B</vt:lpstr>
      <vt:lpstr>A2A</vt:lpstr>
      <vt:lpstr>Beta 2</vt:lpstr>
      <vt:lpstr>H1</vt:lpstr>
      <vt:lpstr>M1</vt:lpstr>
      <vt:lpstr>OPRD</vt:lpstr>
      <vt:lpstr>OPRK</vt:lpstr>
      <vt:lpstr>OPRM</vt:lpstr>
      <vt:lpstr>Averages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 Szwabowski</cp:lastModifiedBy>
  <dcterms:created xsi:type="dcterms:W3CDTF">2021-06-04T17:11:32Z</dcterms:created>
  <dcterms:modified xsi:type="dcterms:W3CDTF">2021-09-10T16:04:53Z</dcterms:modified>
</cp:coreProperties>
</file>